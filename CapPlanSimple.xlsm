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nalysis\LRP Planning\"/>
    </mc:Choice>
  </mc:AlternateContent>
  <xr:revisionPtr revIDLastSave="0" documentId="13_ncr:1_{E032A8E7-0906-471A-B41B-F1C159B7846C}" xr6:coauthVersionLast="47" xr6:coauthVersionMax="47" xr10:uidLastSave="{00000000-0000-0000-0000-000000000000}"/>
  <bookViews>
    <workbookView xWindow="-120" yWindow="-120" windowWidth="20730" windowHeight="11160" xr2:uid="{522B0FD2-54F2-4791-A7B1-7C9E632371AB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2" i="1" l="1"/>
  <c r="G20" i="1"/>
  <c r="F20" i="1"/>
  <c r="E20" i="1"/>
  <c r="D20" i="1"/>
  <c r="C20" i="1"/>
  <c r="C21" i="1"/>
  <c r="C22" i="1" s="1"/>
  <c r="D21" i="1"/>
  <c r="D22" i="1" s="1"/>
  <c r="E21" i="1"/>
  <c r="E22" i="1" s="1"/>
  <c r="F21" i="1"/>
  <c r="G21" i="1"/>
  <c r="G22" i="1" s="1"/>
  <c r="K6" i="1"/>
  <c r="K5" i="1"/>
  <c r="K4" i="1"/>
  <c r="D13" i="1"/>
  <c r="E13" i="1" s="1"/>
  <c r="F13" i="1" s="1"/>
  <c r="G13" i="1" s="1"/>
  <c r="D5" i="1"/>
  <c r="E5" i="1" s="1"/>
  <c r="F5" i="1" s="1"/>
  <c r="G5" i="1" s="1"/>
  <c r="F4" i="1"/>
  <c r="G6" i="2"/>
  <c r="G5" i="2"/>
  <c r="G4" i="2"/>
  <c r="G2" i="1"/>
  <c r="F7" i="1"/>
  <c r="E7" i="1"/>
  <c r="D7" i="1"/>
  <c r="C7" i="1"/>
  <c r="I4" i="2"/>
  <c r="I5" i="2"/>
  <c r="I6" i="2"/>
  <c r="I3" i="2"/>
  <c r="F11" i="1"/>
  <c r="F10" i="1"/>
  <c r="F9" i="1"/>
  <c r="F8" i="1"/>
  <c r="E11" i="1"/>
  <c r="E10" i="1"/>
  <c r="E9" i="1"/>
  <c r="E8" i="1"/>
  <c r="D11" i="1"/>
  <c r="D10" i="1"/>
  <c r="D9" i="1"/>
  <c r="C9" i="1"/>
  <c r="C10" i="1"/>
  <c r="C8" i="1"/>
  <c r="D8" i="1"/>
  <c r="E14" i="2"/>
  <c r="D14" i="2"/>
  <c r="E13" i="2"/>
  <c r="D13" i="2"/>
  <c r="E12" i="2"/>
  <c r="D12" i="2"/>
  <c r="F11" i="2"/>
  <c r="L5" i="2"/>
  <c r="M4" i="2"/>
  <c r="M3" i="2"/>
  <c r="H3" i="2"/>
  <c r="H4" i="2"/>
  <c r="F4" i="2"/>
  <c r="G3" i="2" s="1"/>
  <c r="E5" i="2"/>
  <c r="E6" i="2" s="1"/>
  <c r="F6" i="2" s="1"/>
  <c r="D4" i="1" l="1"/>
  <c r="D6" i="1" s="1"/>
  <c r="E4" i="1"/>
  <c r="C6" i="1"/>
  <c r="G4" i="1"/>
  <c r="F6" i="1"/>
  <c r="D12" i="1"/>
  <c r="F12" i="1"/>
  <c r="E12" i="1"/>
  <c r="E14" i="1"/>
  <c r="E15" i="1" s="1"/>
  <c r="D14" i="1"/>
  <c r="D15" i="1" s="1"/>
  <c r="F14" i="1"/>
  <c r="F15" i="1" s="1"/>
  <c r="C11" i="1"/>
  <c r="C14" i="1" s="1"/>
  <c r="C15" i="1" s="1"/>
  <c r="C16" i="1" s="1"/>
  <c r="F13" i="2"/>
  <c r="F14" i="2"/>
  <c r="H6" i="2"/>
  <c r="N3" i="2"/>
  <c r="H5" i="2"/>
  <c r="N4" i="2"/>
  <c r="O3" i="2"/>
  <c r="O4" i="2"/>
  <c r="O5" i="2"/>
  <c r="N5" i="2"/>
  <c r="E7" i="2"/>
  <c r="P5" i="2" s="1"/>
  <c r="F5" i="2"/>
  <c r="D16" i="1" l="1"/>
  <c r="F15" i="2"/>
  <c r="G11" i="1" s="1"/>
  <c r="I7" i="2"/>
  <c r="G7" i="1" s="1"/>
  <c r="E15" i="2"/>
  <c r="G10" i="1" s="1"/>
  <c r="D15" i="2"/>
  <c r="G9" i="1" s="1"/>
  <c r="E16" i="1"/>
  <c r="G6" i="1"/>
  <c r="E6" i="1"/>
  <c r="F16" i="1"/>
  <c r="C12" i="1"/>
  <c r="F7" i="2"/>
  <c r="G7" i="2" s="1"/>
  <c r="P4" i="2"/>
  <c r="P3" i="2"/>
  <c r="H7" i="2"/>
  <c r="G8" i="1" s="1"/>
  <c r="C19" i="1" l="1"/>
  <c r="G12" i="1"/>
  <c r="G14" i="1"/>
  <c r="G15" i="1" s="1"/>
  <c r="G16" i="1" s="1"/>
  <c r="D17" i="1"/>
  <c r="D19" i="1" s="1"/>
  <c r="C18" i="1"/>
  <c r="E17" i="1" l="1"/>
  <c r="E19" i="1" s="1"/>
  <c r="D18" i="1"/>
  <c r="F17" i="1" l="1"/>
  <c r="E18" i="1"/>
  <c r="F19" i="1" l="1"/>
  <c r="G17" i="1"/>
  <c r="F18" i="1"/>
  <c r="G18" i="1" l="1"/>
  <c r="G19" i="1"/>
</calcChain>
</file>

<file path=xl/sharedStrings.xml><?xml version="1.0" encoding="utf-8"?>
<sst xmlns="http://schemas.openxmlformats.org/spreadsheetml/2006/main" count="62" uniqueCount="36">
  <si>
    <t>Daily</t>
  </si>
  <si>
    <t>Weekly</t>
  </si>
  <si>
    <t>Monthly</t>
  </si>
  <si>
    <t>Yearly</t>
  </si>
  <si>
    <t>Forecast</t>
  </si>
  <si>
    <t>AHT</t>
  </si>
  <si>
    <t>Workload</t>
  </si>
  <si>
    <t>Lunch</t>
  </si>
  <si>
    <t>Break</t>
  </si>
  <si>
    <t>Coach</t>
  </si>
  <si>
    <t>Occupancy</t>
  </si>
  <si>
    <t>Req</t>
  </si>
  <si>
    <t>Unplanned Shrink</t>
  </si>
  <si>
    <t>Req with Shrink</t>
  </si>
  <si>
    <t>Period</t>
  </si>
  <si>
    <t>Days</t>
  </si>
  <si>
    <t>Working</t>
  </si>
  <si>
    <t>Calculations</t>
  </si>
  <si>
    <t>Custom</t>
  </si>
  <si>
    <t>Final Days</t>
  </si>
  <si>
    <t>Scheduled Hours</t>
  </si>
  <si>
    <t>ThroughPUT Hrs</t>
  </si>
  <si>
    <t>Metrics</t>
  </si>
  <si>
    <t>Total Planned</t>
  </si>
  <si>
    <t>Total Shrink</t>
  </si>
  <si>
    <t>FTE Hours</t>
  </si>
  <si>
    <t>FTE Hours Defined</t>
  </si>
  <si>
    <t>Schedule Hours</t>
  </si>
  <si>
    <t>Enter Volume</t>
  </si>
  <si>
    <t>Enter AHT</t>
  </si>
  <si>
    <t>Data</t>
  </si>
  <si>
    <t>Entries</t>
  </si>
  <si>
    <t>Criteria</t>
  </si>
  <si>
    <t>CPA</t>
  </si>
  <si>
    <t>ActualHC</t>
  </si>
  <si>
    <t>HC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</si>
</sst>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9">
    <xf numFmtId="0" fontId="0" fillId="0" borderId="0" xfId="0"/>
    <xf numFmtId="1" fontId="0" fillId="0" borderId="0" xfId="0" applyNumberFormat="1"/>
    <xf numFmtId="9" fontId="0" fillId="0" borderId="0" xfId="1" applyFont="1"/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9" fontId="0" fillId="3" borderId="1" xfId="0" applyNumberForma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0" fillId="0" borderId="3" xfId="0" applyBorder="1"/>
    <xf numFmtId="9" fontId="0" fillId="0" borderId="3" xfId="0" applyNumberFormat="1" applyBorder="1"/>
    <xf numFmtId="9" fontId="0" fillId="0" borderId="4" xfId="0" applyNumberFormat="1" applyBorder="1"/>
    <xf numFmtId="0" fontId="0" fillId="0" borderId="1" xfId="0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1" fontId="0" fillId="0" borderId="1" xfId="1" applyNumberFormat="1" applyFont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73128-DF07-4C20-ACF8-85B61DEBE1FC}">
  <sheetPr codeName="Sheet1"/>
  <dimension ref="B2:K22"/>
  <sheetViews>
    <sheetView showGridLines="0" tabSelected="1" workbookViewId="0">
      <selection activeCell="E8" sqref="E8"/>
    </sheetView>
  </sheetViews>
  <sheetFormatPr defaultColWidth="9.28515625" defaultRowHeight="15" x14ac:dyDescent="0.25"/>
  <cols>
    <col min="2" max="2" width="16.85546875" bestFit="1" customWidth="1"/>
    <col min="3" max="3" width="8.5703125" bestFit="1" customWidth="1"/>
    <col min="4" max="5" width="9.140625" bestFit="1" customWidth="1"/>
    <col min="6" max="7" width="10.140625" bestFit="1" customWidth="1"/>
    <col min="10" max="10" width="16.85546875" bestFit="1" customWidth="1"/>
  </cols>
  <sheetData>
    <row r="2" spans="2:11" ht="15.75" thickBot="1" x14ac:dyDescent="0.3">
      <c r="B2" s="17" t="s">
        <v>15</v>
      </c>
      <c r="C2" s="17">
        <v>1</v>
      </c>
      <c r="D2" s="17">
        <v>7</v>
      </c>
      <c r="E2" s="17">
        <v>31</v>
      </c>
      <c r="F2" s="17">
        <v>365</v>
      </c>
      <c r="G2" s="17">
        <f>_xlfn.XLOOKUP(G3,Sheet2!C2:C7,Sheet2!D2:D7)</f>
        <v>366</v>
      </c>
    </row>
    <row r="3" spans="2:11" x14ac:dyDescent="0.25">
      <c r="B3" s="6" t="s">
        <v>22</v>
      </c>
      <c r="C3" s="6" t="s">
        <v>0</v>
      </c>
      <c r="D3" s="6" t="s">
        <v>1</v>
      </c>
      <c r="E3" s="6" t="s">
        <v>2</v>
      </c>
      <c r="F3" s="6" t="s">
        <v>3</v>
      </c>
      <c r="G3" s="6" t="s">
        <v>18</v>
      </c>
      <c r="J3" s="10" t="s">
        <v>30</v>
      </c>
      <c r="K3" s="10" t="s">
        <v>31</v>
      </c>
    </row>
    <row r="4" spans="2:11" x14ac:dyDescent="0.25">
      <c r="B4" s="3" t="s">
        <v>4</v>
      </c>
      <c r="C4" s="8">
        <v>600</v>
      </c>
      <c r="D4" s="8">
        <f>$C$4*D2</f>
        <v>4200</v>
      </c>
      <c r="E4" s="8">
        <f t="shared" ref="E4:G4" si="0">$C$4*E2</f>
        <v>18600</v>
      </c>
      <c r="F4" s="8">
        <f t="shared" si="0"/>
        <v>219000</v>
      </c>
      <c r="G4" s="8">
        <f t="shared" si="0"/>
        <v>219600</v>
      </c>
      <c r="J4" s="11" t="s">
        <v>28</v>
      </c>
      <c r="K4" s="13">
        <f>C4</f>
        <v>600</v>
      </c>
    </row>
    <row r="5" spans="2:11" x14ac:dyDescent="0.25">
      <c r="B5" s="3" t="s">
        <v>5</v>
      </c>
      <c r="C5" s="8">
        <v>480</v>
      </c>
      <c r="D5" s="8">
        <f>C5</f>
        <v>480</v>
      </c>
      <c r="E5" s="8">
        <f t="shared" ref="E5:G5" si="1">D5</f>
        <v>480</v>
      </c>
      <c r="F5" s="8">
        <f t="shared" si="1"/>
        <v>480</v>
      </c>
      <c r="G5" s="8">
        <f t="shared" si="1"/>
        <v>480</v>
      </c>
      <c r="J5" s="11" t="s">
        <v>29</v>
      </c>
      <c r="K5" s="13">
        <f>C5/60</f>
        <v>8</v>
      </c>
    </row>
    <row r="6" spans="2:11" x14ac:dyDescent="0.25">
      <c r="B6" s="3" t="s">
        <v>6</v>
      </c>
      <c r="C6" s="3">
        <f>C4*C5</f>
        <v>288000</v>
      </c>
      <c r="D6" s="3">
        <f>D4*D5</f>
        <v>2016000</v>
      </c>
      <c r="E6" s="3">
        <f>E4*E5</f>
        <v>8928000</v>
      </c>
      <c r="F6" s="3">
        <f>F4*F5</f>
        <v>105120000</v>
      </c>
      <c r="G6" s="3">
        <f>G4*G5</f>
        <v>105408000</v>
      </c>
      <c r="J6" s="11" t="s">
        <v>10</v>
      </c>
      <c r="K6" s="14">
        <f>C13</f>
        <v>0.7</v>
      </c>
    </row>
    <row r="7" spans="2:11" ht="15.75" thickBot="1" x14ac:dyDescent="0.3">
      <c r="B7" s="3" t="s">
        <v>26</v>
      </c>
      <c r="C7" s="4">
        <f>_xlfn.XLOOKUP(C3,Sheet2!$C$2:$C$7,Sheet2!$I$2:$I$7)</f>
        <v>8</v>
      </c>
      <c r="D7" s="4">
        <f>_xlfn.XLOOKUP(D3,Sheet2!$C$2:$C$7,Sheet2!$I$2:$I$7)</f>
        <v>40</v>
      </c>
      <c r="E7" s="4">
        <f>_xlfn.XLOOKUP(E3,Sheet2!$C$2:$C$7,Sheet2!$I$2:$I$7)</f>
        <v>177.14285714285717</v>
      </c>
      <c r="F7" s="4">
        <f>_xlfn.XLOOKUP(F3,Sheet2!$C$2:$C$7,Sheet2!$I$2:$I$7)</f>
        <v>2085.7142857142858</v>
      </c>
      <c r="G7" s="4">
        <f>_xlfn.XLOOKUP(G3,Sheet2!$C$2:$C$7,Sheet2!$I$2:$I$7)</f>
        <v>2091.4285714285716</v>
      </c>
      <c r="J7" s="12" t="s">
        <v>12</v>
      </c>
      <c r="K7" s="15">
        <v>0.25</v>
      </c>
    </row>
    <row r="8" spans="2:11" x14ac:dyDescent="0.25">
      <c r="B8" s="3" t="s">
        <v>27</v>
      </c>
      <c r="C8" s="4">
        <f>_xlfn.XLOOKUP(C3,Sheet2!$C:$C,Sheet2!$H:$H)</f>
        <v>9</v>
      </c>
      <c r="D8" s="4">
        <f>_xlfn.XLOOKUP(D3,Sheet2!$C:$C,Sheet2!$H:$H)</f>
        <v>45</v>
      </c>
      <c r="E8" s="4">
        <f>_xlfn.XLOOKUP(E3,Sheet2!$C:$C,Sheet2!$H:$H)</f>
        <v>199.28571428571431</v>
      </c>
      <c r="F8" s="4">
        <f>_xlfn.XLOOKUP(F3,Sheet2!$C:$C,Sheet2!$H:$H)</f>
        <v>2346.4285714285716</v>
      </c>
      <c r="G8" s="4">
        <f>_xlfn.XLOOKUP(G3,Sheet2!$C:$C,Sheet2!$H:$H)</f>
        <v>2352.8571428571431</v>
      </c>
    </row>
    <row r="9" spans="2:11" x14ac:dyDescent="0.25">
      <c r="B9" s="3" t="s">
        <v>7</v>
      </c>
      <c r="C9" s="7">
        <f>_xlfn.XLOOKUP($B9,Sheet2!$C$10:$F$10,Sheet2!$C$11:$F$11,_xlfn.XLOOKUP(C$3,Sheet2!C10:C15,Sheet2!D10:D15))</f>
        <v>0.5</v>
      </c>
      <c r="D9" s="7">
        <f>_xlfn.XLOOKUP(B9,Sheet2!C10:F10,Sheet2!C12:F12,_xlfn.XLOOKUP(Sheet1!D3,Sheet2!C10:C15,Sheet2!D10:D15))</f>
        <v>2.5</v>
      </c>
      <c r="E9" s="7">
        <f>_xlfn.XLOOKUP(B9,Sheet2!C10:F10,Sheet2!C13:F13,_xlfn.XLOOKUP(Sheet1!E3,Sheet2!C10:C16,Sheet2!D10:D15))</f>
        <v>11.071428571428573</v>
      </c>
      <c r="F9" s="7">
        <f>_xlfn.XLOOKUP(B9,Sheet2!C10:F10,Sheet2!C14:F14,_xlfn.XLOOKUP(Sheet1!F3,Sheet2!C10:C15,Sheet2!D10:D15))</f>
        <v>130.35714285714286</v>
      </c>
      <c r="G9" s="7">
        <f>_xlfn.XLOOKUP(B9,Sheet2!C10:F10,Sheet2!C15:F15,_xlfn.XLOOKUP(Sheet1!G3,Sheet2!C10:C15,Sheet2!D10:D15))</f>
        <v>130.71428571428572</v>
      </c>
    </row>
    <row r="10" spans="2:11" x14ac:dyDescent="0.25">
      <c r="B10" s="3" t="s">
        <v>8</v>
      </c>
      <c r="C10" s="7">
        <f>_xlfn.XLOOKUP($B10,Sheet2!$C$10:$F$10,Sheet2!$C$11:$F$11,_xlfn.XLOOKUP(C$3,Sheet2!C11:C16,Sheet2!D11:D16))</f>
        <v>0.5</v>
      </c>
      <c r="D10" s="7">
        <f>_xlfn.XLOOKUP(B10,Sheet2!C11:F11,Sheet2!C13:F13,_xlfn.XLOOKUP(Sheet1!D3,Sheet2!C11:C16,Sheet2!D11:D16))</f>
        <v>2.5</v>
      </c>
      <c r="E10" s="7">
        <f>_xlfn.XLOOKUP(B10,Sheet2!C10:F10,Sheet2!C13:F13,_xlfn.XLOOKUP(Sheet1!E3,Sheet2!C10:C15,Sheet2!E10:E15))</f>
        <v>11.071428571428573</v>
      </c>
      <c r="F10" s="7">
        <f>_xlfn.XLOOKUP(B10,Sheet2!C10:F10,Sheet2!C14:F14,_xlfn.XLOOKUP(Sheet1!F3,Sheet2!C10:C15,Sheet2!E10:E15))</f>
        <v>130.35714285714286</v>
      </c>
      <c r="G10" s="7">
        <f>_xlfn.XLOOKUP(B10,Sheet2!C10:F10,Sheet2!C15:F15,_xlfn.XLOOKUP(Sheet1!G3,Sheet2!C10:C15,Sheet2!E10:E15))</f>
        <v>130.71428571428572</v>
      </c>
    </row>
    <row r="11" spans="2:11" x14ac:dyDescent="0.25">
      <c r="B11" s="3" t="s">
        <v>9</v>
      </c>
      <c r="C11" s="7">
        <f>_xlfn.XLOOKUP($B11,Sheet2!$C$10:$F$10,Sheet2!$C$11:$F$11,_xlfn.XLOOKUP(C$3,Sheet2!C12:C17,Sheet2!D12:D17))</f>
        <v>0.1</v>
      </c>
      <c r="D11" s="7">
        <f>_xlfn.XLOOKUP(B11,Sheet2!C10:F10,Sheet2!C12:F12,_xlfn.XLOOKUP(Sheet1!D3,Sheet2!C10:C15,Sheet2!F10:F15))</f>
        <v>0.5</v>
      </c>
      <c r="E11" s="7">
        <f>_xlfn.XLOOKUP(B11,Sheet2!C10:F10,Sheet2!C13:F13,_xlfn.XLOOKUP(Sheet1!E3,Sheet2!C10:C15,Sheet2!F10:F15))</f>
        <v>2.2142857142857149</v>
      </c>
      <c r="F11" s="7">
        <f>_xlfn.XLOOKUP(B11,Sheet2!C10:F10,Sheet2!C14:F14,_xlfn.XLOOKUP(Sheet1!F3,Sheet2!C10:C15,Sheet2!F10:F15))</f>
        <v>26.071428571428573</v>
      </c>
      <c r="G11" s="7">
        <f>_xlfn.XLOOKUP(B11,Sheet2!C10:F10,Sheet2!C15:F15,_xlfn.XLOOKUP(Sheet1!G3,Sheet2!C10:C15,Sheet2!F10:F15))</f>
        <v>26.142857142857146</v>
      </c>
    </row>
    <row r="12" spans="2:11" x14ac:dyDescent="0.25">
      <c r="B12" s="3" t="s">
        <v>23</v>
      </c>
      <c r="C12" s="5">
        <f>SUM(C9:C11)/C8</f>
        <v>0.12222222222222223</v>
      </c>
      <c r="D12" s="5">
        <f t="shared" ref="D12:G12" si="2">SUM(D9:D11)/D8</f>
        <v>0.12222222222222222</v>
      </c>
      <c r="E12" s="5">
        <f t="shared" si="2"/>
        <v>0.12222222222222223</v>
      </c>
      <c r="F12" s="5">
        <f t="shared" si="2"/>
        <v>0.12222222222222222</v>
      </c>
      <c r="G12" s="5">
        <f t="shared" si="2"/>
        <v>0.12222222222222223</v>
      </c>
    </row>
    <row r="13" spans="2:11" x14ac:dyDescent="0.25">
      <c r="B13" s="3" t="s">
        <v>10</v>
      </c>
      <c r="C13" s="9">
        <v>0.7</v>
      </c>
      <c r="D13" s="9">
        <f>C13</f>
        <v>0.7</v>
      </c>
      <c r="E13" s="9">
        <f t="shared" ref="E13:G13" si="3">D13</f>
        <v>0.7</v>
      </c>
      <c r="F13" s="9">
        <f t="shared" si="3"/>
        <v>0.7</v>
      </c>
      <c r="G13" s="9">
        <f t="shared" si="3"/>
        <v>0.7</v>
      </c>
    </row>
    <row r="14" spans="2:11" x14ac:dyDescent="0.25">
      <c r="B14" s="3" t="s">
        <v>21</v>
      </c>
      <c r="C14" s="4">
        <f>(C8-(SUM(C9:C11)))*C13</f>
        <v>5.53</v>
      </c>
      <c r="D14" s="4">
        <f t="shared" ref="D14:G14" si="4">(D8-(SUM(D9:D11)))*D13</f>
        <v>27.65</v>
      </c>
      <c r="E14" s="4">
        <f t="shared" si="4"/>
        <v>122.45</v>
      </c>
      <c r="F14" s="4">
        <f t="shared" si="4"/>
        <v>1441.75</v>
      </c>
      <c r="G14" s="4">
        <f t="shared" si="4"/>
        <v>1445.7000000000003</v>
      </c>
    </row>
    <row r="15" spans="2:11" x14ac:dyDescent="0.25">
      <c r="B15" s="3" t="s">
        <v>33</v>
      </c>
      <c r="C15" s="4">
        <f t="shared" ref="C15" si="5">(C14*3600)/C5</f>
        <v>41.475000000000001</v>
      </c>
      <c r="D15" s="4">
        <f>(D14*3600)/D5</f>
        <v>207.375</v>
      </c>
      <c r="E15" s="4">
        <f t="shared" ref="E15:G15" si="6">(E14*3600)/E5</f>
        <v>918.375</v>
      </c>
      <c r="F15" s="4">
        <f t="shared" si="6"/>
        <v>10813.125</v>
      </c>
      <c r="G15" s="4">
        <f t="shared" si="6"/>
        <v>10842.750000000002</v>
      </c>
    </row>
    <row r="16" spans="2:11" x14ac:dyDescent="0.25">
      <c r="B16" s="3" t="s">
        <v>11</v>
      </c>
      <c r="C16" s="4">
        <f t="shared" ref="C16" si="7">C4/C15</f>
        <v>14.466546112115731</v>
      </c>
      <c r="D16" s="4">
        <f>D4/D15</f>
        <v>20.253164556962027</v>
      </c>
      <c r="E16" s="4">
        <f t="shared" ref="E16:G16" si="8">E4/E15</f>
        <v>20.253164556962027</v>
      </c>
      <c r="F16" s="4">
        <f t="shared" si="8"/>
        <v>20.253164556962027</v>
      </c>
      <c r="G16" s="4">
        <f t="shared" si="8"/>
        <v>20.253164556962023</v>
      </c>
    </row>
    <row r="17" spans="2:7" x14ac:dyDescent="0.25">
      <c r="B17" s="3" t="s">
        <v>12</v>
      </c>
      <c r="C17" s="9">
        <v>0.25</v>
      </c>
      <c r="D17" s="9">
        <f>C17</f>
        <v>0.25</v>
      </c>
      <c r="E17" s="9">
        <f t="shared" ref="E17:G17" si="9">D17</f>
        <v>0.25</v>
      </c>
      <c r="F17" s="9">
        <f t="shared" si="9"/>
        <v>0.25</v>
      </c>
      <c r="G17" s="9">
        <f t="shared" si="9"/>
        <v>0.25</v>
      </c>
    </row>
    <row r="18" spans="2:7" x14ac:dyDescent="0.25">
      <c r="B18" s="3" t="s">
        <v>13</v>
      </c>
      <c r="C18" s="4">
        <f>C16/(1-C17)</f>
        <v>19.288728149487643</v>
      </c>
      <c r="D18" s="4">
        <f t="shared" ref="D18:G18" si="10">D16/(1-D17)</f>
        <v>27.004219409282701</v>
      </c>
      <c r="E18" s="4">
        <f t="shared" si="10"/>
        <v>27.004219409282701</v>
      </c>
      <c r="F18" s="4">
        <f t="shared" si="10"/>
        <v>27.004219409282701</v>
      </c>
      <c r="G18" s="4">
        <f t="shared" si="10"/>
        <v>27.004219409282697</v>
      </c>
    </row>
    <row r="19" spans="2:7" x14ac:dyDescent="0.25">
      <c r="B19" s="3" t="s">
        <v>24</v>
      </c>
      <c r="C19" s="5">
        <f t="shared" ref="C19:G19" si="11">SUM(C17,C12)</f>
        <v>0.37222222222222223</v>
      </c>
      <c r="D19" s="5">
        <f t="shared" si="11"/>
        <v>0.37222222222222223</v>
      </c>
      <c r="E19" s="5">
        <f t="shared" si="11"/>
        <v>0.37222222222222223</v>
      </c>
      <c r="F19" s="5">
        <f t="shared" si="11"/>
        <v>0.37222222222222223</v>
      </c>
      <c r="G19" s="5">
        <f t="shared" si="11"/>
        <v>0.37222222222222223</v>
      </c>
    </row>
    <row r="20" spans="2:7" x14ac:dyDescent="0.25">
      <c r="B20" s="3" t="s">
        <v>11</v>
      </c>
      <c r="C20" s="4">
        <f>C6/3600/C8/(1-C19)/C13</f>
        <v>20.227560050568904</v>
      </c>
      <c r="D20" s="4">
        <f t="shared" ref="D20:G20" si="12">D6/3600/D8/(1-D19)/D13</f>
        <v>28.318584070796465</v>
      </c>
      <c r="E20" s="4">
        <f t="shared" si="12"/>
        <v>28.318584070796462</v>
      </c>
      <c r="F20" s="4">
        <f t="shared" si="12"/>
        <v>28.318584070796465</v>
      </c>
      <c r="G20" s="4">
        <f t="shared" si="12"/>
        <v>28.318584070796462</v>
      </c>
    </row>
    <row r="21" spans="2:7" x14ac:dyDescent="0.25">
      <c r="B21" s="16" t="s">
        <v>34</v>
      </c>
      <c r="C21" s="4">
        <f t="shared" ref="C21:G21" ca="1" si="13">RANDBETWEEN(23,24)</f>
        <v>24</v>
      </c>
      <c r="D21" s="18">
        <f t="shared" ca="1" si="13"/>
        <v>24</v>
      </c>
      <c r="E21" s="18">
        <f t="shared" ca="1" si="13"/>
        <v>24</v>
      </c>
      <c r="F21" s="4">
        <f t="shared" ca="1" si="13"/>
        <v>24</v>
      </c>
      <c r="G21" s="4">
        <f t="shared" ca="1" si="13"/>
        <v>24</v>
      </c>
    </row>
    <row r="22" spans="2:7" x14ac:dyDescent="0.25">
      <c r="B22" s="16" t="s">
        <v>35</v>
      </c>
      <c r="C22" s="4">
        <f ca="1">C21*C15</f>
        <v>995.40000000000009</v>
      </c>
      <c r="D22" s="4">
        <f t="shared" ref="D22:G22" ca="1" si="14">D21*D15</f>
        <v>4977</v>
      </c>
      <c r="E22" s="4">
        <f t="shared" ca="1" si="14"/>
        <v>22041</v>
      </c>
      <c r="F22" s="4">
        <f t="shared" ca="1" si="14"/>
        <v>259515</v>
      </c>
      <c r="G22" s="4">
        <f t="shared" ca="1" si="14"/>
        <v>260226.00000000006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6DE32-5E09-4451-8CBC-F201E6030DC0}">
  <sheetPr codeName="Sheet2"/>
  <dimension ref="C2:P15"/>
  <sheetViews>
    <sheetView showGridLines="0" workbookViewId="0">
      <selection activeCell="D7" sqref="D7"/>
    </sheetView>
  </sheetViews>
  <sheetFormatPr defaultRowHeight="15" x14ac:dyDescent="0.25"/>
  <cols>
    <col min="7" max="7" width="9.85546875" bestFit="1" customWidth="1"/>
    <col min="8" max="8" width="16" bestFit="1" customWidth="1"/>
  </cols>
  <sheetData>
    <row r="2" spans="3:16" x14ac:dyDescent="0.25">
      <c r="C2" t="s">
        <v>14</v>
      </c>
      <c r="D2" t="s">
        <v>15</v>
      </c>
      <c r="E2" t="s">
        <v>16</v>
      </c>
      <c r="F2" t="s">
        <v>17</v>
      </c>
      <c r="G2" t="s">
        <v>19</v>
      </c>
      <c r="H2" t="s">
        <v>20</v>
      </c>
      <c r="I2" t="s">
        <v>25</v>
      </c>
      <c r="K2" t="s">
        <v>32</v>
      </c>
      <c r="L2" t="s">
        <v>0</v>
      </c>
      <c r="M2" t="s">
        <v>1</v>
      </c>
      <c r="N2" t="s">
        <v>2</v>
      </c>
      <c r="O2" t="s">
        <v>3</v>
      </c>
      <c r="P2" t="s">
        <v>18</v>
      </c>
    </row>
    <row r="3" spans="3:16" x14ac:dyDescent="0.25">
      <c r="C3" t="s">
        <v>0</v>
      </c>
      <c r="D3">
        <v>9</v>
      </c>
      <c r="E3">
        <v>1</v>
      </c>
      <c r="G3" s="1">
        <f>D3*F4</f>
        <v>6.4285714285714288</v>
      </c>
      <c r="H3" s="1">
        <f>E3*$D$3</f>
        <v>9</v>
      </c>
      <c r="I3" s="1">
        <f>E3*8</f>
        <v>8</v>
      </c>
      <c r="K3" t="s">
        <v>7</v>
      </c>
      <c r="L3">
        <v>0.5</v>
      </c>
      <c r="M3">
        <f>L3*$E$4</f>
        <v>2.5</v>
      </c>
      <c r="N3" s="1">
        <f>L3*$E$5</f>
        <v>11.071428571428573</v>
      </c>
      <c r="O3" s="1">
        <f>L3*$E$6</f>
        <v>130.35714285714286</v>
      </c>
      <c r="P3" s="1">
        <f>L3*$E$7</f>
        <v>130.71428571428572</v>
      </c>
    </row>
    <row r="4" spans="3:16" x14ac:dyDescent="0.25">
      <c r="C4" t="s">
        <v>1</v>
      </c>
      <c r="D4">
        <v>7</v>
      </c>
      <c r="E4">
        <v>5</v>
      </c>
      <c r="F4" s="2">
        <f>E4/D4</f>
        <v>0.7142857142857143</v>
      </c>
      <c r="G4" s="1">
        <f>D4*F4</f>
        <v>5</v>
      </c>
      <c r="H4" s="1">
        <f>E4*$D$3</f>
        <v>45</v>
      </c>
      <c r="I4" s="1">
        <f t="shared" ref="I4:I7" si="0">E4*8</f>
        <v>40</v>
      </c>
      <c r="K4" t="s">
        <v>8</v>
      </c>
      <c r="L4">
        <v>0.5</v>
      </c>
      <c r="M4">
        <f>L4*$E$4</f>
        <v>2.5</v>
      </c>
      <c r="N4" s="1">
        <f>L4*$E$5</f>
        <v>11.071428571428573</v>
      </c>
      <c r="O4" s="1">
        <f t="shared" ref="O4:O5" si="1">L4*$E$6</f>
        <v>130.35714285714286</v>
      </c>
      <c r="P4" s="1">
        <f t="shared" ref="P4:P5" si="2">L4*$E$7</f>
        <v>130.71428571428572</v>
      </c>
    </row>
    <row r="5" spans="3:16" x14ac:dyDescent="0.25">
      <c r="C5" t="s">
        <v>2</v>
      </c>
      <c r="D5">
        <v>31</v>
      </c>
      <c r="E5" s="1">
        <f>D5/D4*E4</f>
        <v>22.142857142857146</v>
      </c>
      <c r="F5" s="2">
        <f>E5/D5</f>
        <v>0.71428571428571441</v>
      </c>
      <c r="G5" s="1">
        <f>D5*F5</f>
        <v>22.142857142857146</v>
      </c>
      <c r="H5" s="1">
        <f t="shared" ref="H5:H7" si="3">E5*$D$3</f>
        <v>199.28571428571431</v>
      </c>
      <c r="I5" s="1">
        <f t="shared" si="0"/>
        <v>177.14285714285717</v>
      </c>
      <c r="K5" t="s">
        <v>9</v>
      </c>
      <c r="L5">
        <f>M5/$E$4</f>
        <v>0.1</v>
      </c>
      <c r="M5">
        <v>0.5</v>
      </c>
      <c r="N5" s="1">
        <f>L5*E5</f>
        <v>2.2142857142857149</v>
      </c>
      <c r="O5" s="1">
        <f t="shared" si="1"/>
        <v>26.071428571428573</v>
      </c>
      <c r="P5" s="1">
        <f t="shared" si="2"/>
        <v>26.142857142857146</v>
      </c>
    </row>
    <row r="6" spans="3:16" x14ac:dyDescent="0.25">
      <c r="C6" t="s">
        <v>3</v>
      </c>
      <c r="D6">
        <v>365</v>
      </c>
      <c r="E6" s="1">
        <f>D6/D5*E5</f>
        <v>260.71428571428572</v>
      </c>
      <c r="F6" s="2">
        <f>E6/D6</f>
        <v>0.7142857142857143</v>
      </c>
      <c r="G6" s="1">
        <f>D6*F6</f>
        <v>260.71428571428572</v>
      </c>
      <c r="H6" s="1">
        <f t="shared" si="3"/>
        <v>2346.4285714285716</v>
      </c>
      <c r="I6" s="1">
        <f t="shared" si="0"/>
        <v>2085.7142857142858</v>
      </c>
    </row>
    <row r="7" spans="3:16" x14ac:dyDescent="0.25">
      <c r="C7" t="s">
        <v>18</v>
      </c>
      <c r="D7">
        <v>366</v>
      </c>
      <c r="E7" s="1">
        <f>D7/D6*E6</f>
        <v>261.42857142857144</v>
      </c>
      <c r="F7" s="2">
        <f>E7/D7</f>
        <v>0.7142857142857143</v>
      </c>
      <c r="G7" s="1">
        <f>D7*F7</f>
        <v>261.42857142857144</v>
      </c>
      <c r="H7" s="1">
        <f t="shared" si="3"/>
        <v>2352.8571428571431</v>
      </c>
      <c r="I7" s="1">
        <f t="shared" si="0"/>
        <v>2091.4285714285716</v>
      </c>
    </row>
    <row r="10" spans="3:16" x14ac:dyDescent="0.25">
      <c r="C10" t="s">
        <v>32</v>
      </c>
      <c r="D10" t="s">
        <v>7</v>
      </c>
      <c r="E10" t="s">
        <v>8</v>
      </c>
      <c r="F10" t="s">
        <v>9</v>
      </c>
    </row>
    <row r="11" spans="3:16" x14ac:dyDescent="0.25">
      <c r="C11" t="s">
        <v>0</v>
      </c>
      <c r="D11">
        <v>0.5</v>
      </c>
      <c r="E11">
        <v>0.5</v>
      </c>
      <c r="F11">
        <f>F12/$E$4</f>
        <v>0.1</v>
      </c>
    </row>
    <row r="12" spans="3:16" x14ac:dyDescent="0.25">
      <c r="C12" t="s">
        <v>1</v>
      </c>
      <c r="D12">
        <f>D11*$E$4</f>
        <v>2.5</v>
      </c>
      <c r="E12">
        <f>E11*$E$4</f>
        <v>2.5</v>
      </c>
      <c r="F12">
        <v>0.5</v>
      </c>
    </row>
    <row r="13" spans="3:16" x14ac:dyDescent="0.25">
      <c r="C13" t="s">
        <v>2</v>
      </c>
      <c r="D13" s="1">
        <f>D11*$E$5</f>
        <v>11.071428571428573</v>
      </c>
      <c r="E13" s="1">
        <f>E11*$E$5</f>
        <v>11.071428571428573</v>
      </c>
      <c r="F13" s="1">
        <f>F11*E5</f>
        <v>2.2142857142857149</v>
      </c>
    </row>
    <row r="14" spans="3:16" x14ac:dyDescent="0.25">
      <c r="C14" t="s">
        <v>3</v>
      </c>
      <c r="D14" s="1">
        <f>D11*$E$6</f>
        <v>130.35714285714286</v>
      </c>
      <c r="E14" s="1">
        <f>E11*$E$6</f>
        <v>130.35714285714286</v>
      </c>
      <c r="F14" s="1">
        <f>F11*$E$6</f>
        <v>26.071428571428573</v>
      </c>
    </row>
    <row r="15" spans="3:16" x14ac:dyDescent="0.25">
      <c r="C15" t="s">
        <v>18</v>
      </c>
      <c r="D15" s="1">
        <f>D11*$E$7</f>
        <v>130.71428571428572</v>
      </c>
      <c r="E15" s="1">
        <f>E11*$E$7</f>
        <v>130.71428571428572</v>
      </c>
      <c r="F15" s="1">
        <f>F11*$E$7</f>
        <v>26.142857142857146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Murugan, Sathesh Kumar</dc:creator>
  <cp:lastModifiedBy>Murugan, Sathesh Kumar</cp:lastModifiedBy>
  <dcterms:created xsi:type="dcterms:W3CDTF">2022-03-28T21:46:32Z</dcterms:created>
  <dcterms:modified xsi:type="dcterms:W3CDTF">2022-05-12T08:08:11Z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ormulaDeskUniqueName">
    <vt:lpwstr>7d7415ea-57e5-457f-a50b-10d4ca4d95ff</vt:lpwstr>
  </property>
</Properties>
</file>