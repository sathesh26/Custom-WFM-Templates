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defaultThemeVersion="124226"/>
  <mc:AlternateContent xmlns:mc="http://schemas.openxmlformats.org/markup-compatibility/2006">
    <mc:Choice Requires="x15">
      <x15ac:absPath xmlns:x15ac="http://schemas.microsoft.com/office/spreadsheetml/2010/11/ac" url="E:\TeraBoxDownload\"/>
    </mc:Choice>
  </mc:AlternateContent>
  <xr:revisionPtr revIDLastSave="0" documentId="13_ncr:1_{5B3B1276-2F2D-44B8-B873-37E30E936D7D}" xr6:coauthVersionLast="36" xr6:coauthVersionMax="47" xr10:uidLastSave="{00000000-0000-0000-0000-000000000000}"/>
  <bookViews>
    <workbookView xWindow="-120" yWindow="-120" windowWidth="20730" windowHeight="11160" tabRatio="730" xr2:uid="{00000000-000D-0000-FFFF-FFFF00000000}"/>
  </bookViews>
  <sheets>
    <sheet name="Staff Planner Estee" sheetId="60" r:id="rId1"/>
    <sheet name="Staff Planner Lauder" sheetId="61" state="hidden" r:id="rId2"/>
    <sheet name="EsteeNew" sheetId="62" r:id="rId3"/>
    <sheet name="EsteeFTEChan" sheetId="68" r:id="rId4"/>
    <sheet name="EsteeOld" sheetId="67" state="hidden" r:id="rId5"/>
    <sheet name="LauderNew" sheetId="64" r:id="rId6"/>
    <sheet name="LauderFTEChan" sheetId="70" r:id="rId7"/>
    <sheet name="LauderOld" sheetId="69" state="hidden" r:id="rId8"/>
    <sheet name="CombinedFTEchanges" sheetId="71" r:id="rId9"/>
    <sheet name="Forecast" sheetId="66" state="hidden" r:id="rId10"/>
  </sheets>
  <functionGroups builtInGroupCount="19"/>
  <definedNames>
    <definedName name="servlevel" localSheetId="0">#REF!</definedName>
    <definedName name="servlevel">#REF!</definedName>
  </definedNames>
  <calcPr calcId="191029"/>
  <fileRecoveryPr autoRecover="0"/>
</workbook>
</file>

<file path=xl/calcChain.xml><?xml version="1.0" encoding="utf-8"?>
<calcChain xmlns="http://schemas.openxmlformats.org/spreadsheetml/2006/main">
  <c r="F1" i="62" l="1"/>
  <c r="G1" i="62" s="1"/>
  <c r="H1" i="62" s="1"/>
  <c r="I1" i="62" s="1"/>
  <c r="J1" i="62" s="1"/>
  <c r="K1" i="62" s="1"/>
  <c r="L1" i="62" s="1"/>
  <c r="M1" i="62" s="1"/>
  <c r="N1" i="62" s="1"/>
  <c r="O1" i="62" s="1"/>
  <c r="P1" i="62" s="1"/>
  <c r="Q1" i="62" s="1"/>
  <c r="R1" i="62" s="1"/>
  <c r="S1" i="62" s="1"/>
  <c r="T1" i="62" s="1"/>
  <c r="U1" i="62" s="1"/>
  <c r="V1" i="62" s="1"/>
  <c r="W1" i="62" s="1"/>
  <c r="X1" i="62" s="1"/>
  <c r="Y1" i="62" s="1"/>
  <c r="Z1" i="62" s="1"/>
  <c r="AA1" i="62" s="1"/>
  <c r="AB1" i="62" s="1"/>
  <c r="AC1" i="62" s="1"/>
  <c r="AD1" i="62" s="1"/>
  <c r="AE1" i="62" s="1"/>
  <c r="AF1" i="62" s="1"/>
  <c r="AG1" i="62" s="1"/>
  <c r="AH1" i="62" s="1"/>
  <c r="AI1" i="62" s="1"/>
  <c r="AJ1" i="62" s="1"/>
  <c r="AK1" i="62" s="1"/>
  <c r="AL1" i="62" s="1"/>
  <c r="AM1" i="62" s="1"/>
  <c r="AN1" i="62" s="1"/>
  <c r="AO1" i="62" s="1"/>
  <c r="AP1" i="62" s="1"/>
  <c r="AQ1" i="62" s="1"/>
  <c r="AR1" i="62" s="1"/>
  <c r="AS1" i="62" s="1"/>
  <c r="AT1" i="62" s="1"/>
  <c r="AU1" i="62" s="1"/>
  <c r="AV1" i="62" s="1"/>
  <c r="AW1" i="62" s="1"/>
  <c r="AX1" i="62" s="1"/>
  <c r="AY1" i="62" s="1"/>
  <c r="AZ1" i="62" s="1"/>
  <c r="BA1" i="62" s="1"/>
  <c r="BB1" i="62" s="1"/>
  <c r="BC1" i="62" s="1"/>
  <c r="BD1" i="62" s="1"/>
  <c r="A11" i="71"/>
  <c r="A12" i="71" s="1"/>
  <c r="A13" i="71" l="1"/>
  <c r="F2" i="71"/>
  <c r="G2" i="71" s="1"/>
  <c r="H2" i="71" s="1"/>
  <c r="I2" i="71" s="1"/>
  <c r="J2" i="71" s="1"/>
  <c r="K2" i="71" s="1"/>
  <c r="L2" i="71" s="1"/>
  <c r="M2" i="71" s="1"/>
  <c r="N2" i="71" s="1"/>
  <c r="O2" i="71" s="1"/>
  <c r="P2" i="71" s="1"/>
  <c r="Q2" i="71" s="1"/>
  <c r="R2" i="71" s="1"/>
  <c r="S2" i="71" s="1"/>
  <c r="T2" i="71" s="1"/>
  <c r="U2" i="71" s="1"/>
  <c r="V2" i="71" s="1"/>
  <c r="W2" i="71" s="1"/>
  <c r="X2" i="71" s="1"/>
  <c r="Y2" i="71" s="1"/>
  <c r="Z2" i="71" s="1"/>
  <c r="AA2" i="71" s="1"/>
  <c r="AB2" i="71" s="1"/>
  <c r="AC2" i="71" s="1"/>
  <c r="AD2" i="71" s="1"/>
  <c r="AE2" i="71" s="1"/>
  <c r="AF2" i="71" s="1"/>
  <c r="AG2" i="71" s="1"/>
  <c r="AH2" i="71" s="1"/>
  <c r="AI2" i="71" s="1"/>
  <c r="AJ2" i="71" s="1"/>
  <c r="AK2" i="71" s="1"/>
  <c r="AL2" i="71" s="1"/>
  <c r="AM2" i="71" s="1"/>
  <c r="AN2" i="71" s="1"/>
  <c r="AO2" i="71" s="1"/>
  <c r="AP2" i="71" s="1"/>
  <c r="AQ2" i="71" s="1"/>
  <c r="AR2" i="71" s="1"/>
  <c r="AS2" i="71" s="1"/>
  <c r="AT2" i="71" s="1"/>
  <c r="AU2" i="71" s="1"/>
  <c r="AV2" i="71" s="1"/>
  <c r="AW2" i="71" s="1"/>
  <c r="AX2" i="71" s="1"/>
  <c r="AY2" i="71" s="1"/>
  <c r="AZ2" i="71" s="1"/>
  <c r="BA2" i="71" s="1"/>
  <c r="BB2" i="71" s="1"/>
  <c r="BC2" i="71" s="1"/>
  <c r="BD2" i="71" s="1"/>
  <c r="V27" i="68"/>
  <c r="BD6" i="68" l="1"/>
  <c r="BC6" i="68"/>
  <c r="BB6" i="68"/>
  <c r="BA6" i="68"/>
  <c r="AZ6" i="68"/>
  <c r="AY6" i="68"/>
  <c r="AX6" i="68"/>
  <c r="AW6" i="68"/>
  <c r="AV6" i="68"/>
  <c r="AU6" i="68"/>
  <c r="AT6" i="68"/>
  <c r="AS6" i="68"/>
  <c r="AR6" i="68"/>
  <c r="AQ6" i="68"/>
  <c r="AP6" i="68"/>
  <c r="AO6" i="68"/>
  <c r="AN6" i="68"/>
  <c r="AM6" i="68"/>
  <c r="AL6" i="68"/>
  <c r="AK6" i="68"/>
  <c r="AJ6" i="68"/>
  <c r="AI6" i="68"/>
  <c r="AH6" i="68"/>
  <c r="AG6" i="68"/>
  <c r="AF6" i="68"/>
  <c r="AE6" i="68"/>
  <c r="AD6" i="68"/>
  <c r="AC6" i="68"/>
  <c r="AB6" i="68"/>
  <c r="AA6" i="68"/>
  <c r="Z6" i="68"/>
  <c r="Y6" i="68"/>
  <c r="X6" i="68"/>
  <c r="W6" i="68"/>
  <c r="V6" i="68"/>
  <c r="U6" i="68"/>
  <c r="T6" i="68"/>
  <c r="S6" i="68"/>
  <c r="R6" i="68"/>
  <c r="Q6" i="68"/>
  <c r="P6" i="68"/>
  <c r="O6" i="68"/>
  <c r="N6" i="68"/>
  <c r="M6" i="68"/>
  <c r="L6" i="68"/>
  <c r="K6" i="68"/>
  <c r="J6" i="68"/>
  <c r="I6" i="68"/>
  <c r="H6" i="68"/>
  <c r="G6" i="68"/>
  <c r="F6" i="68"/>
  <c r="E6" i="68"/>
  <c r="BD5" i="68"/>
  <c r="BC5" i="68"/>
  <c r="BB5" i="68"/>
  <c r="BA5" i="68"/>
  <c r="AZ5" i="68"/>
  <c r="AY5" i="68"/>
  <c r="AX5" i="68"/>
  <c r="AW5" i="68"/>
  <c r="AV5" i="68"/>
  <c r="AU5" i="68"/>
  <c r="AT5" i="68"/>
  <c r="AS5" i="68"/>
  <c r="AR5" i="68"/>
  <c r="AQ5" i="68"/>
  <c r="AP5" i="68"/>
  <c r="AO5" i="68"/>
  <c r="AN5" i="68"/>
  <c r="AM5" i="68"/>
  <c r="AL5" i="68"/>
  <c r="AK5" i="68"/>
  <c r="AJ5" i="68"/>
  <c r="AI5" i="68"/>
  <c r="AH5" i="68"/>
  <c r="AG5" i="68"/>
  <c r="AF5" i="68"/>
  <c r="AE5" i="68"/>
  <c r="AD5" i="68"/>
  <c r="AC5" i="68"/>
  <c r="AB5" i="68"/>
  <c r="AA5" i="68"/>
  <c r="Z5" i="68"/>
  <c r="Y5" i="68"/>
  <c r="X5" i="68"/>
  <c r="W5" i="68"/>
  <c r="V5" i="68"/>
  <c r="U5" i="68"/>
  <c r="T5" i="68"/>
  <c r="S5" i="68"/>
  <c r="R5" i="68"/>
  <c r="Q5" i="68"/>
  <c r="P5" i="68"/>
  <c r="O5" i="68"/>
  <c r="N5" i="68"/>
  <c r="M5" i="68"/>
  <c r="L5" i="68"/>
  <c r="K5" i="68"/>
  <c r="J5" i="68"/>
  <c r="I5" i="68"/>
  <c r="H5" i="68"/>
  <c r="G5" i="68"/>
  <c r="F5" i="68"/>
  <c r="E5" i="68"/>
  <c r="BD4" i="68"/>
  <c r="BC4" i="68"/>
  <c r="BB4" i="68"/>
  <c r="BA4" i="68"/>
  <c r="AZ4" i="68"/>
  <c r="AY4" i="68"/>
  <c r="AX4" i="68"/>
  <c r="AW4" i="68"/>
  <c r="AV4" i="68"/>
  <c r="AU4" i="68"/>
  <c r="AT4" i="68"/>
  <c r="AS4" i="68"/>
  <c r="AR4" i="68"/>
  <c r="AQ4" i="68"/>
  <c r="AP4" i="68"/>
  <c r="AO4" i="68"/>
  <c r="AN4" i="68"/>
  <c r="AM4" i="68"/>
  <c r="AL4" i="68"/>
  <c r="AK4" i="68"/>
  <c r="AJ4" i="68"/>
  <c r="AI4" i="68"/>
  <c r="AH4" i="68"/>
  <c r="AG4" i="68"/>
  <c r="AF4" i="68"/>
  <c r="AE4" i="68"/>
  <c r="AD4" i="68"/>
  <c r="AC4" i="68"/>
  <c r="AB4" i="68"/>
  <c r="AA4" i="68"/>
  <c r="Z4" i="68"/>
  <c r="Y4" i="68"/>
  <c r="X4" i="68"/>
  <c r="W4" i="68"/>
  <c r="V4" i="68"/>
  <c r="U4" i="68"/>
  <c r="T4" i="68"/>
  <c r="S4" i="68"/>
  <c r="R4" i="68"/>
  <c r="Q4" i="68"/>
  <c r="P4" i="68"/>
  <c r="O4" i="68"/>
  <c r="N4" i="68"/>
  <c r="M4" i="68"/>
  <c r="L4" i="68"/>
  <c r="K4" i="68"/>
  <c r="J4" i="68"/>
  <c r="I4" i="68"/>
  <c r="H4" i="68"/>
  <c r="G4" i="68"/>
  <c r="F4" i="68"/>
  <c r="E4" i="68"/>
  <c r="BD3" i="68"/>
  <c r="BC3" i="68"/>
  <c r="BB3" i="68"/>
  <c r="BA3" i="68"/>
  <c r="AZ3" i="68"/>
  <c r="AY3" i="68"/>
  <c r="AX3" i="68"/>
  <c r="AW3" i="68"/>
  <c r="AV3" i="68"/>
  <c r="AU3" i="68"/>
  <c r="AT3" i="68"/>
  <c r="AS3" i="68"/>
  <c r="AR3" i="68"/>
  <c r="AQ3" i="68"/>
  <c r="AP3" i="68"/>
  <c r="AO3" i="68"/>
  <c r="AN3" i="68"/>
  <c r="AM3" i="68"/>
  <c r="AL3" i="68"/>
  <c r="AK3" i="68"/>
  <c r="AJ3" i="68"/>
  <c r="AI3" i="68"/>
  <c r="AH3" i="68"/>
  <c r="AG3" i="68"/>
  <c r="AF3" i="68"/>
  <c r="AE3" i="68"/>
  <c r="AD3" i="68"/>
  <c r="AC3" i="68"/>
  <c r="AB3" i="68"/>
  <c r="AA3" i="68"/>
  <c r="Z3" i="68"/>
  <c r="X3" i="68"/>
  <c r="W3" i="68"/>
  <c r="V3" i="68"/>
  <c r="U3" i="68"/>
  <c r="T3" i="68"/>
  <c r="S3" i="68"/>
  <c r="R3" i="68"/>
  <c r="Q3" i="68"/>
  <c r="P3" i="68"/>
  <c r="O3" i="68"/>
  <c r="N3" i="68"/>
  <c r="M3" i="68"/>
  <c r="L3" i="68"/>
  <c r="K3" i="68"/>
  <c r="J3" i="68"/>
  <c r="I3" i="68"/>
  <c r="H3" i="68"/>
  <c r="G3" i="68"/>
  <c r="F3" i="68"/>
  <c r="E3" i="68"/>
  <c r="Y3" i="68"/>
  <c r="BD107" i="62"/>
  <c r="BC107" i="62"/>
  <c r="BB107" i="62"/>
  <c r="BA107" i="62"/>
  <c r="AZ107" i="62"/>
  <c r="AY107" i="62"/>
  <c r="AX107" i="62"/>
  <c r="AW107" i="62"/>
  <c r="AV107" i="62"/>
  <c r="AU107" i="62"/>
  <c r="AT107" i="62"/>
  <c r="AS107" i="62"/>
  <c r="AR107" i="62"/>
  <c r="AQ107" i="62"/>
  <c r="AP107" i="62"/>
  <c r="AO107" i="62"/>
  <c r="AN107" i="62"/>
  <c r="AM107" i="62"/>
  <c r="AL107" i="62"/>
  <c r="AK107" i="62"/>
  <c r="AJ107" i="62"/>
  <c r="AI107" i="62"/>
  <c r="AH107" i="62"/>
  <c r="AG107" i="62"/>
  <c r="AF107" i="62"/>
  <c r="AE107" i="62"/>
  <c r="AD107" i="62"/>
  <c r="AC107" i="62"/>
  <c r="AB107" i="62"/>
  <c r="AA107" i="62"/>
  <c r="Z107" i="62"/>
  <c r="Y107" i="62"/>
  <c r="X107" i="62"/>
  <c r="W107" i="62"/>
  <c r="V107" i="62"/>
  <c r="U107" i="62"/>
  <c r="BD85" i="62"/>
  <c r="BC85" i="62"/>
  <c r="BB85" i="62"/>
  <c r="BA85" i="62"/>
  <c r="AZ85" i="62"/>
  <c r="AY85" i="62"/>
  <c r="AX85" i="62"/>
  <c r="AW85" i="62"/>
  <c r="AV85" i="62"/>
  <c r="AU85" i="62"/>
  <c r="AT85" i="62"/>
  <c r="AS85" i="62"/>
  <c r="AR85" i="62"/>
  <c r="AQ85" i="62"/>
  <c r="AP85" i="62"/>
  <c r="AO85" i="62"/>
  <c r="AN85" i="62"/>
  <c r="AM85" i="62"/>
  <c r="AL85" i="62"/>
  <c r="AK85" i="62"/>
  <c r="AJ85" i="62"/>
  <c r="AI85" i="62"/>
  <c r="AH85" i="62"/>
  <c r="AG85" i="62"/>
  <c r="AF85" i="62"/>
  <c r="AE85" i="62"/>
  <c r="AD85" i="62"/>
  <c r="AC85" i="62"/>
  <c r="AB85" i="62"/>
  <c r="AA85" i="62"/>
  <c r="Z85" i="62"/>
  <c r="Y85" i="62"/>
  <c r="X85" i="62"/>
  <c r="W85" i="62"/>
  <c r="V85" i="62"/>
  <c r="T85" i="62"/>
  <c r="S85" i="62"/>
  <c r="R85" i="62"/>
  <c r="Q85" i="62"/>
  <c r="P85" i="62"/>
  <c r="O85" i="62"/>
  <c r="N85" i="62"/>
  <c r="M85" i="62"/>
  <c r="L85" i="62"/>
  <c r="K85" i="62"/>
  <c r="J85" i="62"/>
  <c r="I85" i="62"/>
  <c r="H85" i="62"/>
  <c r="G85" i="62"/>
  <c r="F85" i="62"/>
  <c r="E85" i="62"/>
  <c r="U85" i="62"/>
  <c r="BD94" i="62" l="1"/>
  <c r="BD97" i="62" s="1"/>
  <c r="BD98" i="62" s="1"/>
  <c r="BC94" i="62"/>
  <c r="BC97" i="62" s="1"/>
  <c r="BC98" i="62" s="1"/>
  <c r="BB94" i="62"/>
  <c r="BB97" i="62" s="1"/>
  <c r="BB98" i="62" s="1"/>
  <c r="BA94" i="62"/>
  <c r="BA97" i="62" s="1"/>
  <c r="BA98" i="62" s="1"/>
  <c r="AZ94" i="62"/>
  <c r="AZ97" i="62" s="1"/>
  <c r="AZ98" i="62" s="1"/>
  <c r="AY94" i="62"/>
  <c r="AY97" i="62" s="1"/>
  <c r="AY98" i="62" s="1"/>
  <c r="AX94" i="62"/>
  <c r="AX97" i="62" s="1"/>
  <c r="AX98" i="62" s="1"/>
  <c r="AW94" i="62"/>
  <c r="AW97" i="62" s="1"/>
  <c r="AW98" i="62" s="1"/>
  <c r="AV94" i="62"/>
  <c r="AV97" i="62" s="1"/>
  <c r="AV98" i="62" s="1"/>
  <c r="AU94" i="62"/>
  <c r="AU97" i="62" s="1"/>
  <c r="AU98" i="62" s="1"/>
  <c r="AT94" i="62"/>
  <c r="AT97" i="62" s="1"/>
  <c r="AT98" i="62" s="1"/>
  <c r="AS94" i="62"/>
  <c r="AS97" i="62" s="1"/>
  <c r="AS98" i="62" s="1"/>
  <c r="AR94" i="62"/>
  <c r="AR97" i="62" s="1"/>
  <c r="AR98" i="62" s="1"/>
  <c r="AQ94" i="62"/>
  <c r="AQ97" i="62" s="1"/>
  <c r="AQ98" i="62" s="1"/>
  <c r="AP94" i="62"/>
  <c r="AP97" i="62" s="1"/>
  <c r="AP98" i="62" s="1"/>
  <c r="AO94" i="62"/>
  <c r="AO97" i="62" s="1"/>
  <c r="AO98" i="62" s="1"/>
  <c r="AN94" i="62"/>
  <c r="AN97" i="62" s="1"/>
  <c r="AN98" i="62" s="1"/>
  <c r="AM94" i="62"/>
  <c r="AM97" i="62" s="1"/>
  <c r="AM98" i="62" s="1"/>
  <c r="AL94" i="62"/>
  <c r="AL97" i="62" s="1"/>
  <c r="AL98" i="62" s="1"/>
  <c r="AK94" i="62"/>
  <c r="AK97" i="62" s="1"/>
  <c r="AK98" i="62" s="1"/>
  <c r="AJ94" i="62"/>
  <c r="AJ97" i="62" s="1"/>
  <c r="AJ98" i="62" s="1"/>
  <c r="AI94" i="62"/>
  <c r="AI97" i="62" s="1"/>
  <c r="AI98" i="62" s="1"/>
  <c r="AH94" i="62"/>
  <c r="AH97" i="62" s="1"/>
  <c r="AH98" i="62" s="1"/>
  <c r="AG94" i="62"/>
  <c r="AG97" i="62" s="1"/>
  <c r="AG98" i="62" s="1"/>
  <c r="AF94" i="62"/>
  <c r="AF97" i="62" s="1"/>
  <c r="AF98" i="62" s="1"/>
  <c r="AE94" i="62"/>
  <c r="AE97" i="62" s="1"/>
  <c r="AE98" i="62" s="1"/>
  <c r="AD94" i="62"/>
  <c r="AD97" i="62" s="1"/>
  <c r="AD98" i="62" s="1"/>
  <c r="AC94" i="62"/>
  <c r="AC97" i="62" s="1"/>
  <c r="AC98" i="62" s="1"/>
  <c r="AB94" i="62"/>
  <c r="AB97" i="62" s="1"/>
  <c r="AB98" i="62" s="1"/>
  <c r="AA94" i="62"/>
  <c r="AA97" i="62" s="1"/>
  <c r="AA98" i="62" s="1"/>
  <c r="Z94" i="62"/>
  <c r="Z97" i="62" s="1"/>
  <c r="Z98" i="62" s="1"/>
  <c r="Y94" i="62"/>
  <c r="Y97" i="62" s="1"/>
  <c r="Y98" i="62" s="1"/>
  <c r="X94" i="62"/>
  <c r="X97" i="62" s="1"/>
  <c r="X98" i="62" s="1"/>
  <c r="W94" i="62"/>
  <c r="W97" i="62" s="1"/>
  <c r="W98" i="62" s="1"/>
  <c r="V94" i="62"/>
  <c r="V97" i="62" s="1"/>
  <c r="V98" i="62" s="1"/>
  <c r="U94" i="62"/>
  <c r="U97" i="62" s="1"/>
  <c r="U98" i="62" s="1"/>
  <c r="T94" i="62"/>
  <c r="T97" i="62" s="1"/>
  <c r="S94" i="62"/>
  <c r="S97" i="62" s="1"/>
  <c r="R94" i="62"/>
  <c r="R97" i="62" s="1"/>
  <c r="Q94" i="62"/>
  <c r="Q97" i="62" s="1"/>
  <c r="P94" i="62"/>
  <c r="P97" i="62" s="1"/>
  <c r="O94" i="62"/>
  <c r="O97" i="62" s="1"/>
  <c r="N94" i="62"/>
  <c r="N97" i="62" s="1"/>
  <c r="M94" i="62"/>
  <c r="M97" i="62" s="1"/>
  <c r="L94" i="62"/>
  <c r="L97" i="62" s="1"/>
  <c r="K94" i="62"/>
  <c r="K97" i="62" s="1"/>
  <c r="J94" i="62"/>
  <c r="J97" i="62" s="1"/>
  <c r="I94" i="62"/>
  <c r="I97" i="62" s="1"/>
  <c r="H94" i="62"/>
  <c r="H97" i="62" s="1"/>
  <c r="G94" i="62"/>
  <c r="G97" i="62" s="1"/>
  <c r="F94" i="62"/>
  <c r="F97" i="62" s="1"/>
  <c r="E94" i="62"/>
  <c r="E97" i="62" s="1"/>
  <c r="BD105" i="64"/>
  <c r="BC105" i="64"/>
  <c r="BB105" i="64"/>
  <c r="BA105" i="64"/>
  <c r="AZ105" i="64"/>
  <c r="AY105" i="64"/>
  <c r="AX105" i="64"/>
  <c r="AW105" i="64"/>
  <c r="AV105" i="64"/>
  <c r="AU105" i="64"/>
  <c r="AT105" i="64"/>
  <c r="AS105" i="64"/>
  <c r="AR105" i="64"/>
  <c r="AQ105" i="64"/>
  <c r="AP105" i="64"/>
  <c r="AO105" i="64"/>
  <c r="AN105" i="64"/>
  <c r="AM105" i="64"/>
  <c r="AL105" i="64"/>
  <c r="AK105" i="64"/>
  <c r="AJ105" i="64"/>
  <c r="AI105" i="64"/>
  <c r="AH105" i="64"/>
  <c r="AG105" i="64"/>
  <c r="AF105" i="64"/>
  <c r="AE105" i="64"/>
  <c r="AD105" i="64"/>
  <c r="AC105" i="64"/>
  <c r="AB105" i="64"/>
  <c r="AA105" i="64"/>
  <c r="Z105" i="64"/>
  <c r="Y105" i="64"/>
  <c r="X105" i="64"/>
  <c r="W105" i="64"/>
  <c r="V105" i="64"/>
  <c r="U105" i="64"/>
  <c r="T105" i="64"/>
  <c r="S105" i="64"/>
  <c r="R105" i="64"/>
  <c r="Q105" i="64"/>
  <c r="P105" i="64"/>
  <c r="O105" i="64"/>
  <c r="N105" i="64"/>
  <c r="M105" i="64"/>
  <c r="L105" i="64"/>
  <c r="K105" i="64"/>
  <c r="J105" i="64"/>
  <c r="I105" i="64"/>
  <c r="H105" i="64"/>
  <c r="G105" i="64"/>
  <c r="F105" i="64"/>
  <c r="E105" i="64"/>
  <c r="BD79" i="64"/>
  <c r="BC79" i="64"/>
  <c r="BB79" i="64"/>
  <c r="BA79" i="64"/>
  <c r="AZ79" i="64"/>
  <c r="AY79" i="64"/>
  <c r="AX79" i="64"/>
  <c r="AW79" i="64"/>
  <c r="AV79" i="64"/>
  <c r="AU79" i="64"/>
  <c r="AT79" i="64"/>
  <c r="AS79" i="64"/>
  <c r="AR79" i="64"/>
  <c r="AQ79" i="64"/>
  <c r="AP79" i="64"/>
  <c r="AO79" i="64"/>
  <c r="AN79" i="64"/>
  <c r="AM79" i="64"/>
  <c r="AL79" i="64"/>
  <c r="AK79" i="64"/>
  <c r="AJ79" i="64"/>
  <c r="AI79" i="64"/>
  <c r="AH79" i="64"/>
  <c r="AG79" i="64"/>
  <c r="AF79" i="64"/>
  <c r="AE79" i="64"/>
  <c r="AD79" i="64"/>
  <c r="AC79" i="64"/>
  <c r="AB79" i="64"/>
  <c r="AA79" i="64"/>
  <c r="Z79" i="64"/>
  <c r="Y79" i="64"/>
  <c r="X79" i="64"/>
  <c r="W79" i="64"/>
  <c r="V79" i="64"/>
  <c r="U79" i="64"/>
  <c r="T79" i="64"/>
  <c r="S79" i="64"/>
  <c r="R79" i="64"/>
  <c r="Q79" i="64"/>
  <c r="P79" i="64"/>
  <c r="O79" i="64"/>
  <c r="N79" i="64"/>
  <c r="M79" i="64"/>
  <c r="L79" i="64"/>
  <c r="K79" i="64"/>
  <c r="J79" i="64"/>
  <c r="I79" i="64"/>
  <c r="H79" i="64"/>
  <c r="G79" i="64"/>
  <c r="F79" i="64"/>
  <c r="E79" i="64"/>
  <c r="BD88" i="64" l="1"/>
  <c r="BD91" i="64" s="1"/>
  <c r="BD92" i="64" s="1"/>
  <c r="BD99" i="62" s="1"/>
  <c r="BC88" i="64"/>
  <c r="BC91" i="64" s="1"/>
  <c r="BC92" i="64" s="1"/>
  <c r="BC99" i="62" s="1"/>
  <c r="BB88" i="64"/>
  <c r="BB91" i="64" s="1"/>
  <c r="BB92" i="64" s="1"/>
  <c r="BB99" i="62" s="1"/>
  <c r="BA88" i="64"/>
  <c r="BA91" i="64" s="1"/>
  <c r="BA92" i="64" s="1"/>
  <c r="BA99" i="62" s="1"/>
  <c r="AZ88" i="64"/>
  <c r="AZ91" i="64" s="1"/>
  <c r="AZ92" i="64" s="1"/>
  <c r="AZ99" i="62" s="1"/>
  <c r="AY88" i="64"/>
  <c r="AY91" i="64" s="1"/>
  <c r="AY92" i="64" s="1"/>
  <c r="AY99" i="62" s="1"/>
  <c r="AX88" i="64"/>
  <c r="AX91" i="64" s="1"/>
  <c r="AX92" i="64" s="1"/>
  <c r="AX99" i="62" s="1"/>
  <c r="AW88" i="64"/>
  <c r="AW91" i="64" s="1"/>
  <c r="AW92" i="64" s="1"/>
  <c r="AW99" i="62" s="1"/>
  <c r="AV88" i="64"/>
  <c r="AV91" i="64" s="1"/>
  <c r="AV92" i="64" s="1"/>
  <c r="AV99" i="62" s="1"/>
  <c r="AU88" i="64"/>
  <c r="AU91" i="64" s="1"/>
  <c r="AU92" i="64" s="1"/>
  <c r="AU99" i="62" s="1"/>
  <c r="AT88" i="64"/>
  <c r="AT91" i="64" s="1"/>
  <c r="AT92" i="64" s="1"/>
  <c r="AT99" i="62" s="1"/>
  <c r="AS88" i="64"/>
  <c r="AS91" i="64" s="1"/>
  <c r="AS92" i="64" s="1"/>
  <c r="AS99" i="62" s="1"/>
  <c r="AR88" i="64"/>
  <c r="AR91" i="64" s="1"/>
  <c r="AR92" i="64" s="1"/>
  <c r="AR99" i="62" s="1"/>
  <c r="AQ88" i="64"/>
  <c r="AQ91" i="64" s="1"/>
  <c r="AQ92" i="64" s="1"/>
  <c r="AQ99" i="62" s="1"/>
  <c r="AP88" i="64"/>
  <c r="AP91" i="64" s="1"/>
  <c r="AP92" i="64" s="1"/>
  <c r="AP99" i="62" s="1"/>
  <c r="AO88" i="64"/>
  <c r="AO91" i="64" s="1"/>
  <c r="AO92" i="64" s="1"/>
  <c r="AO99" i="62" s="1"/>
  <c r="AN88" i="64"/>
  <c r="AN91" i="64" s="1"/>
  <c r="AN92" i="64" s="1"/>
  <c r="AN99" i="62" s="1"/>
  <c r="AM88" i="64"/>
  <c r="AM91" i="64" s="1"/>
  <c r="AM92" i="64" s="1"/>
  <c r="AM99" i="62" s="1"/>
  <c r="AL88" i="64"/>
  <c r="AL91" i="64" s="1"/>
  <c r="AL92" i="64" s="1"/>
  <c r="AL99" i="62" s="1"/>
  <c r="AK88" i="64"/>
  <c r="AK91" i="64" s="1"/>
  <c r="AK92" i="64" s="1"/>
  <c r="AK99" i="62" s="1"/>
  <c r="AJ88" i="64"/>
  <c r="AJ91" i="64" s="1"/>
  <c r="AJ92" i="64" s="1"/>
  <c r="AJ99" i="62" s="1"/>
  <c r="AI88" i="64"/>
  <c r="AI91" i="64" s="1"/>
  <c r="AI92" i="64" s="1"/>
  <c r="AI99" i="62" s="1"/>
  <c r="AH88" i="64"/>
  <c r="AH91" i="64" s="1"/>
  <c r="AH92" i="64" s="1"/>
  <c r="AH99" i="62" s="1"/>
  <c r="AG88" i="64"/>
  <c r="AG91" i="64" s="1"/>
  <c r="AG92" i="64" s="1"/>
  <c r="AG99" i="62" s="1"/>
  <c r="AF88" i="64"/>
  <c r="AF91" i="64" s="1"/>
  <c r="AF92" i="64" s="1"/>
  <c r="AF99" i="62" s="1"/>
  <c r="AE88" i="64"/>
  <c r="AE91" i="64" s="1"/>
  <c r="AE92" i="64" s="1"/>
  <c r="AE99" i="62" s="1"/>
  <c r="AD88" i="64"/>
  <c r="AD91" i="64" s="1"/>
  <c r="AD92" i="64" s="1"/>
  <c r="AD99" i="62" s="1"/>
  <c r="AC88" i="64"/>
  <c r="AC91" i="64" s="1"/>
  <c r="AC92" i="64" s="1"/>
  <c r="AC99" i="62" s="1"/>
  <c r="AB88" i="64"/>
  <c r="AB91" i="64" s="1"/>
  <c r="AB92" i="64" s="1"/>
  <c r="AB99" i="62" s="1"/>
  <c r="AA88" i="64"/>
  <c r="AA91" i="64" s="1"/>
  <c r="AA92" i="64" s="1"/>
  <c r="AA99" i="62" s="1"/>
  <c r="Z88" i="64"/>
  <c r="Z91" i="64" s="1"/>
  <c r="Z92" i="64" s="1"/>
  <c r="Z99" i="62" s="1"/>
  <c r="Y88" i="64"/>
  <c r="Y91" i="64" s="1"/>
  <c r="Y92" i="64" s="1"/>
  <c r="Y99" i="62" s="1"/>
  <c r="X88" i="64"/>
  <c r="X91" i="64" s="1"/>
  <c r="X92" i="64" s="1"/>
  <c r="X99" i="62" s="1"/>
  <c r="W88" i="64"/>
  <c r="W91" i="64" s="1"/>
  <c r="W92" i="64" s="1"/>
  <c r="W99" i="62" s="1"/>
  <c r="V88" i="64"/>
  <c r="V91" i="64" s="1"/>
  <c r="V92" i="64" s="1"/>
  <c r="V99" i="62" s="1"/>
  <c r="U88" i="64"/>
  <c r="U91" i="64" s="1"/>
  <c r="U92" i="64" s="1"/>
  <c r="U99" i="62" s="1"/>
  <c r="T88" i="64"/>
  <c r="T91" i="64" s="1"/>
  <c r="T92" i="64" s="1"/>
  <c r="S88" i="64"/>
  <c r="S91" i="64" s="1"/>
  <c r="S92" i="64" s="1"/>
  <c r="R88" i="64"/>
  <c r="R91" i="64" s="1"/>
  <c r="R92" i="64" s="1"/>
  <c r="Q88" i="64"/>
  <c r="Q91" i="64" s="1"/>
  <c r="Q92" i="64" s="1"/>
  <c r="P88" i="64"/>
  <c r="P91" i="64" s="1"/>
  <c r="P92" i="64" s="1"/>
  <c r="O88" i="64"/>
  <c r="O91" i="64" s="1"/>
  <c r="O92" i="64" s="1"/>
  <c r="N88" i="64"/>
  <c r="N91" i="64" s="1"/>
  <c r="N92" i="64" s="1"/>
  <c r="M88" i="64"/>
  <c r="M91" i="64" s="1"/>
  <c r="M92" i="64" s="1"/>
  <c r="L88" i="64"/>
  <c r="L91" i="64" s="1"/>
  <c r="L92" i="64" s="1"/>
  <c r="K88" i="64"/>
  <c r="K91" i="64" s="1"/>
  <c r="K92" i="64" s="1"/>
  <c r="J88" i="64"/>
  <c r="J91" i="64" s="1"/>
  <c r="J92" i="64" s="1"/>
  <c r="I88" i="64"/>
  <c r="I91" i="64" s="1"/>
  <c r="I92" i="64" s="1"/>
  <c r="H88" i="64"/>
  <c r="H91" i="64" s="1"/>
  <c r="H92" i="64" s="1"/>
  <c r="G88" i="64"/>
  <c r="G91" i="64" s="1"/>
  <c r="G92" i="64" s="1"/>
  <c r="F88" i="64"/>
  <c r="F91" i="64" s="1"/>
  <c r="F92" i="64" s="1"/>
  <c r="E88" i="64"/>
  <c r="E91" i="64" s="1"/>
  <c r="E92" i="64" s="1"/>
  <c r="T107" i="62"/>
  <c r="S107" i="62"/>
  <c r="R107" i="62"/>
  <c r="Q107" i="62"/>
  <c r="P107" i="62"/>
  <c r="O107" i="62"/>
  <c r="N107" i="62"/>
  <c r="M107" i="62"/>
  <c r="L107" i="62"/>
  <c r="K107" i="62"/>
  <c r="J107" i="62"/>
  <c r="I107" i="62"/>
  <c r="H107" i="62"/>
  <c r="G107" i="62"/>
  <c r="F107" i="62"/>
  <c r="E107" i="62"/>
  <c r="BD132" i="70" l="1"/>
  <c r="BC132" i="70"/>
  <c r="BB132" i="70"/>
  <c r="BA132" i="70"/>
  <c r="AZ132" i="70"/>
  <c r="AY132" i="70"/>
  <c r="AX132" i="70"/>
  <c r="AW132" i="70"/>
  <c r="AV132" i="70"/>
  <c r="AU132" i="70"/>
  <c r="AT132" i="70"/>
  <c r="AS132" i="70"/>
  <c r="AR132" i="70"/>
  <c r="AQ132" i="70"/>
  <c r="AP132" i="70"/>
  <c r="AO132" i="70"/>
  <c r="AN132" i="70"/>
  <c r="AM132" i="70"/>
  <c r="AL132" i="70"/>
  <c r="AK132" i="70"/>
  <c r="AJ132" i="70"/>
  <c r="AI132" i="70"/>
  <c r="AH132" i="70"/>
  <c r="AG132" i="70"/>
  <c r="AF132" i="70"/>
  <c r="AE132" i="70"/>
  <c r="AD132" i="70"/>
  <c r="AC132" i="70"/>
  <c r="AB132" i="70"/>
  <c r="AA132" i="70"/>
  <c r="Z132" i="70"/>
  <c r="Y132" i="70"/>
  <c r="X132" i="70"/>
  <c r="W132" i="70"/>
  <c r="V132" i="70"/>
  <c r="U132" i="70"/>
  <c r="T132" i="70"/>
  <c r="S132" i="70"/>
  <c r="R132" i="70"/>
  <c r="Q132" i="70"/>
  <c r="P132" i="70"/>
  <c r="O132" i="70"/>
  <c r="N132" i="70"/>
  <c r="M132" i="70"/>
  <c r="L132" i="70"/>
  <c r="K132" i="70"/>
  <c r="J132" i="70"/>
  <c r="I132" i="70"/>
  <c r="H132" i="70"/>
  <c r="G132" i="70"/>
  <c r="F132" i="70"/>
  <c r="E132" i="70"/>
  <c r="BD107" i="70"/>
  <c r="BC107" i="70"/>
  <c r="BB107" i="70"/>
  <c r="BA107" i="70"/>
  <c r="AZ107" i="70"/>
  <c r="AY107" i="70"/>
  <c r="AX107" i="70"/>
  <c r="AW107" i="70"/>
  <c r="AV107" i="70"/>
  <c r="AU107" i="70"/>
  <c r="AT107" i="70"/>
  <c r="AS107" i="70"/>
  <c r="AR107" i="70"/>
  <c r="AQ107" i="70"/>
  <c r="AP107" i="70"/>
  <c r="AO107" i="70"/>
  <c r="AN107" i="70"/>
  <c r="AM107" i="70"/>
  <c r="AL107" i="70"/>
  <c r="AK107" i="70"/>
  <c r="AJ107" i="70"/>
  <c r="AI107" i="70"/>
  <c r="AH107" i="70"/>
  <c r="AG107" i="70"/>
  <c r="AF107" i="70"/>
  <c r="AE107" i="70"/>
  <c r="AD107" i="70"/>
  <c r="AC107" i="70"/>
  <c r="AB107" i="70"/>
  <c r="AA107" i="70"/>
  <c r="Z107" i="70"/>
  <c r="Y107" i="70"/>
  <c r="X107" i="70"/>
  <c r="W107" i="70"/>
  <c r="V107" i="70"/>
  <c r="U107" i="70"/>
  <c r="T107" i="70"/>
  <c r="S107" i="70"/>
  <c r="R107" i="70"/>
  <c r="Q107" i="70"/>
  <c r="P107" i="70"/>
  <c r="O107" i="70"/>
  <c r="N107" i="70"/>
  <c r="M107" i="70"/>
  <c r="L107" i="70"/>
  <c r="K107" i="70"/>
  <c r="J107" i="70"/>
  <c r="I107" i="70"/>
  <c r="H107" i="70"/>
  <c r="G107" i="70"/>
  <c r="F107" i="70"/>
  <c r="E107" i="70"/>
  <c r="BD106" i="70"/>
  <c r="BC106" i="70"/>
  <c r="BB106" i="70"/>
  <c r="BA106" i="70"/>
  <c r="AZ106" i="70"/>
  <c r="AY106" i="70"/>
  <c r="AX106" i="70"/>
  <c r="AW106" i="70"/>
  <c r="AV106" i="70"/>
  <c r="AU106" i="70"/>
  <c r="AT106" i="70"/>
  <c r="AS106" i="70"/>
  <c r="AR106" i="70"/>
  <c r="AQ106" i="70"/>
  <c r="AP106" i="70"/>
  <c r="AO106" i="70"/>
  <c r="AN106" i="70"/>
  <c r="AM106" i="70"/>
  <c r="AL106" i="70"/>
  <c r="AK106" i="70"/>
  <c r="AJ106" i="70"/>
  <c r="AI106" i="70"/>
  <c r="AH106" i="70"/>
  <c r="AG106" i="70"/>
  <c r="AF106" i="70"/>
  <c r="AE106" i="70"/>
  <c r="AD106" i="70"/>
  <c r="AC106" i="70"/>
  <c r="AB106" i="70"/>
  <c r="AA106" i="70"/>
  <c r="Z106" i="70"/>
  <c r="Y106" i="70"/>
  <c r="X106" i="70"/>
  <c r="W106" i="70"/>
  <c r="V106" i="70"/>
  <c r="U106" i="70"/>
  <c r="T106" i="70"/>
  <c r="S106" i="70"/>
  <c r="R106" i="70"/>
  <c r="Q106" i="70"/>
  <c r="P106" i="70"/>
  <c r="O106" i="70"/>
  <c r="N106" i="70"/>
  <c r="M106" i="70"/>
  <c r="L106" i="70"/>
  <c r="K106" i="70"/>
  <c r="J106" i="70"/>
  <c r="I106" i="70"/>
  <c r="H106" i="70"/>
  <c r="G106" i="70"/>
  <c r="F106" i="70"/>
  <c r="E106" i="70"/>
  <c r="BD104" i="70"/>
  <c r="BC104" i="70"/>
  <c r="BB104" i="70"/>
  <c r="BA104" i="70"/>
  <c r="AZ104" i="70"/>
  <c r="AY104" i="70"/>
  <c r="AX104" i="70"/>
  <c r="AW104" i="70"/>
  <c r="AV104" i="70"/>
  <c r="AU104" i="70"/>
  <c r="AT104" i="70"/>
  <c r="AS104" i="70"/>
  <c r="AR104" i="70"/>
  <c r="AQ104" i="70"/>
  <c r="AP104" i="70"/>
  <c r="AO104" i="70"/>
  <c r="AN104" i="70"/>
  <c r="AM104" i="70"/>
  <c r="AL104" i="70"/>
  <c r="AK104" i="70"/>
  <c r="AJ104" i="70"/>
  <c r="AI104" i="70"/>
  <c r="AH104" i="70"/>
  <c r="AG104" i="70"/>
  <c r="AF104" i="70"/>
  <c r="AE104" i="70"/>
  <c r="AD104" i="70"/>
  <c r="AC104" i="70"/>
  <c r="AB104" i="70"/>
  <c r="AA104" i="70"/>
  <c r="Z104" i="70"/>
  <c r="Y104" i="70"/>
  <c r="X104" i="70"/>
  <c r="W104" i="70"/>
  <c r="V104" i="70"/>
  <c r="U104" i="70"/>
  <c r="T104" i="70"/>
  <c r="S104" i="70"/>
  <c r="R104" i="70"/>
  <c r="Q104" i="70"/>
  <c r="P104" i="70"/>
  <c r="O104" i="70"/>
  <c r="N104" i="70"/>
  <c r="M104" i="70"/>
  <c r="L104" i="70"/>
  <c r="K104" i="70"/>
  <c r="J104" i="70"/>
  <c r="I104" i="70"/>
  <c r="H104" i="70"/>
  <c r="G104" i="70"/>
  <c r="F104" i="70"/>
  <c r="E104" i="70"/>
  <c r="BD103" i="70"/>
  <c r="BC103" i="70"/>
  <c r="BB103" i="70"/>
  <c r="BA103" i="70"/>
  <c r="AZ103" i="70"/>
  <c r="AY103" i="70"/>
  <c r="AX103" i="70"/>
  <c r="AW103" i="70"/>
  <c r="AV103" i="70"/>
  <c r="AU103" i="70"/>
  <c r="AT103" i="70"/>
  <c r="AS103" i="70"/>
  <c r="AR103" i="70"/>
  <c r="AQ103" i="70"/>
  <c r="AP103" i="70"/>
  <c r="AO103" i="70"/>
  <c r="AN103" i="70"/>
  <c r="AM103" i="70"/>
  <c r="AL103" i="70"/>
  <c r="AK103" i="70"/>
  <c r="AJ103" i="70"/>
  <c r="AI103" i="70"/>
  <c r="AH103" i="70"/>
  <c r="AG103" i="70"/>
  <c r="AF103" i="70"/>
  <c r="AE103" i="70"/>
  <c r="AD103" i="70"/>
  <c r="AC103" i="70"/>
  <c r="AB103" i="70"/>
  <c r="AA103" i="70"/>
  <c r="Z103" i="70"/>
  <c r="Y103" i="70"/>
  <c r="X103" i="70"/>
  <c r="W103" i="70"/>
  <c r="V103" i="70"/>
  <c r="U103" i="70"/>
  <c r="T103" i="70"/>
  <c r="S103" i="70"/>
  <c r="R103" i="70"/>
  <c r="Q103" i="70"/>
  <c r="P103" i="70"/>
  <c r="O103" i="70"/>
  <c r="N103" i="70"/>
  <c r="M103" i="70"/>
  <c r="L103" i="70"/>
  <c r="K103" i="70"/>
  <c r="J103" i="70"/>
  <c r="I103" i="70"/>
  <c r="H103" i="70"/>
  <c r="G103" i="70"/>
  <c r="F103" i="70"/>
  <c r="E103" i="70"/>
  <c r="BD102" i="70"/>
  <c r="BC102" i="70"/>
  <c r="BB102" i="70"/>
  <c r="BA102" i="70"/>
  <c r="AZ102" i="70"/>
  <c r="AY102" i="70"/>
  <c r="AX102" i="70"/>
  <c r="AW102" i="70"/>
  <c r="AV102" i="70"/>
  <c r="AU102" i="70"/>
  <c r="AT102" i="70"/>
  <c r="AS102" i="70"/>
  <c r="AR102" i="70"/>
  <c r="AQ102" i="70"/>
  <c r="AP102" i="70"/>
  <c r="AO102" i="70"/>
  <c r="AN102" i="70"/>
  <c r="AM102" i="70"/>
  <c r="AL102" i="70"/>
  <c r="AK102" i="70"/>
  <c r="AJ102" i="70"/>
  <c r="AI102" i="70"/>
  <c r="AH102" i="70"/>
  <c r="AG102" i="70"/>
  <c r="AF102" i="70"/>
  <c r="AE102" i="70"/>
  <c r="AD102" i="70"/>
  <c r="AC102" i="70"/>
  <c r="AB102" i="70"/>
  <c r="AA102" i="70"/>
  <c r="Z102" i="70"/>
  <c r="Y102" i="70"/>
  <c r="X102" i="70"/>
  <c r="W102" i="70"/>
  <c r="V102" i="70"/>
  <c r="U102" i="70"/>
  <c r="T102" i="70"/>
  <c r="S102" i="70"/>
  <c r="R102" i="70"/>
  <c r="Q102" i="70"/>
  <c r="P102" i="70"/>
  <c r="O102" i="70"/>
  <c r="N102" i="70"/>
  <c r="M102" i="70"/>
  <c r="L102" i="70"/>
  <c r="K102" i="70"/>
  <c r="J102" i="70"/>
  <c r="I102" i="70"/>
  <c r="H102" i="70"/>
  <c r="G102" i="70"/>
  <c r="F102" i="70"/>
  <c r="E102" i="70"/>
  <c r="BD101" i="70"/>
  <c r="BC101" i="70"/>
  <c r="BB101" i="70"/>
  <c r="BA101" i="70"/>
  <c r="AZ101" i="70"/>
  <c r="AY101" i="70"/>
  <c r="AX101" i="70"/>
  <c r="AW101" i="70"/>
  <c r="AV101" i="70"/>
  <c r="AU101" i="70"/>
  <c r="AT101" i="70"/>
  <c r="AS101" i="70"/>
  <c r="AR101" i="70"/>
  <c r="AQ101" i="70"/>
  <c r="AP101" i="70"/>
  <c r="AO101" i="70"/>
  <c r="AN101" i="70"/>
  <c r="AM101" i="70"/>
  <c r="AL101" i="70"/>
  <c r="AK101" i="70"/>
  <c r="AJ101" i="70"/>
  <c r="AI101" i="70"/>
  <c r="AH101" i="70"/>
  <c r="AG101" i="70"/>
  <c r="AF101" i="70"/>
  <c r="AE101" i="70"/>
  <c r="AD101" i="70"/>
  <c r="AC101" i="70"/>
  <c r="AB101" i="70"/>
  <c r="AA101" i="70"/>
  <c r="Z101" i="70"/>
  <c r="Y101" i="70"/>
  <c r="X101" i="70"/>
  <c r="W101" i="70"/>
  <c r="V101" i="70"/>
  <c r="U101" i="70"/>
  <c r="T101" i="70"/>
  <c r="S101" i="70"/>
  <c r="R101" i="70"/>
  <c r="Q101" i="70"/>
  <c r="P101" i="70"/>
  <c r="O101" i="70"/>
  <c r="N101" i="70"/>
  <c r="M101" i="70"/>
  <c r="L101" i="70"/>
  <c r="K101" i="70"/>
  <c r="J101" i="70"/>
  <c r="I101" i="70"/>
  <c r="H101" i="70"/>
  <c r="G101" i="70"/>
  <c r="F101" i="70"/>
  <c r="E101" i="70"/>
  <c r="BD100" i="70"/>
  <c r="BC100" i="70"/>
  <c r="BB100" i="70"/>
  <c r="BA100" i="70"/>
  <c r="AZ100" i="70"/>
  <c r="AY100" i="70"/>
  <c r="AX100" i="70"/>
  <c r="AW100" i="70"/>
  <c r="AV100" i="70"/>
  <c r="AU100" i="70"/>
  <c r="AT100" i="70"/>
  <c r="AS100" i="70"/>
  <c r="AR100" i="70"/>
  <c r="AQ100" i="70"/>
  <c r="AP100" i="70"/>
  <c r="AO100" i="70"/>
  <c r="AN100" i="70"/>
  <c r="AM100" i="70"/>
  <c r="AL100" i="70"/>
  <c r="AK100" i="70"/>
  <c r="AJ100" i="70"/>
  <c r="AI100" i="70"/>
  <c r="AH100" i="70"/>
  <c r="AG100" i="70"/>
  <c r="AF100" i="70"/>
  <c r="AE100" i="70"/>
  <c r="AD100" i="70"/>
  <c r="AC100" i="70"/>
  <c r="AB100" i="70"/>
  <c r="AA100" i="70"/>
  <c r="Z100" i="70"/>
  <c r="Y100" i="70"/>
  <c r="X100" i="70"/>
  <c r="W100" i="70"/>
  <c r="V100" i="70"/>
  <c r="U100" i="70"/>
  <c r="T100" i="70"/>
  <c r="S100" i="70"/>
  <c r="R100" i="70"/>
  <c r="Q100" i="70"/>
  <c r="P100" i="70"/>
  <c r="O100" i="70"/>
  <c r="N100" i="70"/>
  <c r="M100" i="70"/>
  <c r="L100" i="70"/>
  <c r="K100" i="70"/>
  <c r="J100" i="70"/>
  <c r="I100" i="70"/>
  <c r="H100" i="70"/>
  <c r="G100" i="70"/>
  <c r="F100" i="70"/>
  <c r="E100" i="70"/>
  <c r="BD99" i="70"/>
  <c r="BC99" i="70"/>
  <c r="BB99" i="70"/>
  <c r="BA99" i="70"/>
  <c r="AZ99" i="70"/>
  <c r="AY99" i="70"/>
  <c r="AX99" i="70"/>
  <c r="AW99" i="70"/>
  <c r="AV99" i="70"/>
  <c r="AU99" i="70"/>
  <c r="AT99" i="70"/>
  <c r="AS99" i="70"/>
  <c r="AR99" i="70"/>
  <c r="AQ99" i="70"/>
  <c r="AP99" i="70"/>
  <c r="AO99" i="70"/>
  <c r="AN99" i="70"/>
  <c r="AM99" i="70"/>
  <c r="AL99" i="70"/>
  <c r="AK99" i="70"/>
  <c r="AJ99" i="70"/>
  <c r="AI99" i="70"/>
  <c r="AH99" i="70"/>
  <c r="AG99" i="70"/>
  <c r="AF99" i="70"/>
  <c r="AE99" i="70"/>
  <c r="AD99" i="70"/>
  <c r="AC99" i="70"/>
  <c r="AB99" i="70"/>
  <c r="AA99" i="70"/>
  <c r="Z99" i="70"/>
  <c r="Y99" i="70"/>
  <c r="X99" i="70"/>
  <c r="W99" i="70"/>
  <c r="V99" i="70"/>
  <c r="U99" i="70"/>
  <c r="T99" i="70"/>
  <c r="S99" i="70"/>
  <c r="R99" i="70"/>
  <c r="Q99" i="70"/>
  <c r="P99" i="70"/>
  <c r="O99" i="70"/>
  <c r="N99" i="70"/>
  <c r="M99" i="70"/>
  <c r="L99" i="70"/>
  <c r="K99" i="70"/>
  <c r="J99" i="70"/>
  <c r="I99" i="70"/>
  <c r="H99" i="70"/>
  <c r="G99" i="70"/>
  <c r="F99" i="70"/>
  <c r="E99" i="70"/>
  <c r="BD98" i="70"/>
  <c r="BC98" i="70"/>
  <c r="BB98" i="70"/>
  <c r="BA98" i="70"/>
  <c r="AZ98" i="70"/>
  <c r="AY98" i="70"/>
  <c r="AX98" i="70"/>
  <c r="AW98" i="70"/>
  <c r="AV98" i="70"/>
  <c r="AU98" i="70"/>
  <c r="AT98" i="70"/>
  <c r="AS98" i="70"/>
  <c r="AR98" i="70"/>
  <c r="AQ98" i="70"/>
  <c r="AP98" i="70"/>
  <c r="AO98" i="70"/>
  <c r="AN98" i="70"/>
  <c r="AM98" i="70"/>
  <c r="AL98" i="70"/>
  <c r="AK98" i="70"/>
  <c r="AJ98" i="70"/>
  <c r="AI98" i="70"/>
  <c r="AH98" i="70"/>
  <c r="AG98" i="70"/>
  <c r="AF98" i="70"/>
  <c r="AE98" i="70"/>
  <c r="AD98" i="70"/>
  <c r="AC98" i="70"/>
  <c r="AB98" i="70"/>
  <c r="AA98" i="70"/>
  <c r="Z98" i="70"/>
  <c r="Y98" i="70"/>
  <c r="X98" i="70"/>
  <c r="W98" i="70"/>
  <c r="V98" i="70"/>
  <c r="U98" i="70"/>
  <c r="T98" i="70"/>
  <c r="S98" i="70"/>
  <c r="R98" i="70"/>
  <c r="Q98" i="70"/>
  <c r="P98" i="70"/>
  <c r="O98" i="70"/>
  <c r="N98" i="70"/>
  <c r="M98" i="70"/>
  <c r="L98" i="70"/>
  <c r="K98" i="70"/>
  <c r="J98" i="70"/>
  <c r="I98" i="70"/>
  <c r="H98" i="70"/>
  <c r="G98" i="70"/>
  <c r="F98" i="70"/>
  <c r="E98" i="70"/>
  <c r="BD96" i="70"/>
  <c r="BC96" i="70"/>
  <c r="BB96" i="70"/>
  <c r="BA96" i="70"/>
  <c r="AZ96" i="70"/>
  <c r="AY96" i="70"/>
  <c r="AX96" i="70"/>
  <c r="AW96" i="70"/>
  <c r="AV96" i="70"/>
  <c r="AU96" i="70"/>
  <c r="AT96" i="70"/>
  <c r="AS96" i="70"/>
  <c r="AR96" i="70"/>
  <c r="AQ96" i="70"/>
  <c r="AP96" i="70"/>
  <c r="AO96" i="70"/>
  <c r="AN96" i="70"/>
  <c r="AM96" i="70"/>
  <c r="AL96" i="70"/>
  <c r="AK96" i="70"/>
  <c r="AJ96" i="70"/>
  <c r="AI96" i="70"/>
  <c r="AH96" i="70"/>
  <c r="AG96" i="70"/>
  <c r="AF96" i="70"/>
  <c r="AE96" i="70"/>
  <c r="AD96" i="70"/>
  <c r="AC96" i="70"/>
  <c r="AB96" i="70"/>
  <c r="AA96" i="70"/>
  <c r="Z96" i="70"/>
  <c r="Y96" i="70"/>
  <c r="X96" i="70"/>
  <c r="W96" i="70"/>
  <c r="V96" i="70"/>
  <c r="U96" i="70"/>
  <c r="T96" i="70"/>
  <c r="S96" i="70"/>
  <c r="R96" i="70"/>
  <c r="Q96" i="70"/>
  <c r="P96" i="70"/>
  <c r="O96" i="70"/>
  <c r="N96" i="70"/>
  <c r="M96" i="70"/>
  <c r="L96" i="70"/>
  <c r="K96" i="70"/>
  <c r="J96" i="70"/>
  <c r="I96" i="70"/>
  <c r="H96" i="70"/>
  <c r="G96" i="70"/>
  <c r="F96" i="70"/>
  <c r="E96" i="70"/>
  <c r="BD90" i="70"/>
  <c r="BC90" i="70"/>
  <c r="BB90" i="70"/>
  <c r="BA90" i="70"/>
  <c r="AZ90" i="70"/>
  <c r="AY90" i="70"/>
  <c r="AX90" i="70"/>
  <c r="AW90" i="70"/>
  <c r="AV90" i="70"/>
  <c r="AU90" i="70"/>
  <c r="AT90" i="70"/>
  <c r="AS90" i="70"/>
  <c r="AR90" i="70"/>
  <c r="AQ90" i="70"/>
  <c r="AP90" i="70"/>
  <c r="AO90" i="70"/>
  <c r="AN90" i="70"/>
  <c r="AM90" i="70"/>
  <c r="AL90" i="70"/>
  <c r="AK90" i="70"/>
  <c r="AJ90" i="70"/>
  <c r="AI90" i="70"/>
  <c r="AH90" i="70"/>
  <c r="AG90" i="70"/>
  <c r="AF90" i="70"/>
  <c r="AE90" i="70"/>
  <c r="AD90" i="70"/>
  <c r="AC90" i="70"/>
  <c r="AB90" i="70"/>
  <c r="AA90" i="70"/>
  <c r="Z90" i="70"/>
  <c r="Y90" i="70"/>
  <c r="X90" i="70"/>
  <c r="W90" i="70"/>
  <c r="V90" i="70"/>
  <c r="U90" i="70"/>
  <c r="T90" i="70"/>
  <c r="S90" i="70"/>
  <c r="R90" i="70"/>
  <c r="Q90" i="70"/>
  <c r="P90" i="70"/>
  <c r="O90" i="70"/>
  <c r="N90" i="70"/>
  <c r="M90" i="70"/>
  <c r="L90" i="70"/>
  <c r="K90" i="70"/>
  <c r="J90" i="70"/>
  <c r="I90" i="70"/>
  <c r="H90" i="70"/>
  <c r="G90" i="70"/>
  <c r="F90" i="70"/>
  <c r="E90" i="70"/>
  <c r="BD89" i="70"/>
  <c r="BC89" i="70"/>
  <c r="BB89" i="70"/>
  <c r="BA89" i="70"/>
  <c r="AZ89" i="70"/>
  <c r="AY89" i="70"/>
  <c r="AX89" i="70"/>
  <c r="AW89" i="70"/>
  <c r="AV89" i="70"/>
  <c r="AU89" i="70"/>
  <c r="AT89" i="70"/>
  <c r="AS89" i="70"/>
  <c r="AR89" i="70"/>
  <c r="AQ89" i="70"/>
  <c r="AP89" i="70"/>
  <c r="AO89" i="70"/>
  <c r="AN89" i="70"/>
  <c r="AM89" i="70"/>
  <c r="AL89" i="70"/>
  <c r="AK89" i="70"/>
  <c r="AJ89" i="70"/>
  <c r="AI89" i="70"/>
  <c r="AH89" i="70"/>
  <c r="AG89" i="70"/>
  <c r="AF89" i="70"/>
  <c r="AE89" i="70"/>
  <c r="AD89" i="70"/>
  <c r="AC89" i="70"/>
  <c r="AB89" i="70"/>
  <c r="AA89" i="70"/>
  <c r="Z89" i="70"/>
  <c r="Y89" i="70"/>
  <c r="X89" i="70"/>
  <c r="W89" i="70"/>
  <c r="V89" i="70"/>
  <c r="U89" i="70"/>
  <c r="T89" i="70"/>
  <c r="S89" i="70"/>
  <c r="R89" i="70"/>
  <c r="Q89" i="70"/>
  <c r="P89" i="70"/>
  <c r="O89" i="70"/>
  <c r="N89" i="70"/>
  <c r="M89" i="70"/>
  <c r="L89" i="70"/>
  <c r="K89" i="70"/>
  <c r="J89" i="70"/>
  <c r="I89" i="70"/>
  <c r="H89" i="70"/>
  <c r="G89" i="70"/>
  <c r="F89" i="70"/>
  <c r="E89" i="70"/>
  <c r="BD87" i="70"/>
  <c r="BC87" i="70"/>
  <c r="BB87" i="70"/>
  <c r="BA87" i="70"/>
  <c r="AZ87" i="70"/>
  <c r="AY87" i="70"/>
  <c r="AX87" i="70"/>
  <c r="AW87" i="70"/>
  <c r="AV87" i="70"/>
  <c r="AU87" i="70"/>
  <c r="AT87" i="70"/>
  <c r="AS87" i="70"/>
  <c r="AR87" i="70"/>
  <c r="AQ87" i="70"/>
  <c r="AP87" i="70"/>
  <c r="AO87" i="70"/>
  <c r="AN87" i="70"/>
  <c r="AM87" i="70"/>
  <c r="AL87" i="70"/>
  <c r="AK87" i="70"/>
  <c r="AJ87" i="70"/>
  <c r="AI87" i="70"/>
  <c r="AH87" i="70"/>
  <c r="AG87" i="70"/>
  <c r="AF87" i="70"/>
  <c r="AE87" i="70"/>
  <c r="AD87" i="70"/>
  <c r="AC87" i="70"/>
  <c r="AB87" i="70"/>
  <c r="AA87" i="70"/>
  <c r="Z87" i="70"/>
  <c r="Y87" i="70"/>
  <c r="X87" i="70"/>
  <c r="W87" i="70"/>
  <c r="V87" i="70"/>
  <c r="U87" i="70"/>
  <c r="T87" i="70"/>
  <c r="S87" i="70"/>
  <c r="R87" i="70"/>
  <c r="Q87" i="70"/>
  <c r="P87" i="70"/>
  <c r="O87" i="70"/>
  <c r="N87" i="70"/>
  <c r="M87" i="70"/>
  <c r="L87" i="70"/>
  <c r="K87" i="70"/>
  <c r="J87" i="70"/>
  <c r="I87" i="70"/>
  <c r="H87" i="70"/>
  <c r="G87" i="70"/>
  <c r="F87" i="70"/>
  <c r="E87" i="70"/>
  <c r="BD86" i="70"/>
  <c r="BC86" i="70"/>
  <c r="BB86" i="70"/>
  <c r="BA86" i="70"/>
  <c r="AZ86" i="70"/>
  <c r="AY86" i="70"/>
  <c r="AX86" i="70"/>
  <c r="AW86" i="70"/>
  <c r="AV86" i="70"/>
  <c r="AU86" i="70"/>
  <c r="AT86" i="70"/>
  <c r="AS86" i="70"/>
  <c r="AR86" i="70"/>
  <c r="AQ86" i="70"/>
  <c r="AP86" i="70"/>
  <c r="AO86" i="70"/>
  <c r="AN86" i="70"/>
  <c r="AM86" i="70"/>
  <c r="AL86" i="70"/>
  <c r="AK86" i="70"/>
  <c r="AJ86" i="70"/>
  <c r="AI86" i="70"/>
  <c r="AH86" i="70"/>
  <c r="AG86" i="70"/>
  <c r="AF86" i="70"/>
  <c r="AE86" i="70"/>
  <c r="AD86" i="70"/>
  <c r="AC86" i="70"/>
  <c r="AB86" i="70"/>
  <c r="AA86" i="70"/>
  <c r="Z86" i="70"/>
  <c r="Y86" i="70"/>
  <c r="X86" i="70"/>
  <c r="W86" i="70"/>
  <c r="V86" i="70"/>
  <c r="U86" i="70"/>
  <c r="T86" i="70"/>
  <c r="S86" i="70"/>
  <c r="R86" i="70"/>
  <c r="Q86" i="70"/>
  <c r="P86" i="70"/>
  <c r="O86" i="70"/>
  <c r="N86" i="70"/>
  <c r="M86" i="70"/>
  <c r="L86" i="70"/>
  <c r="K86" i="70"/>
  <c r="J86" i="70"/>
  <c r="I86" i="70"/>
  <c r="H86" i="70"/>
  <c r="G86" i="70"/>
  <c r="F86" i="70"/>
  <c r="E86" i="70"/>
  <c r="BD85" i="70"/>
  <c r="BC85" i="70"/>
  <c r="BB85" i="70"/>
  <c r="BA85" i="70"/>
  <c r="AZ85" i="70"/>
  <c r="AY85" i="70"/>
  <c r="AX85" i="70"/>
  <c r="AW85" i="70"/>
  <c r="AV85" i="70"/>
  <c r="AU85" i="70"/>
  <c r="AT85" i="70"/>
  <c r="AS85" i="70"/>
  <c r="AR85" i="70"/>
  <c r="AQ85" i="70"/>
  <c r="AP85" i="70"/>
  <c r="AO85" i="70"/>
  <c r="AN85" i="70"/>
  <c r="AM85" i="70"/>
  <c r="AL85" i="70"/>
  <c r="AK85" i="70"/>
  <c r="AJ85" i="70"/>
  <c r="AI85" i="70"/>
  <c r="AH85" i="70"/>
  <c r="AG85" i="70"/>
  <c r="AF85" i="70"/>
  <c r="AE85" i="70"/>
  <c r="AD85" i="70"/>
  <c r="AC85" i="70"/>
  <c r="AB85" i="70"/>
  <c r="AA85" i="70"/>
  <c r="Z85" i="70"/>
  <c r="Y85" i="70"/>
  <c r="X85" i="70"/>
  <c r="W85" i="70"/>
  <c r="V85" i="70"/>
  <c r="U85" i="70"/>
  <c r="T85" i="70"/>
  <c r="S85" i="70"/>
  <c r="R85" i="70"/>
  <c r="Q85" i="70"/>
  <c r="P85" i="70"/>
  <c r="O85" i="70"/>
  <c r="N85" i="70"/>
  <c r="M85" i="70"/>
  <c r="L85" i="70"/>
  <c r="K85" i="70"/>
  <c r="J85" i="70"/>
  <c r="I85" i="70"/>
  <c r="H85" i="70"/>
  <c r="G85" i="70"/>
  <c r="F85" i="70"/>
  <c r="E85" i="70"/>
  <c r="BD84" i="70"/>
  <c r="BC84" i="70"/>
  <c r="BB84" i="70"/>
  <c r="BA84" i="70"/>
  <c r="AZ84" i="70"/>
  <c r="AY84" i="70"/>
  <c r="AX84" i="70"/>
  <c r="AW84" i="70"/>
  <c r="AV84" i="70"/>
  <c r="AU84" i="70"/>
  <c r="AT84" i="70"/>
  <c r="AS84" i="70"/>
  <c r="AR84" i="70"/>
  <c r="AQ84" i="70"/>
  <c r="AP84" i="70"/>
  <c r="AO84" i="70"/>
  <c r="AN84" i="70"/>
  <c r="AM84" i="70"/>
  <c r="AL84" i="70"/>
  <c r="AK84" i="70"/>
  <c r="AJ84" i="70"/>
  <c r="AI84" i="70"/>
  <c r="AH84" i="70"/>
  <c r="AG84" i="70"/>
  <c r="AF84" i="70"/>
  <c r="AE84" i="70"/>
  <c r="AD84" i="70"/>
  <c r="AC84" i="70"/>
  <c r="AB84" i="70"/>
  <c r="AA84" i="70"/>
  <c r="Z84" i="70"/>
  <c r="Y84" i="70"/>
  <c r="X84" i="70"/>
  <c r="W84" i="70"/>
  <c r="V84" i="70"/>
  <c r="U84" i="70"/>
  <c r="T84" i="70"/>
  <c r="S84" i="70"/>
  <c r="R84" i="70"/>
  <c r="Q84" i="70"/>
  <c r="P84" i="70"/>
  <c r="O84" i="70"/>
  <c r="N84" i="70"/>
  <c r="M84" i="70"/>
  <c r="L84" i="70"/>
  <c r="K84" i="70"/>
  <c r="J84" i="70"/>
  <c r="I84" i="70"/>
  <c r="H84" i="70"/>
  <c r="G84" i="70"/>
  <c r="F84" i="70"/>
  <c r="E84" i="70"/>
  <c r="BD83" i="70"/>
  <c r="BC83" i="70"/>
  <c r="BB83" i="70"/>
  <c r="BA83" i="70"/>
  <c r="AZ83" i="70"/>
  <c r="AY83" i="70"/>
  <c r="AX83" i="70"/>
  <c r="AW83" i="70"/>
  <c r="AV83" i="70"/>
  <c r="AU83" i="70"/>
  <c r="AT83" i="70"/>
  <c r="AS83" i="70"/>
  <c r="AR83" i="70"/>
  <c r="AQ83" i="70"/>
  <c r="AP83" i="70"/>
  <c r="AO83" i="70"/>
  <c r="AN83" i="70"/>
  <c r="AM83" i="70"/>
  <c r="AL83" i="70"/>
  <c r="AK83" i="70"/>
  <c r="AJ83" i="70"/>
  <c r="AI83" i="70"/>
  <c r="AH83" i="70"/>
  <c r="AG83" i="70"/>
  <c r="AF83" i="70"/>
  <c r="AE83" i="70"/>
  <c r="AD83" i="70"/>
  <c r="AC83" i="70"/>
  <c r="AB83" i="70"/>
  <c r="AA83" i="70"/>
  <c r="Z83" i="70"/>
  <c r="Y83" i="70"/>
  <c r="X83" i="70"/>
  <c r="W83" i="70"/>
  <c r="V83" i="70"/>
  <c r="U83" i="70"/>
  <c r="T83" i="70"/>
  <c r="S83" i="70"/>
  <c r="R83" i="70"/>
  <c r="Q83" i="70"/>
  <c r="P83" i="70"/>
  <c r="O83" i="70"/>
  <c r="N83" i="70"/>
  <c r="M83" i="70"/>
  <c r="L83" i="70"/>
  <c r="K83" i="70"/>
  <c r="J83" i="70"/>
  <c r="I83" i="70"/>
  <c r="H83" i="70"/>
  <c r="G83" i="70"/>
  <c r="F83" i="70"/>
  <c r="E83" i="70"/>
  <c r="BD82" i="70"/>
  <c r="BC82" i="70"/>
  <c r="BB82" i="70"/>
  <c r="BA82" i="70"/>
  <c r="AZ82" i="70"/>
  <c r="AY82" i="70"/>
  <c r="AX82" i="70"/>
  <c r="AW82" i="70"/>
  <c r="AV82" i="70"/>
  <c r="AU82" i="70"/>
  <c r="AT82" i="70"/>
  <c r="AS82" i="70"/>
  <c r="AR82" i="70"/>
  <c r="AQ82" i="70"/>
  <c r="AP82" i="70"/>
  <c r="AO82" i="70"/>
  <c r="AN82" i="70"/>
  <c r="AM82" i="70"/>
  <c r="AL82" i="70"/>
  <c r="AK82" i="70"/>
  <c r="AJ82" i="70"/>
  <c r="AI82" i="70"/>
  <c r="AH82" i="70"/>
  <c r="AG82" i="70"/>
  <c r="AF82" i="70"/>
  <c r="AE82" i="70"/>
  <c r="AD82" i="70"/>
  <c r="AC82" i="70"/>
  <c r="AB82" i="70"/>
  <c r="AA82" i="70"/>
  <c r="Z82" i="70"/>
  <c r="Y82" i="70"/>
  <c r="X82" i="70"/>
  <c r="W82" i="70"/>
  <c r="V82" i="70"/>
  <c r="U82" i="70"/>
  <c r="T82" i="70"/>
  <c r="S82" i="70"/>
  <c r="R82" i="70"/>
  <c r="Q82" i="70"/>
  <c r="P82" i="70"/>
  <c r="O82" i="70"/>
  <c r="N82" i="70"/>
  <c r="M82" i="70"/>
  <c r="L82" i="70"/>
  <c r="K82" i="70"/>
  <c r="J82" i="70"/>
  <c r="I82" i="70"/>
  <c r="H82" i="70"/>
  <c r="G82" i="70"/>
  <c r="F82" i="70"/>
  <c r="E82" i="70"/>
  <c r="BD81" i="70"/>
  <c r="BC81" i="70"/>
  <c r="BB81" i="70"/>
  <c r="BA81" i="70"/>
  <c r="AZ81" i="70"/>
  <c r="AY81" i="70"/>
  <c r="AX81" i="70"/>
  <c r="AW81" i="70"/>
  <c r="AV81" i="70"/>
  <c r="AU81" i="70"/>
  <c r="AT81" i="70"/>
  <c r="AS81" i="70"/>
  <c r="AR81" i="70"/>
  <c r="AQ81" i="70"/>
  <c r="AP81" i="70"/>
  <c r="AO81" i="70"/>
  <c r="AN81" i="70"/>
  <c r="AM81" i="70"/>
  <c r="AL81" i="70"/>
  <c r="AK81" i="70"/>
  <c r="AJ81" i="70"/>
  <c r="AI81" i="70"/>
  <c r="AH81" i="70"/>
  <c r="AG81" i="70"/>
  <c r="AF81" i="70"/>
  <c r="AE81" i="70"/>
  <c r="AD81" i="70"/>
  <c r="AC81" i="70"/>
  <c r="AC88" i="70" s="1"/>
  <c r="AB81" i="70"/>
  <c r="AA81" i="70"/>
  <c r="Z81" i="70"/>
  <c r="Y81" i="70"/>
  <c r="X81" i="70"/>
  <c r="W81" i="70"/>
  <c r="V81" i="70"/>
  <c r="U81" i="70"/>
  <c r="T81" i="70"/>
  <c r="S81" i="70"/>
  <c r="R81" i="70"/>
  <c r="Q81" i="70"/>
  <c r="P81" i="70"/>
  <c r="O81" i="70"/>
  <c r="N81" i="70"/>
  <c r="M81" i="70"/>
  <c r="L81" i="70"/>
  <c r="K81" i="70"/>
  <c r="J81" i="70"/>
  <c r="I81" i="70"/>
  <c r="H81" i="70"/>
  <c r="G81" i="70"/>
  <c r="F81" i="70"/>
  <c r="E81" i="70"/>
  <c r="BD78" i="70"/>
  <c r="BC78" i="70"/>
  <c r="BB78" i="70"/>
  <c r="BA78" i="70"/>
  <c r="AZ78" i="70"/>
  <c r="AY78" i="70"/>
  <c r="AX78" i="70"/>
  <c r="AW78" i="70"/>
  <c r="AV78" i="70"/>
  <c r="AU78" i="70"/>
  <c r="AT78" i="70"/>
  <c r="AS78" i="70"/>
  <c r="AR78" i="70"/>
  <c r="AQ78" i="70"/>
  <c r="AP78" i="70"/>
  <c r="AO78" i="70"/>
  <c r="AN78" i="70"/>
  <c r="AM78" i="70"/>
  <c r="AL78" i="70"/>
  <c r="AK78" i="70"/>
  <c r="AJ78" i="70"/>
  <c r="AI78" i="70"/>
  <c r="AH78" i="70"/>
  <c r="AG78" i="70"/>
  <c r="AF78" i="70"/>
  <c r="AE78" i="70"/>
  <c r="AD78" i="70"/>
  <c r="AC78" i="70"/>
  <c r="AB78" i="70"/>
  <c r="AA78" i="70"/>
  <c r="Z78" i="70"/>
  <c r="Y78" i="70"/>
  <c r="X78" i="70"/>
  <c r="W78" i="70"/>
  <c r="V78" i="70"/>
  <c r="U78" i="70"/>
  <c r="T78" i="70"/>
  <c r="S78" i="70"/>
  <c r="R78" i="70"/>
  <c r="Q78" i="70"/>
  <c r="P78" i="70"/>
  <c r="O78" i="70"/>
  <c r="N78" i="70"/>
  <c r="M78" i="70"/>
  <c r="L78" i="70"/>
  <c r="K78" i="70"/>
  <c r="J78" i="70"/>
  <c r="I78" i="70"/>
  <c r="H78" i="70"/>
  <c r="G78" i="70"/>
  <c r="F78" i="70"/>
  <c r="E78" i="70"/>
  <c r="BD77" i="70"/>
  <c r="BC77" i="70"/>
  <c r="BB77" i="70"/>
  <c r="BA77" i="70"/>
  <c r="AZ77" i="70"/>
  <c r="AY77" i="70"/>
  <c r="AX77" i="70"/>
  <c r="AW77" i="70"/>
  <c r="AV77" i="70"/>
  <c r="AU77" i="70"/>
  <c r="AT77" i="70"/>
  <c r="AS77" i="70"/>
  <c r="AR77" i="70"/>
  <c r="AQ77" i="70"/>
  <c r="AP77" i="70"/>
  <c r="AO77" i="70"/>
  <c r="AN77" i="70"/>
  <c r="AM77" i="70"/>
  <c r="AL77" i="70"/>
  <c r="AK77" i="70"/>
  <c r="AJ77" i="70"/>
  <c r="AI77" i="70"/>
  <c r="AH77" i="70"/>
  <c r="AG77" i="70"/>
  <c r="AF77" i="70"/>
  <c r="AE77" i="70"/>
  <c r="AD77" i="70"/>
  <c r="AC77" i="70"/>
  <c r="AB77" i="70"/>
  <c r="AA77" i="70"/>
  <c r="Z77" i="70"/>
  <c r="Y77" i="70"/>
  <c r="X77" i="70"/>
  <c r="W77" i="70"/>
  <c r="V77" i="70"/>
  <c r="U77" i="70"/>
  <c r="T77" i="70"/>
  <c r="S77" i="70"/>
  <c r="R77" i="70"/>
  <c r="Q77" i="70"/>
  <c r="P77" i="70"/>
  <c r="O77" i="70"/>
  <c r="N77" i="70"/>
  <c r="M77" i="70"/>
  <c r="L77" i="70"/>
  <c r="K77" i="70"/>
  <c r="J77" i="70"/>
  <c r="I77" i="70"/>
  <c r="H77" i="70"/>
  <c r="G77" i="70"/>
  <c r="F77" i="70"/>
  <c r="E77" i="70"/>
  <c r="BD76" i="70"/>
  <c r="BC76" i="70"/>
  <c r="BB76" i="70"/>
  <c r="BA76" i="70"/>
  <c r="AZ76" i="70"/>
  <c r="AY76" i="70"/>
  <c r="AX76" i="70"/>
  <c r="AW76" i="70"/>
  <c r="AV76" i="70"/>
  <c r="AU76" i="70"/>
  <c r="AT76" i="70"/>
  <c r="AS76" i="70"/>
  <c r="AR76" i="70"/>
  <c r="AQ76" i="70"/>
  <c r="AP76" i="70"/>
  <c r="AO76" i="70"/>
  <c r="AN76" i="70"/>
  <c r="AM76" i="70"/>
  <c r="AL76" i="70"/>
  <c r="AK76" i="70"/>
  <c r="AJ76" i="70"/>
  <c r="AI76" i="70"/>
  <c r="AH76" i="70"/>
  <c r="AG76" i="70"/>
  <c r="AF76" i="70"/>
  <c r="AE76" i="70"/>
  <c r="AD76" i="70"/>
  <c r="AC76" i="70"/>
  <c r="AB76" i="70"/>
  <c r="AA76" i="70"/>
  <c r="Z76" i="70"/>
  <c r="Y76" i="70"/>
  <c r="X76" i="70"/>
  <c r="W76" i="70"/>
  <c r="V76" i="70"/>
  <c r="U76" i="70"/>
  <c r="T76" i="70"/>
  <c r="S76" i="70"/>
  <c r="R76" i="70"/>
  <c r="Q76" i="70"/>
  <c r="P76" i="70"/>
  <c r="O76" i="70"/>
  <c r="N76" i="70"/>
  <c r="M76" i="70"/>
  <c r="L76" i="70"/>
  <c r="K76" i="70"/>
  <c r="J76" i="70"/>
  <c r="I76" i="70"/>
  <c r="H76" i="70"/>
  <c r="G76" i="70"/>
  <c r="F76" i="70"/>
  <c r="E76" i="70"/>
  <c r="BD75" i="70"/>
  <c r="BC75" i="70"/>
  <c r="BB75" i="70"/>
  <c r="BA75" i="70"/>
  <c r="AZ75" i="70"/>
  <c r="AY75" i="70"/>
  <c r="AX75" i="70"/>
  <c r="AW75" i="70"/>
  <c r="AV75" i="70"/>
  <c r="AU75" i="70"/>
  <c r="AT75" i="70"/>
  <c r="AS75" i="70"/>
  <c r="AR75" i="70"/>
  <c r="AQ75" i="70"/>
  <c r="AP75" i="70"/>
  <c r="AO75" i="70"/>
  <c r="AN75" i="70"/>
  <c r="AM75" i="70"/>
  <c r="AL75" i="70"/>
  <c r="AK75" i="70"/>
  <c r="AJ75" i="70"/>
  <c r="AI75" i="70"/>
  <c r="AH75" i="70"/>
  <c r="AG75" i="70"/>
  <c r="AF75" i="70"/>
  <c r="AE75" i="70"/>
  <c r="AD75" i="70"/>
  <c r="AC75" i="70"/>
  <c r="AB75" i="70"/>
  <c r="AA75" i="70"/>
  <c r="Z75" i="70"/>
  <c r="Y75" i="70"/>
  <c r="X75" i="70"/>
  <c r="W75" i="70"/>
  <c r="V75" i="70"/>
  <c r="U75" i="70"/>
  <c r="T75" i="70"/>
  <c r="S75" i="70"/>
  <c r="R75" i="70"/>
  <c r="Q75" i="70"/>
  <c r="P75" i="70"/>
  <c r="O75" i="70"/>
  <c r="N75" i="70"/>
  <c r="M75" i="70"/>
  <c r="M79" i="70" s="1"/>
  <c r="L75" i="70"/>
  <c r="K75" i="70"/>
  <c r="J75" i="70"/>
  <c r="I75" i="70"/>
  <c r="H75" i="70"/>
  <c r="G75" i="70"/>
  <c r="F75" i="70"/>
  <c r="E75" i="70"/>
  <c r="E79" i="70" s="1"/>
  <c r="BD70" i="70"/>
  <c r="BC70" i="70"/>
  <c r="BB70" i="70"/>
  <c r="BA70" i="70"/>
  <c r="AZ70" i="70"/>
  <c r="AY70" i="70"/>
  <c r="AX70" i="70"/>
  <c r="AW70" i="70"/>
  <c r="AV70" i="70"/>
  <c r="AU70" i="70"/>
  <c r="AT70" i="70"/>
  <c r="AS70" i="70"/>
  <c r="AR70" i="70"/>
  <c r="AQ70" i="70"/>
  <c r="AP70" i="70"/>
  <c r="AO70" i="70"/>
  <c r="AN70" i="70"/>
  <c r="AM70" i="70"/>
  <c r="AL70" i="70"/>
  <c r="AK70" i="70"/>
  <c r="AJ70" i="70"/>
  <c r="AI70" i="70"/>
  <c r="AH70" i="70"/>
  <c r="AG70" i="70"/>
  <c r="AF70" i="70"/>
  <c r="AE70" i="70"/>
  <c r="AD70" i="70"/>
  <c r="AC70" i="70"/>
  <c r="AB70" i="70"/>
  <c r="AA70" i="70"/>
  <c r="Z70" i="70"/>
  <c r="Y70" i="70"/>
  <c r="X70" i="70"/>
  <c r="W70" i="70"/>
  <c r="V70" i="70"/>
  <c r="U70" i="70"/>
  <c r="T70" i="70"/>
  <c r="S70" i="70"/>
  <c r="R70" i="70"/>
  <c r="Q70" i="70"/>
  <c r="P70" i="70"/>
  <c r="O70" i="70"/>
  <c r="N70" i="70"/>
  <c r="M70" i="70"/>
  <c r="L70" i="70"/>
  <c r="K70" i="70"/>
  <c r="J70" i="70"/>
  <c r="I70" i="70"/>
  <c r="H70" i="70"/>
  <c r="G70" i="70"/>
  <c r="F70" i="70"/>
  <c r="E70" i="70"/>
  <c r="BD69" i="70"/>
  <c r="BC69" i="70"/>
  <c r="BB69" i="70"/>
  <c r="BA69" i="70"/>
  <c r="AZ69" i="70"/>
  <c r="AY69" i="70"/>
  <c r="AX69" i="70"/>
  <c r="AW69" i="70"/>
  <c r="AV69" i="70"/>
  <c r="AU69" i="70"/>
  <c r="AT69" i="70"/>
  <c r="AS69" i="70"/>
  <c r="AR69" i="70"/>
  <c r="AQ69" i="70"/>
  <c r="AP69" i="70"/>
  <c r="AO69" i="70"/>
  <c r="AN69" i="70"/>
  <c r="AM69" i="70"/>
  <c r="AL69" i="70"/>
  <c r="AK69" i="70"/>
  <c r="AJ69" i="70"/>
  <c r="AI69" i="70"/>
  <c r="AH69" i="70"/>
  <c r="AG69" i="70"/>
  <c r="AF69" i="70"/>
  <c r="AE69" i="70"/>
  <c r="AD69" i="70"/>
  <c r="AC69" i="70"/>
  <c r="AB69" i="70"/>
  <c r="AA69" i="70"/>
  <c r="Z69" i="70"/>
  <c r="Y69" i="70"/>
  <c r="X69" i="70"/>
  <c r="W69" i="70"/>
  <c r="V69" i="70"/>
  <c r="U69" i="70"/>
  <c r="T69" i="70"/>
  <c r="S69" i="70"/>
  <c r="R69" i="70"/>
  <c r="Q69" i="70"/>
  <c r="P69" i="70"/>
  <c r="O69" i="70"/>
  <c r="N69" i="70"/>
  <c r="M69" i="70"/>
  <c r="L69" i="70"/>
  <c r="K69" i="70"/>
  <c r="J69" i="70"/>
  <c r="I69" i="70"/>
  <c r="H69" i="70"/>
  <c r="G69" i="70"/>
  <c r="F69" i="70"/>
  <c r="E69" i="70"/>
  <c r="BD67" i="70"/>
  <c r="BC67" i="70"/>
  <c r="BB67" i="70"/>
  <c r="BA67" i="70"/>
  <c r="AZ67" i="70"/>
  <c r="AY67" i="70"/>
  <c r="AX67" i="70"/>
  <c r="AW67" i="70"/>
  <c r="AV67" i="70"/>
  <c r="AU67" i="70"/>
  <c r="AT67" i="70"/>
  <c r="AS67" i="70"/>
  <c r="AR67" i="70"/>
  <c r="AQ67" i="70"/>
  <c r="AP67" i="70"/>
  <c r="AO67" i="70"/>
  <c r="AN67" i="70"/>
  <c r="AM67" i="70"/>
  <c r="AL67" i="70"/>
  <c r="AK67" i="70"/>
  <c r="AJ67" i="70"/>
  <c r="AI67" i="70"/>
  <c r="AH67" i="70"/>
  <c r="AG67" i="70"/>
  <c r="AF67" i="70"/>
  <c r="AE67" i="70"/>
  <c r="AD67" i="70"/>
  <c r="AC67" i="70"/>
  <c r="AB67" i="70"/>
  <c r="AA67" i="70"/>
  <c r="Z67" i="70"/>
  <c r="Y67" i="70"/>
  <c r="X67" i="70"/>
  <c r="W67" i="70"/>
  <c r="V67" i="70"/>
  <c r="U67" i="70"/>
  <c r="T67" i="70"/>
  <c r="S67" i="70"/>
  <c r="R67" i="70"/>
  <c r="Q67" i="70"/>
  <c r="P67" i="70"/>
  <c r="O67" i="70"/>
  <c r="N67" i="70"/>
  <c r="M67" i="70"/>
  <c r="L67" i="70"/>
  <c r="K67" i="70"/>
  <c r="J67" i="70"/>
  <c r="I67" i="70"/>
  <c r="H67" i="70"/>
  <c r="G67" i="70"/>
  <c r="F67" i="70"/>
  <c r="E67" i="70"/>
  <c r="BD66" i="70"/>
  <c r="BC66" i="70"/>
  <c r="BB66" i="70"/>
  <c r="BA66" i="70"/>
  <c r="AZ66" i="70"/>
  <c r="AY66" i="70"/>
  <c r="AX66" i="70"/>
  <c r="AW66" i="70"/>
  <c r="AV66" i="70"/>
  <c r="AU66" i="70"/>
  <c r="AT66" i="70"/>
  <c r="AS66" i="70"/>
  <c r="AR66" i="70"/>
  <c r="AQ66" i="70"/>
  <c r="AP66" i="70"/>
  <c r="AO66" i="70"/>
  <c r="AN66" i="70"/>
  <c r="AM66" i="70"/>
  <c r="AL66" i="70"/>
  <c r="AK66" i="70"/>
  <c r="AJ66" i="70"/>
  <c r="AI66" i="70"/>
  <c r="AH66" i="70"/>
  <c r="AG66" i="70"/>
  <c r="AF66" i="70"/>
  <c r="AE66" i="70"/>
  <c r="AD66" i="70"/>
  <c r="AC66" i="70"/>
  <c r="AB66" i="70"/>
  <c r="AA66" i="70"/>
  <c r="Z66" i="70"/>
  <c r="Y66" i="70"/>
  <c r="X66" i="70"/>
  <c r="W66" i="70"/>
  <c r="V66" i="70"/>
  <c r="U66" i="70"/>
  <c r="T66" i="70"/>
  <c r="S66" i="70"/>
  <c r="R66" i="70"/>
  <c r="Q66" i="70"/>
  <c r="P66" i="70"/>
  <c r="O66" i="70"/>
  <c r="N66" i="70"/>
  <c r="M66" i="70"/>
  <c r="L66" i="70"/>
  <c r="K66" i="70"/>
  <c r="J66" i="70"/>
  <c r="I66" i="70"/>
  <c r="H66" i="70"/>
  <c r="G66" i="70"/>
  <c r="F66" i="70"/>
  <c r="E66" i="70"/>
  <c r="BD65" i="70"/>
  <c r="BC65" i="70"/>
  <c r="BB65" i="70"/>
  <c r="BA65" i="70"/>
  <c r="AZ65" i="70"/>
  <c r="AY65" i="70"/>
  <c r="AX65" i="70"/>
  <c r="AW65" i="70"/>
  <c r="AV65" i="70"/>
  <c r="AU65" i="70"/>
  <c r="AT65" i="70"/>
  <c r="AS65" i="70"/>
  <c r="AR65" i="70"/>
  <c r="AQ65" i="70"/>
  <c r="AP65" i="70"/>
  <c r="AO65" i="70"/>
  <c r="AN65" i="70"/>
  <c r="AM65" i="70"/>
  <c r="AL65" i="70"/>
  <c r="AK65" i="70"/>
  <c r="AJ65" i="70"/>
  <c r="AI65" i="70"/>
  <c r="AH65" i="70"/>
  <c r="AG65" i="70"/>
  <c r="AF65" i="70"/>
  <c r="AE65" i="70"/>
  <c r="AD65" i="70"/>
  <c r="AC65" i="70"/>
  <c r="AB65" i="70"/>
  <c r="AA65" i="70"/>
  <c r="Z65" i="70"/>
  <c r="Y65" i="70"/>
  <c r="X65" i="70"/>
  <c r="W65" i="70"/>
  <c r="V65" i="70"/>
  <c r="U65" i="70"/>
  <c r="T65" i="70"/>
  <c r="S65" i="70"/>
  <c r="R65" i="70"/>
  <c r="Q65" i="70"/>
  <c r="P65" i="70"/>
  <c r="O65" i="70"/>
  <c r="N65" i="70"/>
  <c r="M65" i="70"/>
  <c r="L65" i="70"/>
  <c r="K65" i="70"/>
  <c r="J65" i="70"/>
  <c r="I65" i="70"/>
  <c r="H65" i="70"/>
  <c r="G65" i="70"/>
  <c r="F65" i="70"/>
  <c r="E65" i="70"/>
  <c r="BD64" i="70"/>
  <c r="BC64" i="70"/>
  <c r="BB64" i="70"/>
  <c r="BA64" i="70"/>
  <c r="AZ64" i="70"/>
  <c r="AY64" i="70"/>
  <c r="AX64" i="70"/>
  <c r="AW64" i="70"/>
  <c r="AV64" i="70"/>
  <c r="AU64" i="70"/>
  <c r="AT64" i="70"/>
  <c r="AS64" i="70"/>
  <c r="AR64" i="70"/>
  <c r="AQ64" i="70"/>
  <c r="AP64" i="70"/>
  <c r="AO64" i="70"/>
  <c r="AN64" i="70"/>
  <c r="AM64" i="70"/>
  <c r="AL64" i="70"/>
  <c r="AK64" i="70"/>
  <c r="AJ64" i="70"/>
  <c r="AI64" i="70"/>
  <c r="AH64" i="70"/>
  <c r="AG64" i="70"/>
  <c r="AF64" i="70"/>
  <c r="AE64" i="70"/>
  <c r="AD64" i="70"/>
  <c r="AC64" i="70"/>
  <c r="AB64" i="70"/>
  <c r="AA64" i="70"/>
  <c r="Z64" i="70"/>
  <c r="Y64" i="70"/>
  <c r="X64" i="70"/>
  <c r="W64" i="70"/>
  <c r="V64" i="70"/>
  <c r="U64" i="70"/>
  <c r="T64" i="70"/>
  <c r="S64" i="70"/>
  <c r="R64" i="70"/>
  <c r="Q64" i="70"/>
  <c r="P64" i="70"/>
  <c r="O64" i="70"/>
  <c r="N64" i="70"/>
  <c r="M64" i="70"/>
  <c r="L64" i="70"/>
  <c r="K64" i="70"/>
  <c r="J64" i="70"/>
  <c r="I64" i="70"/>
  <c r="H64" i="70"/>
  <c r="G64" i="70"/>
  <c r="F64" i="70"/>
  <c r="E64" i="70"/>
  <c r="BD63" i="70"/>
  <c r="BC63" i="70"/>
  <c r="BB63" i="70"/>
  <c r="BA63" i="70"/>
  <c r="AZ63" i="70"/>
  <c r="AY63" i="70"/>
  <c r="AX63" i="70"/>
  <c r="AW63" i="70"/>
  <c r="AV63" i="70"/>
  <c r="AU63" i="70"/>
  <c r="AT63" i="70"/>
  <c r="AS63" i="70"/>
  <c r="AR63" i="70"/>
  <c r="AQ63" i="70"/>
  <c r="AP63" i="70"/>
  <c r="AO63" i="70"/>
  <c r="AN63" i="70"/>
  <c r="AM63" i="70"/>
  <c r="AL63" i="70"/>
  <c r="AK63" i="70"/>
  <c r="AJ63" i="70"/>
  <c r="AI63" i="70"/>
  <c r="AH63" i="70"/>
  <c r="AG63" i="70"/>
  <c r="AF63" i="70"/>
  <c r="AE63" i="70"/>
  <c r="AD63" i="70"/>
  <c r="AC63" i="70"/>
  <c r="AB63" i="70"/>
  <c r="AA63" i="70"/>
  <c r="Z63" i="70"/>
  <c r="Y63" i="70"/>
  <c r="X63" i="70"/>
  <c r="W63" i="70"/>
  <c r="V63" i="70"/>
  <c r="U63" i="70"/>
  <c r="T63" i="70"/>
  <c r="S63" i="70"/>
  <c r="R63" i="70"/>
  <c r="Q63" i="70"/>
  <c r="P63" i="70"/>
  <c r="O63" i="70"/>
  <c r="N63" i="70"/>
  <c r="M63" i="70"/>
  <c r="L63" i="70"/>
  <c r="K63" i="70"/>
  <c r="J63" i="70"/>
  <c r="I63" i="70"/>
  <c r="H63" i="70"/>
  <c r="G63" i="70"/>
  <c r="F63" i="70"/>
  <c r="E63" i="70"/>
  <c r="BD62" i="70"/>
  <c r="BC62" i="70"/>
  <c r="BB62" i="70"/>
  <c r="BA62" i="70"/>
  <c r="AZ62" i="70"/>
  <c r="AY62" i="70"/>
  <c r="AX62" i="70"/>
  <c r="AW62" i="70"/>
  <c r="AV62" i="70"/>
  <c r="AU62" i="70"/>
  <c r="AT62" i="70"/>
  <c r="AS62" i="70"/>
  <c r="AR62" i="70"/>
  <c r="AQ62" i="70"/>
  <c r="AP62" i="70"/>
  <c r="AO62" i="70"/>
  <c r="AN62" i="70"/>
  <c r="AM62" i="70"/>
  <c r="AL62" i="70"/>
  <c r="AK62" i="70"/>
  <c r="AJ62" i="70"/>
  <c r="AI62" i="70"/>
  <c r="AH62" i="70"/>
  <c r="AG62" i="70"/>
  <c r="AF62" i="70"/>
  <c r="AE62" i="70"/>
  <c r="AD62" i="70"/>
  <c r="AC62" i="70"/>
  <c r="AB62" i="70"/>
  <c r="AA62" i="70"/>
  <c r="Z62" i="70"/>
  <c r="Y62" i="70"/>
  <c r="X62" i="70"/>
  <c r="W62" i="70"/>
  <c r="V62" i="70"/>
  <c r="U62" i="70"/>
  <c r="T62" i="70"/>
  <c r="S62" i="70"/>
  <c r="R62" i="70"/>
  <c r="Q62" i="70"/>
  <c r="P62" i="70"/>
  <c r="O62" i="70"/>
  <c r="N62" i="70"/>
  <c r="M62" i="70"/>
  <c r="L62" i="70"/>
  <c r="K62" i="70"/>
  <c r="J62" i="70"/>
  <c r="I62" i="70"/>
  <c r="H62" i="70"/>
  <c r="G62" i="70"/>
  <c r="F62" i="70"/>
  <c r="E62" i="70"/>
  <c r="BD61" i="70"/>
  <c r="BC61" i="70"/>
  <c r="BB61" i="70"/>
  <c r="BA61" i="70"/>
  <c r="AZ61" i="70"/>
  <c r="AY61" i="70"/>
  <c r="AX61" i="70"/>
  <c r="AX68" i="70" s="1"/>
  <c r="AX71" i="70" s="1"/>
  <c r="AW61" i="70"/>
  <c r="AV61" i="70"/>
  <c r="AU61" i="70"/>
  <c r="AT61" i="70"/>
  <c r="AS61" i="70"/>
  <c r="AR61" i="70"/>
  <c r="AQ61" i="70"/>
  <c r="AP61" i="70"/>
  <c r="AP68" i="70" s="1"/>
  <c r="AP71" i="70" s="1"/>
  <c r="AO61" i="70"/>
  <c r="AN61" i="70"/>
  <c r="AM61" i="70"/>
  <c r="AL61" i="70"/>
  <c r="AK61" i="70"/>
  <c r="AJ61" i="70"/>
  <c r="AI61" i="70"/>
  <c r="AH61" i="70"/>
  <c r="AH68" i="70" s="1"/>
  <c r="AH71" i="70" s="1"/>
  <c r="AG61" i="70"/>
  <c r="AF61" i="70"/>
  <c r="AE61" i="70"/>
  <c r="AD61" i="70"/>
  <c r="AC61" i="70"/>
  <c r="AB61" i="70"/>
  <c r="AA61" i="70"/>
  <c r="Z61" i="70"/>
  <c r="Z68" i="70" s="1"/>
  <c r="Z71" i="70" s="1"/>
  <c r="Y61" i="70"/>
  <c r="X61" i="70"/>
  <c r="W61" i="70"/>
  <c r="V61" i="70"/>
  <c r="U61" i="70"/>
  <c r="T61" i="70"/>
  <c r="S61" i="70"/>
  <c r="R61" i="70"/>
  <c r="R68" i="70" s="1"/>
  <c r="R71" i="70" s="1"/>
  <c r="Q61" i="70"/>
  <c r="P61" i="70"/>
  <c r="O61" i="70"/>
  <c r="N61" i="70"/>
  <c r="M61" i="70"/>
  <c r="L61" i="70"/>
  <c r="K61" i="70"/>
  <c r="J61" i="70"/>
  <c r="J68" i="70" s="1"/>
  <c r="J71" i="70" s="1"/>
  <c r="I61" i="70"/>
  <c r="H61" i="70"/>
  <c r="G61" i="70"/>
  <c r="F61" i="70"/>
  <c r="E61" i="70"/>
  <c r="BD58" i="70"/>
  <c r="BC58" i="70"/>
  <c r="BB58" i="70"/>
  <c r="BA58" i="70"/>
  <c r="AZ58" i="70"/>
  <c r="AY58" i="70"/>
  <c r="AX58" i="70"/>
  <c r="AW58" i="70"/>
  <c r="AV58" i="70"/>
  <c r="AU58" i="70"/>
  <c r="AT58" i="70"/>
  <c r="AS58" i="70"/>
  <c r="AR58" i="70"/>
  <c r="AQ58" i="70"/>
  <c r="AP58" i="70"/>
  <c r="AO58" i="70"/>
  <c r="AN58" i="70"/>
  <c r="AM58" i="70"/>
  <c r="AL58" i="70"/>
  <c r="AK58" i="70"/>
  <c r="AJ58" i="70"/>
  <c r="AI58" i="70"/>
  <c r="AH58" i="70"/>
  <c r="AG58" i="70"/>
  <c r="AF58" i="70"/>
  <c r="AE58" i="70"/>
  <c r="AD58" i="70"/>
  <c r="AC58" i="70"/>
  <c r="AB58" i="70"/>
  <c r="AA58" i="70"/>
  <c r="Z58" i="70"/>
  <c r="Y58" i="70"/>
  <c r="X58" i="70"/>
  <c r="W58" i="70"/>
  <c r="V58" i="70"/>
  <c r="U58" i="70"/>
  <c r="T58" i="70"/>
  <c r="S58" i="70"/>
  <c r="R58" i="70"/>
  <c r="Q58" i="70"/>
  <c r="P58" i="70"/>
  <c r="O58" i="70"/>
  <c r="N58" i="70"/>
  <c r="M58" i="70"/>
  <c r="L58" i="70"/>
  <c r="K58" i="70"/>
  <c r="J58" i="70"/>
  <c r="I58" i="70"/>
  <c r="H58" i="70"/>
  <c r="G58" i="70"/>
  <c r="F58" i="70"/>
  <c r="E58" i="70"/>
  <c r="BD57" i="70"/>
  <c r="BC57" i="70"/>
  <c r="BB57" i="70"/>
  <c r="BA57" i="70"/>
  <c r="AZ57" i="70"/>
  <c r="AY57" i="70"/>
  <c r="AX57" i="70"/>
  <c r="AW57" i="70"/>
  <c r="AV57" i="70"/>
  <c r="AU57" i="70"/>
  <c r="AT57" i="70"/>
  <c r="AS57" i="70"/>
  <c r="AR57" i="70"/>
  <c r="AQ57" i="70"/>
  <c r="AP57" i="70"/>
  <c r="AO57" i="70"/>
  <c r="AN57" i="70"/>
  <c r="AM57" i="70"/>
  <c r="AL57" i="70"/>
  <c r="AK57" i="70"/>
  <c r="AJ57" i="70"/>
  <c r="AI57" i="70"/>
  <c r="AH57" i="70"/>
  <c r="AG57" i="70"/>
  <c r="AF57" i="70"/>
  <c r="AE57" i="70"/>
  <c r="AD57" i="70"/>
  <c r="AC57" i="70"/>
  <c r="AB57" i="70"/>
  <c r="AA57" i="70"/>
  <c r="Z57" i="70"/>
  <c r="Y57" i="70"/>
  <c r="X57" i="70"/>
  <c r="W57" i="70"/>
  <c r="V57" i="70"/>
  <c r="U57" i="70"/>
  <c r="T57" i="70"/>
  <c r="S57" i="70"/>
  <c r="R57" i="70"/>
  <c r="Q57" i="70"/>
  <c r="P57" i="70"/>
  <c r="O57" i="70"/>
  <c r="N57" i="70"/>
  <c r="M57" i="70"/>
  <c r="L57" i="70"/>
  <c r="K57" i="70"/>
  <c r="J57" i="70"/>
  <c r="I57" i="70"/>
  <c r="H57" i="70"/>
  <c r="G57" i="70"/>
  <c r="F57" i="70"/>
  <c r="E57" i="70"/>
  <c r="BD56" i="70"/>
  <c r="BC56" i="70"/>
  <c r="BB56" i="70"/>
  <c r="BA56" i="70"/>
  <c r="AZ56" i="70"/>
  <c r="AY56" i="70"/>
  <c r="AX56" i="70"/>
  <c r="AW56" i="70"/>
  <c r="AV56" i="70"/>
  <c r="AU56" i="70"/>
  <c r="AT56" i="70"/>
  <c r="AS56" i="70"/>
  <c r="AR56" i="70"/>
  <c r="AQ56" i="70"/>
  <c r="AP56" i="70"/>
  <c r="AO56" i="70"/>
  <c r="AN56" i="70"/>
  <c r="AM56" i="70"/>
  <c r="AL56" i="70"/>
  <c r="AK56" i="70"/>
  <c r="AJ56" i="70"/>
  <c r="AI56" i="70"/>
  <c r="AH56" i="70"/>
  <c r="AG56" i="70"/>
  <c r="AF56" i="70"/>
  <c r="AE56" i="70"/>
  <c r="AD56" i="70"/>
  <c r="AC56" i="70"/>
  <c r="AB56" i="70"/>
  <c r="AA56" i="70"/>
  <c r="Z56" i="70"/>
  <c r="Y56" i="70"/>
  <c r="X56" i="70"/>
  <c r="W56" i="70"/>
  <c r="V56" i="70"/>
  <c r="U56" i="70"/>
  <c r="T56" i="70"/>
  <c r="S56" i="70"/>
  <c r="R56" i="70"/>
  <c r="Q56" i="70"/>
  <c r="P56" i="70"/>
  <c r="O56" i="70"/>
  <c r="N56" i="70"/>
  <c r="M56" i="70"/>
  <c r="L56" i="70"/>
  <c r="K56" i="70"/>
  <c r="J56" i="70"/>
  <c r="I56" i="70"/>
  <c r="H56" i="70"/>
  <c r="G56" i="70"/>
  <c r="F56" i="70"/>
  <c r="E56" i="70"/>
  <c r="BD55" i="70"/>
  <c r="BC55" i="70"/>
  <c r="BB55" i="70"/>
  <c r="BA55" i="70"/>
  <c r="AZ55" i="70"/>
  <c r="AY55" i="70"/>
  <c r="AX55" i="70"/>
  <c r="AW55" i="70"/>
  <c r="AV55" i="70"/>
  <c r="AU55" i="70"/>
  <c r="AT55" i="70"/>
  <c r="AS55" i="70"/>
  <c r="AR55" i="70"/>
  <c r="AQ55" i="70"/>
  <c r="AP55" i="70"/>
  <c r="AO55" i="70"/>
  <c r="AN55" i="70"/>
  <c r="AM55" i="70"/>
  <c r="AL55" i="70"/>
  <c r="AK55" i="70"/>
  <c r="AJ55" i="70"/>
  <c r="AI55" i="70"/>
  <c r="AH55" i="70"/>
  <c r="AG55" i="70"/>
  <c r="AF55" i="70"/>
  <c r="AE55" i="70"/>
  <c r="AD55" i="70"/>
  <c r="AC55" i="70"/>
  <c r="AB55" i="70"/>
  <c r="AA55" i="70"/>
  <c r="Z55" i="70"/>
  <c r="Y55" i="70"/>
  <c r="X55" i="70"/>
  <c r="W55" i="70"/>
  <c r="V55" i="70"/>
  <c r="U55" i="70"/>
  <c r="T55" i="70"/>
  <c r="S55" i="70"/>
  <c r="R55" i="70"/>
  <c r="Q55" i="70"/>
  <c r="P55" i="70"/>
  <c r="O55" i="70"/>
  <c r="N55" i="70"/>
  <c r="M55" i="70"/>
  <c r="L55" i="70"/>
  <c r="K55" i="70"/>
  <c r="J55" i="70"/>
  <c r="I55" i="70"/>
  <c r="H55" i="70"/>
  <c r="G55" i="70"/>
  <c r="F55" i="70"/>
  <c r="E55" i="70"/>
  <c r="BD54" i="70"/>
  <c r="BC54" i="70"/>
  <c r="BB54" i="70"/>
  <c r="BA54" i="70"/>
  <c r="AZ54" i="70"/>
  <c r="AY54" i="70"/>
  <c r="AX54" i="70"/>
  <c r="AW54" i="70"/>
  <c r="AV54" i="70"/>
  <c r="AU54" i="70"/>
  <c r="AT54" i="70"/>
  <c r="AS54" i="70"/>
  <c r="AR54" i="70"/>
  <c r="AQ54" i="70"/>
  <c r="AP54" i="70"/>
  <c r="AO54" i="70"/>
  <c r="AN54" i="70"/>
  <c r="AM54" i="70"/>
  <c r="AL54" i="70"/>
  <c r="AK54" i="70"/>
  <c r="AJ54" i="70"/>
  <c r="AI54" i="70"/>
  <c r="AH54" i="70"/>
  <c r="AG54" i="70"/>
  <c r="AF54" i="70"/>
  <c r="AE54" i="70"/>
  <c r="AD54" i="70"/>
  <c r="AC54" i="70"/>
  <c r="AB54" i="70"/>
  <c r="AA54" i="70"/>
  <c r="Z54" i="70"/>
  <c r="Y54" i="70"/>
  <c r="X54" i="70"/>
  <c r="W54" i="70"/>
  <c r="V54" i="70"/>
  <c r="U54" i="70"/>
  <c r="T54" i="70"/>
  <c r="S54" i="70"/>
  <c r="R54" i="70"/>
  <c r="Q54" i="70"/>
  <c r="P54" i="70"/>
  <c r="O54" i="70"/>
  <c r="N54" i="70"/>
  <c r="M54" i="70"/>
  <c r="L54" i="70"/>
  <c r="K54" i="70"/>
  <c r="J54" i="70"/>
  <c r="I54" i="70"/>
  <c r="H54" i="70"/>
  <c r="G54" i="70"/>
  <c r="F54" i="70"/>
  <c r="E54" i="70"/>
  <c r="BD49" i="70"/>
  <c r="BC49" i="70"/>
  <c r="BB49" i="70"/>
  <c r="BA49" i="70"/>
  <c r="AZ49" i="70"/>
  <c r="AY49" i="70"/>
  <c r="AX49" i="70"/>
  <c r="AW49" i="70"/>
  <c r="AV49" i="70"/>
  <c r="AU49" i="70"/>
  <c r="AT49" i="70"/>
  <c r="AS49" i="70"/>
  <c r="AR49" i="70"/>
  <c r="AQ49" i="70"/>
  <c r="AP49" i="70"/>
  <c r="AO49" i="70"/>
  <c r="AN49" i="70"/>
  <c r="AM49" i="70"/>
  <c r="AL49" i="70"/>
  <c r="AK49" i="70"/>
  <c r="AJ49" i="70"/>
  <c r="AI49" i="70"/>
  <c r="AH49" i="70"/>
  <c r="AG49" i="70"/>
  <c r="AF49" i="70"/>
  <c r="AE49" i="70"/>
  <c r="AD49" i="70"/>
  <c r="AC49" i="70"/>
  <c r="AB49" i="70"/>
  <c r="AA49" i="70"/>
  <c r="Z49" i="70"/>
  <c r="Y49" i="70"/>
  <c r="X49" i="70"/>
  <c r="W49" i="70"/>
  <c r="V49" i="70"/>
  <c r="U49" i="70"/>
  <c r="T49" i="70"/>
  <c r="S49" i="70"/>
  <c r="R49" i="70"/>
  <c r="Q49" i="70"/>
  <c r="P49" i="70"/>
  <c r="O49" i="70"/>
  <c r="N49" i="70"/>
  <c r="M49" i="70"/>
  <c r="L49" i="70"/>
  <c r="K49" i="70"/>
  <c r="J49" i="70"/>
  <c r="I49" i="70"/>
  <c r="H49" i="70"/>
  <c r="G49" i="70"/>
  <c r="F49" i="70"/>
  <c r="E49" i="70"/>
  <c r="BD48" i="70"/>
  <c r="BC48" i="70"/>
  <c r="BB48" i="70"/>
  <c r="BA48" i="70"/>
  <c r="AZ48" i="70"/>
  <c r="AY48" i="70"/>
  <c r="AX48" i="70"/>
  <c r="AW48" i="70"/>
  <c r="AV48" i="70"/>
  <c r="AU48" i="70"/>
  <c r="AT48" i="70"/>
  <c r="AS48" i="70"/>
  <c r="AR48" i="70"/>
  <c r="AQ48" i="70"/>
  <c r="AP48" i="70"/>
  <c r="AO48" i="70"/>
  <c r="AN48" i="70"/>
  <c r="AM48" i="70"/>
  <c r="AL48" i="70"/>
  <c r="AK48" i="70"/>
  <c r="AJ48" i="70"/>
  <c r="AI48" i="70"/>
  <c r="AH48" i="70"/>
  <c r="AG48" i="70"/>
  <c r="AF48" i="70"/>
  <c r="AE48" i="70"/>
  <c r="AD48" i="70"/>
  <c r="AC48" i="70"/>
  <c r="AB48" i="70"/>
  <c r="AA48" i="70"/>
  <c r="Z48" i="70"/>
  <c r="Y48" i="70"/>
  <c r="X48" i="70"/>
  <c r="W48" i="70"/>
  <c r="V48" i="70"/>
  <c r="U48" i="70"/>
  <c r="T48" i="70"/>
  <c r="S48" i="70"/>
  <c r="R48" i="70"/>
  <c r="Q48" i="70"/>
  <c r="P48" i="70"/>
  <c r="O48" i="70"/>
  <c r="N48" i="70"/>
  <c r="M48" i="70"/>
  <c r="L48" i="70"/>
  <c r="K48" i="70"/>
  <c r="J48" i="70"/>
  <c r="I48" i="70"/>
  <c r="H48" i="70"/>
  <c r="G48" i="70"/>
  <c r="F48" i="70"/>
  <c r="E48" i="70"/>
  <c r="BD46" i="70"/>
  <c r="BC46" i="70"/>
  <c r="BB46" i="70"/>
  <c r="BA46" i="70"/>
  <c r="AZ46" i="70"/>
  <c r="AY46" i="70"/>
  <c r="AX46" i="70"/>
  <c r="AW46" i="70"/>
  <c r="AV46" i="70"/>
  <c r="AU46" i="70"/>
  <c r="AT46" i="70"/>
  <c r="AS46" i="70"/>
  <c r="AR46" i="70"/>
  <c r="AQ46" i="70"/>
  <c r="AP46" i="70"/>
  <c r="AO46" i="70"/>
  <c r="AN46" i="70"/>
  <c r="AM46" i="70"/>
  <c r="AL46" i="70"/>
  <c r="AK46" i="70"/>
  <c r="AJ46" i="70"/>
  <c r="AI46" i="70"/>
  <c r="AH46" i="70"/>
  <c r="AG46" i="70"/>
  <c r="AF46" i="70"/>
  <c r="AE46" i="70"/>
  <c r="AD46" i="70"/>
  <c r="AC46" i="70"/>
  <c r="AB46" i="70"/>
  <c r="AA46" i="70"/>
  <c r="Z46" i="70"/>
  <c r="Y46" i="70"/>
  <c r="X46" i="70"/>
  <c r="W46" i="70"/>
  <c r="V46" i="70"/>
  <c r="U46" i="70"/>
  <c r="T46" i="70"/>
  <c r="S46" i="70"/>
  <c r="R46" i="70"/>
  <c r="Q46" i="70"/>
  <c r="P46" i="70"/>
  <c r="O46" i="70"/>
  <c r="N46" i="70"/>
  <c r="M46" i="70"/>
  <c r="L46" i="70"/>
  <c r="K46" i="70"/>
  <c r="J46" i="70"/>
  <c r="I46" i="70"/>
  <c r="H46" i="70"/>
  <c r="G46" i="70"/>
  <c r="F46" i="70"/>
  <c r="E46" i="70"/>
  <c r="BD45" i="70"/>
  <c r="BC45" i="70"/>
  <c r="BB45" i="70"/>
  <c r="BA45" i="70"/>
  <c r="AZ45" i="70"/>
  <c r="AY45" i="70"/>
  <c r="AX45" i="70"/>
  <c r="AW45" i="70"/>
  <c r="AV45" i="70"/>
  <c r="AU45" i="70"/>
  <c r="AT45" i="70"/>
  <c r="AS45" i="70"/>
  <c r="AR45" i="70"/>
  <c r="AQ45" i="70"/>
  <c r="AP45" i="70"/>
  <c r="AO45" i="70"/>
  <c r="AN45" i="70"/>
  <c r="AM45" i="70"/>
  <c r="AL45" i="70"/>
  <c r="AK45" i="70"/>
  <c r="AJ45" i="70"/>
  <c r="AI45" i="70"/>
  <c r="AH45" i="70"/>
  <c r="AG45" i="70"/>
  <c r="AF45" i="70"/>
  <c r="AE45" i="70"/>
  <c r="AD45" i="70"/>
  <c r="AC45" i="70"/>
  <c r="AB45" i="70"/>
  <c r="AA45" i="70"/>
  <c r="Z45" i="70"/>
  <c r="Y45" i="70"/>
  <c r="X45" i="70"/>
  <c r="W45" i="70"/>
  <c r="V45" i="70"/>
  <c r="U45" i="70"/>
  <c r="T45" i="70"/>
  <c r="S45" i="70"/>
  <c r="R45" i="70"/>
  <c r="Q45" i="70"/>
  <c r="P45" i="70"/>
  <c r="O45" i="70"/>
  <c r="N45" i="70"/>
  <c r="M45" i="70"/>
  <c r="L45" i="70"/>
  <c r="K45" i="70"/>
  <c r="J45" i="70"/>
  <c r="I45" i="70"/>
  <c r="H45" i="70"/>
  <c r="G45" i="70"/>
  <c r="F45" i="70"/>
  <c r="E45" i="70"/>
  <c r="BD44" i="70"/>
  <c r="BC44" i="70"/>
  <c r="BB44" i="70"/>
  <c r="BA44" i="70"/>
  <c r="AZ44" i="70"/>
  <c r="AY44" i="70"/>
  <c r="AX44" i="70"/>
  <c r="AW44" i="70"/>
  <c r="AV44" i="70"/>
  <c r="AU44" i="70"/>
  <c r="AT44" i="70"/>
  <c r="AS44" i="70"/>
  <c r="AR44" i="70"/>
  <c r="AQ44" i="70"/>
  <c r="AP44" i="70"/>
  <c r="AO44" i="70"/>
  <c r="AN44" i="70"/>
  <c r="AM44" i="70"/>
  <c r="AL44" i="70"/>
  <c r="AK44" i="70"/>
  <c r="AJ44" i="70"/>
  <c r="AI44" i="70"/>
  <c r="AH44" i="70"/>
  <c r="AG44" i="70"/>
  <c r="AF44" i="70"/>
  <c r="AE44" i="70"/>
  <c r="AD44" i="70"/>
  <c r="AC44" i="70"/>
  <c r="AB44" i="70"/>
  <c r="AA44" i="70"/>
  <c r="Z44" i="70"/>
  <c r="Y44" i="70"/>
  <c r="X44" i="70"/>
  <c r="W44" i="70"/>
  <c r="V44" i="70"/>
  <c r="U44" i="70"/>
  <c r="T44" i="70"/>
  <c r="S44" i="70"/>
  <c r="R44" i="70"/>
  <c r="Q44" i="70"/>
  <c r="P44" i="70"/>
  <c r="O44" i="70"/>
  <c r="N44" i="70"/>
  <c r="M44" i="70"/>
  <c r="L44" i="70"/>
  <c r="K44" i="70"/>
  <c r="J44" i="70"/>
  <c r="I44" i="70"/>
  <c r="H44" i="70"/>
  <c r="G44" i="70"/>
  <c r="F44" i="70"/>
  <c r="E44" i="70"/>
  <c r="BD43" i="70"/>
  <c r="BC43" i="70"/>
  <c r="BB43" i="70"/>
  <c r="BA43" i="70"/>
  <c r="AZ43" i="70"/>
  <c r="AY43" i="70"/>
  <c r="AX43" i="70"/>
  <c r="AW43" i="70"/>
  <c r="AV43" i="70"/>
  <c r="AU43" i="70"/>
  <c r="AT43" i="70"/>
  <c r="AS43" i="70"/>
  <c r="AR43" i="70"/>
  <c r="AQ43" i="70"/>
  <c r="AP43" i="70"/>
  <c r="AO43" i="70"/>
  <c r="AN43" i="70"/>
  <c r="AM43" i="70"/>
  <c r="AL43" i="70"/>
  <c r="AK43" i="70"/>
  <c r="AJ43" i="70"/>
  <c r="AI43" i="70"/>
  <c r="AH43" i="70"/>
  <c r="AG43" i="70"/>
  <c r="AF43" i="70"/>
  <c r="AE43" i="70"/>
  <c r="AD43" i="70"/>
  <c r="AC43" i="70"/>
  <c r="AB43" i="70"/>
  <c r="AA43" i="70"/>
  <c r="Z43" i="70"/>
  <c r="Y43" i="70"/>
  <c r="X43" i="70"/>
  <c r="W43" i="70"/>
  <c r="V43" i="70"/>
  <c r="U43" i="70"/>
  <c r="T43" i="70"/>
  <c r="S43" i="70"/>
  <c r="R43" i="70"/>
  <c r="Q43" i="70"/>
  <c r="P43" i="70"/>
  <c r="O43" i="70"/>
  <c r="N43" i="70"/>
  <c r="M43" i="70"/>
  <c r="L43" i="70"/>
  <c r="K43" i="70"/>
  <c r="J43" i="70"/>
  <c r="I43" i="70"/>
  <c r="H43" i="70"/>
  <c r="G43" i="70"/>
  <c r="F43" i="70"/>
  <c r="E43" i="70"/>
  <c r="BD42" i="70"/>
  <c r="BC42" i="70"/>
  <c r="BB42" i="70"/>
  <c r="BA42" i="70"/>
  <c r="AZ42" i="70"/>
  <c r="AY42" i="70"/>
  <c r="AX42" i="70"/>
  <c r="AW42" i="70"/>
  <c r="AV42" i="70"/>
  <c r="AU42" i="70"/>
  <c r="AT42" i="70"/>
  <c r="AS42" i="70"/>
  <c r="AR42" i="70"/>
  <c r="AQ42" i="70"/>
  <c r="AP42" i="70"/>
  <c r="AO42" i="70"/>
  <c r="AN42" i="70"/>
  <c r="AM42" i="70"/>
  <c r="AL42" i="70"/>
  <c r="AK42" i="70"/>
  <c r="AJ42" i="70"/>
  <c r="AI42" i="70"/>
  <c r="AH42" i="70"/>
  <c r="AG42" i="70"/>
  <c r="AF42" i="70"/>
  <c r="AE42" i="70"/>
  <c r="AD42" i="70"/>
  <c r="AC42" i="70"/>
  <c r="AB42" i="70"/>
  <c r="AA42" i="70"/>
  <c r="Z42" i="70"/>
  <c r="Y42" i="70"/>
  <c r="X42" i="70"/>
  <c r="W42" i="70"/>
  <c r="V42" i="70"/>
  <c r="U42" i="70"/>
  <c r="T42" i="70"/>
  <c r="S42" i="70"/>
  <c r="R42" i="70"/>
  <c r="Q42" i="70"/>
  <c r="P42" i="70"/>
  <c r="O42" i="70"/>
  <c r="N42" i="70"/>
  <c r="M42" i="70"/>
  <c r="L42" i="70"/>
  <c r="K42" i="70"/>
  <c r="J42" i="70"/>
  <c r="I42" i="70"/>
  <c r="H42" i="70"/>
  <c r="G42" i="70"/>
  <c r="F42" i="70"/>
  <c r="E42" i="70"/>
  <c r="BD41" i="70"/>
  <c r="BC41" i="70"/>
  <c r="BB41" i="70"/>
  <c r="BA41" i="70"/>
  <c r="AZ41" i="70"/>
  <c r="AY41" i="70"/>
  <c r="AX41" i="70"/>
  <c r="AW41" i="70"/>
  <c r="AV41" i="70"/>
  <c r="AU41" i="70"/>
  <c r="AT41" i="70"/>
  <c r="AS41" i="70"/>
  <c r="AR41" i="70"/>
  <c r="AQ41" i="70"/>
  <c r="AP41" i="70"/>
  <c r="AO41" i="70"/>
  <c r="AN41" i="70"/>
  <c r="AM41" i="70"/>
  <c r="AL41" i="70"/>
  <c r="AK41" i="70"/>
  <c r="AJ41" i="70"/>
  <c r="AI41" i="70"/>
  <c r="AH41" i="70"/>
  <c r="AG41" i="70"/>
  <c r="AF41" i="70"/>
  <c r="AE41" i="70"/>
  <c r="AD41" i="70"/>
  <c r="AC41" i="70"/>
  <c r="AB41" i="70"/>
  <c r="AA41" i="70"/>
  <c r="Z41" i="70"/>
  <c r="Y41" i="70"/>
  <c r="X41" i="70"/>
  <c r="W41" i="70"/>
  <c r="V41" i="70"/>
  <c r="U41" i="70"/>
  <c r="T41" i="70"/>
  <c r="S41" i="70"/>
  <c r="R41" i="70"/>
  <c r="Q41" i="70"/>
  <c r="P41" i="70"/>
  <c r="O41" i="70"/>
  <c r="N41" i="70"/>
  <c r="M41" i="70"/>
  <c r="L41" i="70"/>
  <c r="K41" i="70"/>
  <c r="J41" i="70"/>
  <c r="I41" i="70"/>
  <c r="H41" i="70"/>
  <c r="G41" i="70"/>
  <c r="F41" i="70"/>
  <c r="E41" i="70"/>
  <c r="BD40" i="70"/>
  <c r="BC40" i="70"/>
  <c r="BB40" i="70"/>
  <c r="BA40" i="70"/>
  <c r="AZ40" i="70"/>
  <c r="AY40" i="70"/>
  <c r="AX40" i="70"/>
  <c r="AW40" i="70"/>
  <c r="AW47" i="70" s="1"/>
  <c r="AV40" i="70"/>
  <c r="AU40" i="70"/>
  <c r="AT40" i="70"/>
  <c r="AS40" i="70"/>
  <c r="AR40" i="70"/>
  <c r="AQ40" i="70"/>
  <c r="AP40" i="70"/>
  <c r="AO40" i="70"/>
  <c r="AO47" i="70" s="1"/>
  <c r="AN40" i="70"/>
  <c r="AM40" i="70"/>
  <c r="AL40" i="70"/>
  <c r="AK40" i="70"/>
  <c r="AJ40" i="70"/>
  <c r="AI40" i="70"/>
  <c r="AH40" i="70"/>
  <c r="AG40" i="70"/>
  <c r="AG47" i="70" s="1"/>
  <c r="AF40" i="70"/>
  <c r="AE40" i="70"/>
  <c r="AD40" i="70"/>
  <c r="AC40" i="70"/>
  <c r="AB40" i="70"/>
  <c r="AA40" i="70"/>
  <c r="Z40" i="70"/>
  <c r="Y40" i="70"/>
  <c r="X40" i="70"/>
  <c r="W40" i="70"/>
  <c r="V40" i="70"/>
  <c r="U40" i="70"/>
  <c r="T40" i="70"/>
  <c r="S40" i="70"/>
  <c r="R40" i="70"/>
  <c r="Q40" i="70"/>
  <c r="P40" i="70"/>
  <c r="O40" i="70"/>
  <c r="N40" i="70"/>
  <c r="M40" i="70"/>
  <c r="L40" i="70"/>
  <c r="K40" i="70"/>
  <c r="J40" i="70"/>
  <c r="I40" i="70"/>
  <c r="H40" i="70"/>
  <c r="G40" i="70"/>
  <c r="F40" i="70"/>
  <c r="E40" i="70"/>
  <c r="BD37" i="70"/>
  <c r="BC37" i="70"/>
  <c r="BB37" i="70"/>
  <c r="BA37" i="70"/>
  <c r="AZ37" i="70"/>
  <c r="AY37" i="70"/>
  <c r="AX37" i="70"/>
  <c r="AW37" i="70"/>
  <c r="AV37" i="70"/>
  <c r="AU37" i="70"/>
  <c r="AT37" i="70"/>
  <c r="AS37" i="70"/>
  <c r="AR37" i="70"/>
  <c r="AQ37" i="70"/>
  <c r="AP37" i="70"/>
  <c r="AO37" i="70"/>
  <c r="AN37" i="70"/>
  <c r="AM37" i="70"/>
  <c r="AL37" i="70"/>
  <c r="AK37" i="70"/>
  <c r="AJ37" i="70"/>
  <c r="AI37" i="70"/>
  <c r="AH37" i="70"/>
  <c r="AG37" i="70"/>
  <c r="AF37" i="70"/>
  <c r="AE37" i="70"/>
  <c r="AD37" i="70"/>
  <c r="AC37" i="70"/>
  <c r="AB37" i="70"/>
  <c r="AA37" i="70"/>
  <c r="Z37" i="70"/>
  <c r="Y37" i="70"/>
  <c r="X37" i="70"/>
  <c r="W37" i="70"/>
  <c r="V37" i="70"/>
  <c r="U37" i="70"/>
  <c r="T37" i="70"/>
  <c r="S37" i="70"/>
  <c r="R37" i="70"/>
  <c r="Q37" i="70"/>
  <c r="P37" i="70"/>
  <c r="O37" i="70"/>
  <c r="N37" i="70"/>
  <c r="M37" i="70"/>
  <c r="L37" i="70"/>
  <c r="K37" i="70"/>
  <c r="J37" i="70"/>
  <c r="I37" i="70"/>
  <c r="H37" i="70"/>
  <c r="G37" i="70"/>
  <c r="F37" i="70"/>
  <c r="E37" i="70"/>
  <c r="BD36" i="70"/>
  <c r="BC36" i="70"/>
  <c r="BB36" i="70"/>
  <c r="BA36" i="70"/>
  <c r="AZ36" i="70"/>
  <c r="AY36" i="70"/>
  <c r="AX36" i="70"/>
  <c r="AW36" i="70"/>
  <c r="AV36" i="70"/>
  <c r="AU36" i="70"/>
  <c r="AT36" i="70"/>
  <c r="AS36" i="70"/>
  <c r="AR36" i="70"/>
  <c r="AQ36" i="70"/>
  <c r="AP36" i="70"/>
  <c r="AO36" i="70"/>
  <c r="AN36" i="70"/>
  <c r="AM36" i="70"/>
  <c r="AL36" i="70"/>
  <c r="AK36" i="70"/>
  <c r="AJ36" i="70"/>
  <c r="AI36" i="70"/>
  <c r="AH36" i="70"/>
  <c r="AG36" i="70"/>
  <c r="AF36" i="70"/>
  <c r="AE36" i="70"/>
  <c r="AD36" i="70"/>
  <c r="AC36" i="70"/>
  <c r="AB36" i="70"/>
  <c r="AA36" i="70"/>
  <c r="Z36" i="70"/>
  <c r="Y36" i="70"/>
  <c r="X36" i="70"/>
  <c r="W36" i="70"/>
  <c r="V36" i="70"/>
  <c r="U36" i="70"/>
  <c r="T36" i="70"/>
  <c r="S36" i="70"/>
  <c r="R36" i="70"/>
  <c r="Q36" i="70"/>
  <c r="P36" i="70"/>
  <c r="O36" i="70"/>
  <c r="N36" i="70"/>
  <c r="M36" i="70"/>
  <c r="L36" i="70"/>
  <c r="K36" i="70"/>
  <c r="J36" i="70"/>
  <c r="I36" i="70"/>
  <c r="H36" i="70"/>
  <c r="G36" i="70"/>
  <c r="F36" i="70"/>
  <c r="E36" i="70"/>
  <c r="BD35" i="70"/>
  <c r="BC35" i="70"/>
  <c r="BB35" i="70"/>
  <c r="BA35" i="70"/>
  <c r="AZ35" i="70"/>
  <c r="AY35" i="70"/>
  <c r="AX35" i="70"/>
  <c r="AW35" i="70"/>
  <c r="AV35" i="70"/>
  <c r="AU35" i="70"/>
  <c r="AT35" i="70"/>
  <c r="AS35" i="70"/>
  <c r="AR35" i="70"/>
  <c r="AQ35" i="70"/>
  <c r="AP35" i="70"/>
  <c r="AO35" i="70"/>
  <c r="AN35" i="70"/>
  <c r="AM35" i="70"/>
  <c r="AL35" i="70"/>
  <c r="AK35" i="70"/>
  <c r="AJ35" i="70"/>
  <c r="AI35" i="70"/>
  <c r="AH35" i="70"/>
  <c r="AG35" i="70"/>
  <c r="AF35" i="70"/>
  <c r="AE35" i="70"/>
  <c r="AD35" i="70"/>
  <c r="AC35" i="70"/>
  <c r="AB35" i="70"/>
  <c r="AA35" i="70"/>
  <c r="Z35" i="70"/>
  <c r="Y35" i="70"/>
  <c r="X35" i="70"/>
  <c r="W35" i="70"/>
  <c r="V35" i="70"/>
  <c r="U35" i="70"/>
  <c r="T35" i="70"/>
  <c r="S35" i="70"/>
  <c r="R35" i="70"/>
  <c r="Q35" i="70"/>
  <c r="P35" i="70"/>
  <c r="O35" i="70"/>
  <c r="N35" i="70"/>
  <c r="M35" i="70"/>
  <c r="L35" i="70"/>
  <c r="K35" i="70"/>
  <c r="J35" i="70"/>
  <c r="I35" i="70"/>
  <c r="H35" i="70"/>
  <c r="G35" i="70"/>
  <c r="F35" i="70"/>
  <c r="E35" i="70"/>
  <c r="BD34" i="70"/>
  <c r="BC34" i="70"/>
  <c r="BB34" i="70"/>
  <c r="BA34" i="70"/>
  <c r="AZ34" i="70"/>
  <c r="AY34" i="70"/>
  <c r="AX34" i="70"/>
  <c r="AW34" i="70"/>
  <c r="AV34" i="70"/>
  <c r="AU34" i="70"/>
  <c r="AT34" i="70"/>
  <c r="AS34" i="70"/>
  <c r="AR34" i="70"/>
  <c r="AQ34" i="70"/>
  <c r="AP34" i="70"/>
  <c r="AO34" i="70"/>
  <c r="AN34" i="70"/>
  <c r="AM34" i="70"/>
  <c r="AL34" i="70"/>
  <c r="AK34" i="70"/>
  <c r="AJ34" i="70"/>
  <c r="AI34" i="70"/>
  <c r="AH34" i="70"/>
  <c r="AG34" i="70"/>
  <c r="AF34" i="70"/>
  <c r="AE34" i="70"/>
  <c r="AD34" i="70"/>
  <c r="AC34" i="70"/>
  <c r="AB34" i="70"/>
  <c r="AA34" i="70"/>
  <c r="Z34" i="70"/>
  <c r="Y34" i="70"/>
  <c r="X34" i="70"/>
  <c r="W34" i="70"/>
  <c r="V34" i="70"/>
  <c r="U34" i="70"/>
  <c r="T34" i="70"/>
  <c r="S34" i="70"/>
  <c r="R34" i="70"/>
  <c r="R38" i="70" s="1"/>
  <c r="Q34" i="70"/>
  <c r="P34" i="70"/>
  <c r="O34" i="70"/>
  <c r="N34" i="70"/>
  <c r="M34" i="70"/>
  <c r="L34" i="70"/>
  <c r="K34" i="70"/>
  <c r="J34" i="70"/>
  <c r="I34" i="70"/>
  <c r="H34" i="70"/>
  <c r="G34" i="70"/>
  <c r="F34" i="70"/>
  <c r="E34" i="70"/>
  <c r="BD27" i="70"/>
  <c r="BC27" i="70"/>
  <c r="BB27" i="70"/>
  <c r="BA27" i="70"/>
  <c r="AZ27" i="70"/>
  <c r="AY27" i="70"/>
  <c r="AX27" i="70"/>
  <c r="AW27" i="70"/>
  <c r="AV27" i="70"/>
  <c r="AU27" i="70"/>
  <c r="AT27" i="70"/>
  <c r="AS27" i="70"/>
  <c r="AR27" i="70"/>
  <c r="AQ27" i="70"/>
  <c r="AP27" i="70"/>
  <c r="AO27" i="70"/>
  <c r="AN27" i="70"/>
  <c r="AM27" i="70"/>
  <c r="AL27" i="70"/>
  <c r="AK27" i="70"/>
  <c r="AJ27" i="70"/>
  <c r="AI27" i="70"/>
  <c r="AH27" i="70"/>
  <c r="AG27" i="70"/>
  <c r="AF27" i="70"/>
  <c r="AE27" i="70"/>
  <c r="AD27" i="70"/>
  <c r="AC27" i="70"/>
  <c r="AB27" i="70"/>
  <c r="AA27" i="70"/>
  <c r="Z27" i="70"/>
  <c r="Y27" i="70"/>
  <c r="X27" i="70"/>
  <c r="W27" i="70"/>
  <c r="V27" i="70"/>
  <c r="U27" i="70"/>
  <c r="T27" i="70"/>
  <c r="S27" i="70"/>
  <c r="R27" i="70"/>
  <c r="Q27" i="70"/>
  <c r="P27" i="70"/>
  <c r="O27" i="70"/>
  <c r="N27" i="70"/>
  <c r="M27" i="70"/>
  <c r="L27" i="70"/>
  <c r="K27" i="70"/>
  <c r="J27" i="70"/>
  <c r="I27" i="70"/>
  <c r="H27" i="70"/>
  <c r="G27" i="70"/>
  <c r="F27" i="70"/>
  <c r="E27" i="70"/>
  <c r="BD26" i="70"/>
  <c r="BC26" i="70"/>
  <c r="BB26" i="70"/>
  <c r="BA26" i="70"/>
  <c r="AZ26" i="70"/>
  <c r="AY26" i="70"/>
  <c r="AX26" i="70"/>
  <c r="AW26" i="70"/>
  <c r="AV26" i="70"/>
  <c r="AU26" i="70"/>
  <c r="AT26" i="70"/>
  <c r="AS26" i="70"/>
  <c r="AR26" i="70"/>
  <c r="AQ26" i="70"/>
  <c r="AP26" i="70"/>
  <c r="AO26" i="70"/>
  <c r="AN26" i="70"/>
  <c r="AM26" i="70"/>
  <c r="AL26" i="70"/>
  <c r="AK26" i="70"/>
  <c r="AJ26" i="70"/>
  <c r="AI26" i="70"/>
  <c r="AH26" i="70"/>
  <c r="AG26" i="70"/>
  <c r="AF26" i="70"/>
  <c r="AE26" i="70"/>
  <c r="AD26" i="70"/>
  <c r="AC26" i="70"/>
  <c r="AB26" i="70"/>
  <c r="AA26" i="70"/>
  <c r="Z26" i="70"/>
  <c r="Y26" i="70"/>
  <c r="X26" i="70"/>
  <c r="W26" i="70"/>
  <c r="V26" i="70"/>
  <c r="U26" i="70"/>
  <c r="T26" i="70"/>
  <c r="S26" i="70"/>
  <c r="R26" i="70"/>
  <c r="Q26" i="70"/>
  <c r="P26" i="70"/>
  <c r="O26" i="70"/>
  <c r="N26" i="70"/>
  <c r="M26" i="70"/>
  <c r="L26" i="70"/>
  <c r="K26" i="70"/>
  <c r="J26" i="70"/>
  <c r="I26" i="70"/>
  <c r="H26" i="70"/>
  <c r="G26" i="70"/>
  <c r="F26" i="70"/>
  <c r="E26" i="70"/>
  <c r="BD24" i="70"/>
  <c r="BC24" i="70"/>
  <c r="BB24" i="70"/>
  <c r="BA24" i="70"/>
  <c r="AZ24" i="70"/>
  <c r="AY24" i="70"/>
  <c r="AX24" i="70"/>
  <c r="AW24" i="70"/>
  <c r="AV24" i="70"/>
  <c r="AU24" i="70"/>
  <c r="AT24" i="70"/>
  <c r="AS24" i="70"/>
  <c r="AR24" i="70"/>
  <c r="AQ24" i="70"/>
  <c r="AP24" i="70"/>
  <c r="AO24" i="70"/>
  <c r="AN24" i="70"/>
  <c r="AM24" i="70"/>
  <c r="AL24" i="70"/>
  <c r="AK24" i="70"/>
  <c r="AJ24" i="70"/>
  <c r="AI24" i="70"/>
  <c r="AH24" i="70"/>
  <c r="AG24" i="70"/>
  <c r="AF24" i="70"/>
  <c r="AE24" i="70"/>
  <c r="AD24" i="70"/>
  <c r="AC24" i="70"/>
  <c r="AB24" i="70"/>
  <c r="AA24" i="70"/>
  <c r="Z24" i="70"/>
  <c r="Y24" i="70"/>
  <c r="X24" i="70"/>
  <c r="W24" i="70"/>
  <c r="V24" i="70"/>
  <c r="U24" i="70"/>
  <c r="T24" i="70"/>
  <c r="S24" i="70"/>
  <c r="R24" i="70"/>
  <c r="Q24" i="70"/>
  <c r="P24" i="70"/>
  <c r="O24" i="70"/>
  <c r="O130" i="70" s="1"/>
  <c r="N24" i="70"/>
  <c r="M24" i="70"/>
  <c r="L24" i="70"/>
  <c r="K24" i="70"/>
  <c r="J24" i="70"/>
  <c r="I24" i="70"/>
  <c r="H24" i="70"/>
  <c r="G24" i="70"/>
  <c r="F24" i="70"/>
  <c r="E24" i="70"/>
  <c r="BD23" i="70"/>
  <c r="BC23" i="70"/>
  <c r="BB23" i="70"/>
  <c r="BA23" i="70"/>
  <c r="AZ23" i="70"/>
  <c r="AY23" i="70"/>
  <c r="AX23" i="70"/>
  <c r="AW23" i="70"/>
  <c r="AV23" i="70"/>
  <c r="AU23" i="70"/>
  <c r="AT23" i="70"/>
  <c r="AS23" i="70"/>
  <c r="AR23" i="70"/>
  <c r="AQ23" i="70"/>
  <c r="AQ129" i="70" s="1"/>
  <c r="AP23" i="70"/>
  <c r="AO23" i="70"/>
  <c r="AN23" i="70"/>
  <c r="AM23" i="70"/>
  <c r="AL23" i="70"/>
  <c r="AK23" i="70"/>
  <c r="AJ23" i="70"/>
  <c r="AI23" i="70"/>
  <c r="AH23" i="70"/>
  <c r="AG23" i="70"/>
  <c r="AF23" i="70"/>
  <c r="AE23" i="70"/>
  <c r="AD23" i="70"/>
  <c r="AC23" i="70"/>
  <c r="AB23" i="70"/>
  <c r="AA23" i="70"/>
  <c r="Z23" i="70"/>
  <c r="Y23" i="70"/>
  <c r="X23" i="70"/>
  <c r="W23" i="70"/>
  <c r="V23" i="70"/>
  <c r="U23" i="70"/>
  <c r="T23" i="70"/>
  <c r="S23" i="70"/>
  <c r="S129" i="70" s="1"/>
  <c r="R23" i="70"/>
  <c r="Q23" i="70"/>
  <c r="P23" i="70"/>
  <c r="O23" i="70"/>
  <c r="N23" i="70"/>
  <c r="M23" i="70"/>
  <c r="L23" i="70"/>
  <c r="K23" i="70"/>
  <c r="J23" i="70"/>
  <c r="I23" i="70"/>
  <c r="H23" i="70"/>
  <c r="G23" i="70"/>
  <c r="F23" i="70"/>
  <c r="E23" i="70"/>
  <c r="BD22" i="70"/>
  <c r="BC22" i="70"/>
  <c r="BB22" i="70"/>
  <c r="BA22" i="70"/>
  <c r="AZ22" i="70"/>
  <c r="AY22" i="70"/>
  <c r="AX22" i="70"/>
  <c r="AW22" i="70"/>
  <c r="AV22" i="70"/>
  <c r="AU22" i="70"/>
  <c r="AU128" i="70" s="1"/>
  <c r="AT22" i="70"/>
  <c r="AS22" i="70"/>
  <c r="AR22" i="70"/>
  <c r="AQ22" i="70"/>
  <c r="AP22" i="70"/>
  <c r="AO22" i="70"/>
  <c r="AN22" i="70"/>
  <c r="AM22" i="70"/>
  <c r="AL22" i="70"/>
  <c r="AK22" i="70"/>
  <c r="AJ22" i="70"/>
  <c r="AI22" i="70"/>
  <c r="AH22" i="70"/>
  <c r="AG22" i="70"/>
  <c r="AF22" i="70"/>
  <c r="AE22" i="70"/>
  <c r="AD22" i="70"/>
  <c r="AC22" i="70"/>
  <c r="AB22" i="70"/>
  <c r="AA22" i="70"/>
  <c r="Z22" i="70"/>
  <c r="Y22" i="70"/>
  <c r="X22" i="70"/>
  <c r="W22" i="70"/>
  <c r="W128" i="70" s="1"/>
  <c r="V22" i="70"/>
  <c r="U22" i="70"/>
  <c r="T22" i="70"/>
  <c r="S22" i="70"/>
  <c r="R22" i="70"/>
  <c r="Q22" i="70"/>
  <c r="P22" i="70"/>
  <c r="O22" i="70"/>
  <c r="N22" i="70"/>
  <c r="M22" i="70"/>
  <c r="L22" i="70"/>
  <c r="K22" i="70"/>
  <c r="J22" i="70"/>
  <c r="I22" i="70"/>
  <c r="H22" i="70"/>
  <c r="G22" i="70"/>
  <c r="F22" i="70"/>
  <c r="E22" i="70"/>
  <c r="BD21" i="70"/>
  <c r="BC21" i="70"/>
  <c r="BB21" i="70"/>
  <c r="BA21" i="70"/>
  <c r="AZ21" i="70"/>
  <c r="AY21" i="70"/>
  <c r="AX21" i="70"/>
  <c r="AW21" i="70"/>
  <c r="AV21" i="70"/>
  <c r="AU21" i="70"/>
  <c r="AT21" i="70"/>
  <c r="AS21" i="70"/>
  <c r="AR21" i="70"/>
  <c r="AQ21" i="70"/>
  <c r="AP21" i="70"/>
  <c r="AO21" i="70"/>
  <c r="AN21" i="70"/>
  <c r="AM21" i="70"/>
  <c r="AL21" i="70"/>
  <c r="AK21" i="70"/>
  <c r="AJ21" i="70"/>
  <c r="AI21" i="70"/>
  <c r="AH21" i="70"/>
  <c r="AG21" i="70"/>
  <c r="AF21" i="70"/>
  <c r="AE21" i="70"/>
  <c r="AD21" i="70"/>
  <c r="AC21" i="70"/>
  <c r="AB21" i="70"/>
  <c r="AA21" i="70"/>
  <c r="Z21" i="70"/>
  <c r="Y21" i="70"/>
  <c r="X21" i="70"/>
  <c r="W21" i="70"/>
  <c r="V21" i="70"/>
  <c r="U21" i="70"/>
  <c r="T21" i="70"/>
  <c r="S21" i="70"/>
  <c r="R21" i="70"/>
  <c r="Q21" i="70"/>
  <c r="P21" i="70"/>
  <c r="O21" i="70"/>
  <c r="N21" i="70"/>
  <c r="M21" i="70"/>
  <c r="L21" i="70"/>
  <c r="K21" i="70"/>
  <c r="J21" i="70"/>
  <c r="I21" i="70"/>
  <c r="H21" i="70"/>
  <c r="G21" i="70"/>
  <c r="F21" i="70"/>
  <c r="E21" i="70"/>
  <c r="BD20" i="70"/>
  <c r="BC20" i="70"/>
  <c r="BC126" i="70" s="1"/>
  <c r="BB20" i="70"/>
  <c r="BA20" i="70"/>
  <c r="AZ20" i="70"/>
  <c r="AY20" i="70"/>
  <c r="AX20" i="70"/>
  <c r="AW20" i="70"/>
  <c r="AV20" i="70"/>
  <c r="AU20" i="70"/>
  <c r="AT20" i="70"/>
  <c r="AS20" i="70"/>
  <c r="AR20" i="70"/>
  <c r="AQ20" i="70"/>
  <c r="AP20" i="70"/>
  <c r="AO20" i="70"/>
  <c r="AN20" i="70"/>
  <c r="AM20" i="70"/>
  <c r="AL20" i="70"/>
  <c r="AK20" i="70"/>
  <c r="AJ20" i="70"/>
  <c r="AI20" i="70"/>
  <c r="AH20" i="70"/>
  <c r="AG20" i="70"/>
  <c r="AF20" i="70"/>
  <c r="AE20" i="70"/>
  <c r="AD20" i="70"/>
  <c r="AC20" i="70"/>
  <c r="AB20" i="70"/>
  <c r="AA20" i="70"/>
  <c r="Z20" i="70"/>
  <c r="Y20" i="70"/>
  <c r="X20" i="70"/>
  <c r="W20" i="70"/>
  <c r="V20" i="70"/>
  <c r="U20" i="70"/>
  <c r="T20" i="70"/>
  <c r="S20" i="70"/>
  <c r="R20" i="70"/>
  <c r="Q20" i="70"/>
  <c r="P20" i="70"/>
  <c r="O20" i="70"/>
  <c r="N20" i="70"/>
  <c r="M20" i="70"/>
  <c r="L20" i="70"/>
  <c r="K20" i="70"/>
  <c r="J20" i="70"/>
  <c r="I20" i="70"/>
  <c r="H20" i="70"/>
  <c r="G20" i="70"/>
  <c r="F20" i="70"/>
  <c r="E20" i="70"/>
  <c r="BD19" i="70"/>
  <c r="BC19" i="70"/>
  <c r="BB19" i="70"/>
  <c r="BA19" i="70"/>
  <c r="AZ19" i="70"/>
  <c r="AY19" i="70"/>
  <c r="AX19" i="70"/>
  <c r="AW19" i="70"/>
  <c r="AV19" i="70"/>
  <c r="AU19" i="70"/>
  <c r="AT19" i="70"/>
  <c r="AS19" i="70"/>
  <c r="AR19" i="70"/>
  <c r="AQ19" i="70"/>
  <c r="AP19" i="70"/>
  <c r="AO19" i="70"/>
  <c r="AN19" i="70"/>
  <c r="AM19" i="70"/>
  <c r="AL19" i="70"/>
  <c r="AK19" i="70"/>
  <c r="AJ19" i="70"/>
  <c r="AI19" i="70"/>
  <c r="AH19" i="70"/>
  <c r="AG19" i="70"/>
  <c r="AF19" i="70"/>
  <c r="AE19" i="70"/>
  <c r="AD19" i="70"/>
  <c r="AC19" i="70"/>
  <c r="AB19" i="70"/>
  <c r="AA19" i="70"/>
  <c r="Z19" i="70"/>
  <c r="Y19" i="70"/>
  <c r="X19" i="70"/>
  <c r="W19" i="70"/>
  <c r="V19" i="70"/>
  <c r="U19" i="70"/>
  <c r="T19" i="70"/>
  <c r="S19" i="70"/>
  <c r="R19" i="70"/>
  <c r="Q19" i="70"/>
  <c r="P19" i="70"/>
  <c r="O19" i="70"/>
  <c r="N19" i="70"/>
  <c r="M19" i="70"/>
  <c r="L19" i="70"/>
  <c r="K19" i="70"/>
  <c r="J19" i="70"/>
  <c r="I19" i="70"/>
  <c r="H19" i="70"/>
  <c r="G19" i="70"/>
  <c r="F19" i="70"/>
  <c r="E19" i="70"/>
  <c r="BD18" i="70"/>
  <c r="BC18" i="70"/>
  <c r="BB18" i="70"/>
  <c r="BA18" i="70"/>
  <c r="AZ18" i="70"/>
  <c r="AY18" i="70"/>
  <c r="AX18" i="70"/>
  <c r="AW18" i="70"/>
  <c r="AV18" i="70"/>
  <c r="AU18" i="70"/>
  <c r="AT18" i="70"/>
  <c r="AS18" i="70"/>
  <c r="AR18" i="70"/>
  <c r="AQ18" i="70"/>
  <c r="AP18" i="70"/>
  <c r="AP25" i="70" s="1"/>
  <c r="AO18" i="70"/>
  <c r="AN18" i="70"/>
  <c r="AM18" i="70"/>
  <c r="AL18" i="70"/>
  <c r="AK18" i="70"/>
  <c r="AJ18" i="70"/>
  <c r="AI18" i="70"/>
  <c r="AH18" i="70"/>
  <c r="AH25" i="70" s="1"/>
  <c r="AG18" i="70"/>
  <c r="AF18" i="70"/>
  <c r="AE18" i="70"/>
  <c r="AD18" i="70"/>
  <c r="AC18" i="70"/>
  <c r="AB18" i="70"/>
  <c r="AA18" i="70"/>
  <c r="Z18" i="70"/>
  <c r="Z25" i="70" s="1"/>
  <c r="Y18" i="70"/>
  <c r="X18" i="70"/>
  <c r="W18" i="70"/>
  <c r="V18" i="70"/>
  <c r="U18" i="70"/>
  <c r="T18" i="70"/>
  <c r="S18" i="70"/>
  <c r="R18" i="70"/>
  <c r="R25" i="70" s="1"/>
  <c r="Q18" i="70"/>
  <c r="P18" i="70"/>
  <c r="O18" i="70"/>
  <c r="N18" i="70"/>
  <c r="M18" i="70"/>
  <c r="L18" i="70"/>
  <c r="K18" i="70"/>
  <c r="J18" i="70"/>
  <c r="J25" i="70" s="1"/>
  <c r="I18" i="70"/>
  <c r="H18" i="70"/>
  <c r="G18" i="70"/>
  <c r="F18" i="70"/>
  <c r="E18" i="70"/>
  <c r="BD16" i="70"/>
  <c r="BC16" i="70"/>
  <c r="BB16" i="70"/>
  <c r="BA16" i="70"/>
  <c r="AZ16" i="70"/>
  <c r="AY16" i="70"/>
  <c r="AX16" i="70"/>
  <c r="AW16" i="70"/>
  <c r="AV16" i="70"/>
  <c r="AU16" i="70"/>
  <c r="AT16" i="70"/>
  <c r="AS16" i="70"/>
  <c r="AR16" i="70"/>
  <c r="AQ16" i="70"/>
  <c r="AP16" i="70"/>
  <c r="AO16" i="70"/>
  <c r="AN16" i="70"/>
  <c r="AM16" i="70"/>
  <c r="AL16" i="70"/>
  <c r="AK16" i="70"/>
  <c r="AJ16" i="70"/>
  <c r="AI16" i="70"/>
  <c r="AH16" i="70"/>
  <c r="AG16" i="70"/>
  <c r="AF16" i="70"/>
  <c r="AE16" i="70"/>
  <c r="AD16" i="70"/>
  <c r="AC16" i="70"/>
  <c r="AB16" i="70"/>
  <c r="AA16" i="70"/>
  <c r="Z16" i="70"/>
  <c r="Y16" i="70"/>
  <c r="X16" i="70"/>
  <c r="W16" i="70"/>
  <c r="V16" i="70"/>
  <c r="U16" i="70"/>
  <c r="T16" i="70"/>
  <c r="S16" i="70"/>
  <c r="R16" i="70"/>
  <c r="Q16" i="70"/>
  <c r="P16" i="70"/>
  <c r="O16" i="70"/>
  <c r="N16" i="70"/>
  <c r="M16" i="70"/>
  <c r="L16" i="70"/>
  <c r="K16" i="70"/>
  <c r="J16" i="70"/>
  <c r="I16" i="70"/>
  <c r="H16" i="70"/>
  <c r="G16" i="70"/>
  <c r="F16" i="70"/>
  <c r="E16" i="70"/>
  <c r="BD15" i="70"/>
  <c r="BC15" i="70"/>
  <c r="BB15" i="70"/>
  <c r="BA15" i="70"/>
  <c r="AZ15" i="70"/>
  <c r="AY15" i="70"/>
  <c r="AX15" i="70"/>
  <c r="AW15" i="70"/>
  <c r="AV15" i="70"/>
  <c r="AU15" i="70"/>
  <c r="AT15" i="70"/>
  <c r="AS15" i="70"/>
  <c r="AR15" i="70"/>
  <c r="AQ15" i="70"/>
  <c r="AP15" i="70"/>
  <c r="AO15" i="70"/>
  <c r="AN15" i="70"/>
  <c r="AM15" i="70"/>
  <c r="AL15" i="70"/>
  <c r="AK15" i="70"/>
  <c r="AJ15" i="70"/>
  <c r="AI15" i="70"/>
  <c r="AH15" i="70"/>
  <c r="AG15" i="70"/>
  <c r="AF15" i="70"/>
  <c r="AE15" i="70"/>
  <c r="AD15" i="70"/>
  <c r="AC15" i="70"/>
  <c r="AB15" i="70"/>
  <c r="AA15" i="70"/>
  <c r="Z15" i="70"/>
  <c r="Y15" i="70"/>
  <c r="X15" i="70"/>
  <c r="W15" i="70"/>
  <c r="V15" i="70"/>
  <c r="U15" i="70"/>
  <c r="T15" i="70"/>
  <c r="S15" i="70"/>
  <c r="R15" i="70"/>
  <c r="Q15" i="70"/>
  <c r="P15" i="70"/>
  <c r="O15" i="70"/>
  <c r="N15" i="70"/>
  <c r="M15" i="70"/>
  <c r="L15" i="70"/>
  <c r="K15" i="70"/>
  <c r="J15" i="70"/>
  <c r="I15" i="70"/>
  <c r="H15" i="70"/>
  <c r="G15" i="70"/>
  <c r="F15" i="70"/>
  <c r="E15" i="70"/>
  <c r="BD14" i="70"/>
  <c r="BC14" i="70"/>
  <c r="BB14" i="70"/>
  <c r="BA14" i="70"/>
  <c r="AZ14" i="70"/>
  <c r="AY14" i="70"/>
  <c r="AX14" i="70"/>
  <c r="AW14" i="70"/>
  <c r="AV14" i="70"/>
  <c r="AU14" i="70"/>
  <c r="AT14" i="70"/>
  <c r="AS14" i="70"/>
  <c r="AR14" i="70"/>
  <c r="AQ14" i="70"/>
  <c r="AP14" i="70"/>
  <c r="AO14" i="70"/>
  <c r="AN14" i="70"/>
  <c r="AM14" i="70"/>
  <c r="AL14" i="70"/>
  <c r="AK14" i="70"/>
  <c r="AJ14" i="70"/>
  <c r="AI14" i="70"/>
  <c r="AH14" i="70"/>
  <c r="AG14" i="70"/>
  <c r="AF14" i="70"/>
  <c r="AE14" i="70"/>
  <c r="AD14" i="70"/>
  <c r="AC14" i="70"/>
  <c r="AB14" i="70"/>
  <c r="AA14" i="70"/>
  <c r="Z14" i="70"/>
  <c r="Y14" i="70"/>
  <c r="X14" i="70"/>
  <c r="W14" i="70"/>
  <c r="V14" i="70"/>
  <c r="U14" i="70"/>
  <c r="T14" i="70"/>
  <c r="S14" i="70"/>
  <c r="R14" i="70"/>
  <c r="Q14" i="70"/>
  <c r="P14" i="70"/>
  <c r="O14" i="70"/>
  <c r="N14" i="70"/>
  <c r="M14" i="70"/>
  <c r="L14" i="70"/>
  <c r="K14" i="70"/>
  <c r="J14" i="70"/>
  <c r="I14" i="70"/>
  <c r="H14" i="70"/>
  <c r="G14" i="70"/>
  <c r="F14" i="70"/>
  <c r="E14" i="70"/>
  <c r="BD13" i="70"/>
  <c r="BC13" i="70"/>
  <c r="BB13" i="70"/>
  <c r="BA13" i="70"/>
  <c r="AZ13" i="70"/>
  <c r="AY13" i="70"/>
  <c r="AX13" i="70"/>
  <c r="AW13" i="70"/>
  <c r="AV13" i="70"/>
  <c r="AU13" i="70"/>
  <c r="AT13" i="70"/>
  <c r="AS13" i="70"/>
  <c r="AR13" i="70"/>
  <c r="AQ13" i="70"/>
  <c r="AP13" i="70"/>
  <c r="AO13" i="70"/>
  <c r="AN13" i="70"/>
  <c r="AM13" i="70"/>
  <c r="AL13" i="70"/>
  <c r="AK13" i="70"/>
  <c r="AJ13" i="70"/>
  <c r="AI13" i="70"/>
  <c r="AH13" i="70"/>
  <c r="AG13" i="70"/>
  <c r="AF13" i="70"/>
  <c r="AE13" i="70"/>
  <c r="AD13" i="70"/>
  <c r="AC13" i="70"/>
  <c r="AB13" i="70"/>
  <c r="AA13" i="70"/>
  <c r="Z13" i="70"/>
  <c r="Y13" i="70"/>
  <c r="X13" i="70"/>
  <c r="W13" i="70"/>
  <c r="V13" i="70"/>
  <c r="U13" i="70"/>
  <c r="T13" i="70"/>
  <c r="S13" i="70"/>
  <c r="R13" i="70"/>
  <c r="Q13" i="70"/>
  <c r="P13" i="70"/>
  <c r="O13" i="70"/>
  <c r="N13" i="70"/>
  <c r="M13" i="70"/>
  <c r="L13" i="70"/>
  <c r="K13" i="70"/>
  <c r="J13" i="70"/>
  <c r="I13" i="70"/>
  <c r="H13" i="70"/>
  <c r="G13" i="70"/>
  <c r="F13" i="70"/>
  <c r="E13" i="70"/>
  <c r="BD12" i="70"/>
  <c r="BC12" i="70"/>
  <c r="BB12" i="70"/>
  <c r="BA12" i="70"/>
  <c r="AZ12" i="70"/>
  <c r="AY12" i="70"/>
  <c r="AX12" i="70"/>
  <c r="AW12" i="70"/>
  <c r="AV12" i="70"/>
  <c r="AU12" i="70"/>
  <c r="AT12" i="70"/>
  <c r="AS12" i="70"/>
  <c r="AR12" i="70"/>
  <c r="AQ12" i="70"/>
  <c r="AP12" i="70"/>
  <c r="AO12" i="70"/>
  <c r="AN12" i="70"/>
  <c r="AM12" i="70"/>
  <c r="AL12" i="70"/>
  <c r="AK12" i="70"/>
  <c r="AJ12" i="70"/>
  <c r="AI12" i="70"/>
  <c r="AH12" i="70"/>
  <c r="AG12" i="70"/>
  <c r="AF12" i="70"/>
  <c r="AE12" i="70"/>
  <c r="AD12" i="70"/>
  <c r="AC12" i="70"/>
  <c r="AB12" i="70"/>
  <c r="AA12" i="70"/>
  <c r="Z12" i="70"/>
  <c r="Y12" i="70"/>
  <c r="X12" i="70"/>
  <c r="W12" i="70"/>
  <c r="V12" i="70"/>
  <c r="U12" i="70"/>
  <c r="T12" i="70"/>
  <c r="S12" i="70"/>
  <c r="R12" i="70"/>
  <c r="Q12" i="70"/>
  <c r="P12" i="70"/>
  <c r="O12" i="70"/>
  <c r="N12" i="70"/>
  <c r="M12" i="70"/>
  <c r="L12" i="70"/>
  <c r="K12" i="70"/>
  <c r="J12" i="70"/>
  <c r="I12" i="70"/>
  <c r="H12" i="70"/>
  <c r="G12" i="70"/>
  <c r="F12" i="70"/>
  <c r="E12" i="70"/>
  <c r="BD11" i="70"/>
  <c r="BC11" i="70"/>
  <c r="BB11" i="70"/>
  <c r="BA11" i="70"/>
  <c r="AZ11" i="70"/>
  <c r="AY11" i="70"/>
  <c r="AX11" i="70"/>
  <c r="AW11" i="70"/>
  <c r="AV11" i="70"/>
  <c r="AU11" i="70"/>
  <c r="AT11" i="70"/>
  <c r="AS11" i="70"/>
  <c r="AR11" i="70"/>
  <c r="AQ11" i="70"/>
  <c r="AP11" i="70"/>
  <c r="AO11" i="70"/>
  <c r="AN11" i="70"/>
  <c r="AM11" i="70"/>
  <c r="AL11" i="70"/>
  <c r="AK11" i="70"/>
  <c r="AJ11" i="70"/>
  <c r="AI11" i="70"/>
  <c r="AH11" i="70"/>
  <c r="AG11" i="70"/>
  <c r="AF11" i="70"/>
  <c r="AE11" i="70"/>
  <c r="AD11" i="70"/>
  <c r="AC11" i="70"/>
  <c r="AB11" i="70"/>
  <c r="AA11" i="70"/>
  <c r="Z11" i="70"/>
  <c r="Y11" i="70"/>
  <c r="X11" i="70"/>
  <c r="W11" i="70"/>
  <c r="V11" i="70"/>
  <c r="U11" i="70"/>
  <c r="T11" i="70"/>
  <c r="S11" i="70"/>
  <c r="R11" i="70"/>
  <c r="Q11" i="70"/>
  <c r="P11" i="70"/>
  <c r="O11" i="70"/>
  <c r="N11" i="70"/>
  <c r="M11" i="70"/>
  <c r="L11" i="70"/>
  <c r="K11" i="70"/>
  <c r="J11" i="70"/>
  <c r="I11" i="70"/>
  <c r="H11" i="70"/>
  <c r="G11" i="70"/>
  <c r="F11" i="70"/>
  <c r="E11" i="70"/>
  <c r="BD10" i="70"/>
  <c r="BC10" i="70"/>
  <c r="BB10" i="70"/>
  <c r="BB31" i="70" s="1"/>
  <c r="BA10" i="70"/>
  <c r="AZ10" i="70"/>
  <c r="AY10" i="70"/>
  <c r="AX10" i="70"/>
  <c r="AW10" i="70"/>
  <c r="AV10" i="70"/>
  <c r="AU10" i="70"/>
  <c r="AT10" i="70"/>
  <c r="AT31" i="70" s="1"/>
  <c r="AS10" i="70"/>
  <c r="AR10" i="70"/>
  <c r="AQ10" i="70"/>
  <c r="AP10" i="70"/>
  <c r="AO10" i="70"/>
  <c r="AN10" i="70"/>
  <c r="AM10" i="70"/>
  <c r="AL10" i="70"/>
  <c r="AL31" i="70" s="1"/>
  <c r="AK10" i="70"/>
  <c r="AJ10" i="70"/>
  <c r="AI10" i="70"/>
  <c r="AH10" i="70"/>
  <c r="AG10" i="70"/>
  <c r="AF10" i="70"/>
  <c r="AE10" i="70"/>
  <c r="AD10" i="70"/>
  <c r="AD31" i="70" s="1"/>
  <c r="AC10" i="70"/>
  <c r="AB10" i="70"/>
  <c r="AA10" i="70"/>
  <c r="Z10" i="70"/>
  <c r="Y10" i="70"/>
  <c r="X10" i="70"/>
  <c r="W10" i="70"/>
  <c r="V10" i="70"/>
  <c r="V31" i="70" s="1"/>
  <c r="U10" i="70"/>
  <c r="T10" i="70"/>
  <c r="S10" i="70"/>
  <c r="R10" i="70"/>
  <c r="Q10" i="70"/>
  <c r="P10" i="70"/>
  <c r="O10" i="70"/>
  <c r="N10" i="70"/>
  <c r="N31" i="70" s="1"/>
  <c r="M10" i="70"/>
  <c r="L10" i="70"/>
  <c r="K10" i="70"/>
  <c r="J10" i="70"/>
  <c r="I10" i="70"/>
  <c r="I31" i="70" s="1"/>
  <c r="H10" i="70"/>
  <c r="G10" i="70"/>
  <c r="F10" i="70"/>
  <c r="F31" i="70" s="1"/>
  <c r="E10" i="70"/>
  <c r="BD144" i="68"/>
  <c r="BC144" i="68"/>
  <c r="BB144" i="68"/>
  <c r="BA144" i="68"/>
  <c r="AZ144" i="68"/>
  <c r="AY144" i="68"/>
  <c r="AX144" i="68"/>
  <c r="AW144" i="68"/>
  <c r="AV144" i="68"/>
  <c r="AU144" i="68"/>
  <c r="AT144" i="68"/>
  <c r="AS144" i="68"/>
  <c r="AR144" i="68"/>
  <c r="AQ144" i="68"/>
  <c r="AP144" i="68"/>
  <c r="AO144" i="68"/>
  <c r="AN144" i="68"/>
  <c r="AM144" i="68"/>
  <c r="AL144" i="68"/>
  <c r="AK144" i="68"/>
  <c r="AJ144" i="68"/>
  <c r="AI144" i="68"/>
  <c r="AH144" i="68"/>
  <c r="AG144" i="68"/>
  <c r="AF144" i="68"/>
  <c r="AE144" i="68"/>
  <c r="AD144" i="68"/>
  <c r="AC144" i="68"/>
  <c r="AB144" i="68"/>
  <c r="AA144" i="68"/>
  <c r="Z144" i="68"/>
  <c r="Y144" i="68"/>
  <c r="X144" i="68"/>
  <c r="W144" i="68"/>
  <c r="V144" i="68"/>
  <c r="U144" i="68"/>
  <c r="T144" i="68"/>
  <c r="S144" i="68"/>
  <c r="R144" i="68"/>
  <c r="Q144" i="68"/>
  <c r="P144" i="68"/>
  <c r="O144" i="68"/>
  <c r="N144" i="68"/>
  <c r="M144" i="68"/>
  <c r="L144" i="68"/>
  <c r="K144" i="68"/>
  <c r="J144" i="68"/>
  <c r="I144" i="68"/>
  <c r="H144" i="68"/>
  <c r="G144" i="68"/>
  <c r="F144" i="68"/>
  <c r="BD118" i="68"/>
  <c r="BC118" i="68"/>
  <c r="BB118" i="68"/>
  <c r="BA118" i="68"/>
  <c r="AZ118" i="68"/>
  <c r="AY118" i="68"/>
  <c r="AX118" i="68"/>
  <c r="AW118" i="68"/>
  <c r="AV118" i="68"/>
  <c r="AU118" i="68"/>
  <c r="AT118" i="68"/>
  <c r="AS118" i="68"/>
  <c r="AR118" i="68"/>
  <c r="AQ118" i="68"/>
  <c r="AP118" i="68"/>
  <c r="AO118" i="68"/>
  <c r="AN118" i="68"/>
  <c r="AM118" i="68"/>
  <c r="AL118" i="68"/>
  <c r="AK118" i="68"/>
  <c r="AJ118" i="68"/>
  <c r="AI118" i="68"/>
  <c r="AH118" i="68"/>
  <c r="AG118" i="68"/>
  <c r="AF118" i="68"/>
  <c r="AE118" i="68"/>
  <c r="AD118" i="68"/>
  <c r="AC118" i="68"/>
  <c r="AB118" i="68"/>
  <c r="AA118" i="68"/>
  <c r="Z118" i="68"/>
  <c r="Y118" i="68"/>
  <c r="X118" i="68"/>
  <c r="W118" i="68"/>
  <c r="V118" i="68"/>
  <c r="U118" i="68"/>
  <c r="T118" i="68"/>
  <c r="S118" i="68"/>
  <c r="R118" i="68"/>
  <c r="Q118" i="68"/>
  <c r="P118" i="68"/>
  <c r="O118" i="68"/>
  <c r="N118" i="68"/>
  <c r="M118" i="68"/>
  <c r="L118" i="68"/>
  <c r="K118" i="68"/>
  <c r="J118" i="68"/>
  <c r="I118" i="68"/>
  <c r="H118" i="68"/>
  <c r="G118" i="68"/>
  <c r="F118" i="68"/>
  <c r="E118" i="68"/>
  <c r="BD117" i="68"/>
  <c r="BC117" i="68"/>
  <c r="BB117" i="68"/>
  <c r="BA117" i="68"/>
  <c r="AZ117" i="68"/>
  <c r="AY117" i="68"/>
  <c r="AX117" i="68"/>
  <c r="AW117" i="68"/>
  <c r="AV117" i="68"/>
  <c r="AU117" i="68"/>
  <c r="AT117" i="68"/>
  <c r="AS117" i="68"/>
  <c r="AR117" i="68"/>
  <c r="AQ117" i="68"/>
  <c r="AP117" i="68"/>
  <c r="AO117" i="68"/>
  <c r="AN117" i="68"/>
  <c r="AM117" i="68"/>
  <c r="AL117" i="68"/>
  <c r="AK117" i="68"/>
  <c r="AJ117" i="68"/>
  <c r="AI117" i="68"/>
  <c r="AH117" i="68"/>
  <c r="AG117" i="68"/>
  <c r="AF117" i="68"/>
  <c r="AE117" i="68"/>
  <c r="AD117" i="68"/>
  <c r="AC117" i="68"/>
  <c r="AB117" i="68"/>
  <c r="AA117" i="68"/>
  <c r="Z117" i="68"/>
  <c r="Y117" i="68"/>
  <c r="X117" i="68"/>
  <c r="W117" i="68"/>
  <c r="V117" i="68"/>
  <c r="U117" i="68"/>
  <c r="T117" i="68"/>
  <c r="S117" i="68"/>
  <c r="R117" i="68"/>
  <c r="Q117" i="68"/>
  <c r="P117" i="68"/>
  <c r="O117" i="68"/>
  <c r="N117" i="68"/>
  <c r="M117" i="68"/>
  <c r="L117" i="68"/>
  <c r="K117" i="68"/>
  <c r="J117" i="68"/>
  <c r="I117" i="68"/>
  <c r="H117" i="68"/>
  <c r="G117" i="68"/>
  <c r="F117" i="68"/>
  <c r="E117" i="68"/>
  <c r="BD115" i="68"/>
  <c r="BC115" i="68"/>
  <c r="BB115" i="68"/>
  <c r="BA115" i="68"/>
  <c r="AZ115" i="68"/>
  <c r="AY115" i="68"/>
  <c r="AX115" i="68"/>
  <c r="AW115" i="68"/>
  <c r="AV115" i="68"/>
  <c r="AU115" i="68"/>
  <c r="AT115" i="68"/>
  <c r="AS115" i="68"/>
  <c r="AR115" i="68"/>
  <c r="AQ115" i="68"/>
  <c r="AP115" i="68"/>
  <c r="AO115" i="68"/>
  <c r="AN115" i="68"/>
  <c r="AM115" i="68"/>
  <c r="AL115" i="68"/>
  <c r="AK115" i="68"/>
  <c r="AJ115" i="68"/>
  <c r="AI115" i="68"/>
  <c r="AH115" i="68"/>
  <c r="AG115" i="68"/>
  <c r="AF115" i="68"/>
  <c r="AE115" i="68"/>
  <c r="AD115" i="68"/>
  <c r="AC115" i="68"/>
  <c r="AB115" i="68"/>
  <c r="AA115" i="68"/>
  <c r="Z115" i="68"/>
  <c r="Y115" i="68"/>
  <c r="X115" i="68"/>
  <c r="W115" i="68"/>
  <c r="V115" i="68"/>
  <c r="U115" i="68"/>
  <c r="T115" i="68"/>
  <c r="S115" i="68"/>
  <c r="R115" i="68"/>
  <c r="Q115" i="68"/>
  <c r="P115" i="68"/>
  <c r="O115" i="68"/>
  <c r="N115" i="68"/>
  <c r="M115" i="68"/>
  <c r="L115" i="68"/>
  <c r="K115" i="68"/>
  <c r="J115" i="68"/>
  <c r="I115" i="68"/>
  <c r="H115" i="68"/>
  <c r="G115" i="68"/>
  <c r="F115" i="68"/>
  <c r="E115" i="68"/>
  <c r="BD114" i="68"/>
  <c r="BC114" i="68"/>
  <c r="BB114" i="68"/>
  <c r="BA114" i="68"/>
  <c r="AZ114" i="68"/>
  <c r="AY114" i="68"/>
  <c r="AX114" i="68"/>
  <c r="AW114" i="68"/>
  <c r="AV114" i="68"/>
  <c r="AU114" i="68"/>
  <c r="AT114" i="68"/>
  <c r="AS114" i="68"/>
  <c r="AR114" i="68"/>
  <c r="AQ114" i="68"/>
  <c r="AP114" i="68"/>
  <c r="AO114" i="68"/>
  <c r="AN114" i="68"/>
  <c r="AM114" i="68"/>
  <c r="AL114" i="68"/>
  <c r="AK114" i="68"/>
  <c r="AJ114" i="68"/>
  <c r="AI114" i="68"/>
  <c r="AH114" i="68"/>
  <c r="AG114" i="68"/>
  <c r="AF114" i="68"/>
  <c r="AE114" i="68"/>
  <c r="AD114" i="68"/>
  <c r="AC114" i="68"/>
  <c r="AB114" i="68"/>
  <c r="AA114" i="68"/>
  <c r="Z114" i="68"/>
  <c r="Y114" i="68"/>
  <c r="X114" i="68"/>
  <c r="W114" i="68"/>
  <c r="V114" i="68"/>
  <c r="U114" i="68"/>
  <c r="T114" i="68"/>
  <c r="S114" i="68"/>
  <c r="R114" i="68"/>
  <c r="Q114" i="68"/>
  <c r="P114" i="68"/>
  <c r="O114" i="68"/>
  <c r="N114" i="68"/>
  <c r="M114" i="68"/>
  <c r="L114" i="68"/>
  <c r="K114" i="68"/>
  <c r="J114" i="68"/>
  <c r="I114" i="68"/>
  <c r="H114" i="68"/>
  <c r="G114" i="68"/>
  <c r="F114" i="68"/>
  <c r="E114" i="68"/>
  <c r="BD113" i="68"/>
  <c r="BC113" i="68"/>
  <c r="BB113" i="68"/>
  <c r="BA113" i="68"/>
  <c r="AZ113" i="68"/>
  <c r="AY113" i="68"/>
  <c r="AX113" i="68"/>
  <c r="AW113" i="68"/>
  <c r="AV113" i="68"/>
  <c r="AU113" i="68"/>
  <c r="AT113" i="68"/>
  <c r="AS113" i="68"/>
  <c r="AR113" i="68"/>
  <c r="AQ113" i="68"/>
  <c r="AP113" i="68"/>
  <c r="AO113" i="68"/>
  <c r="AN113" i="68"/>
  <c r="AM113" i="68"/>
  <c r="AL113" i="68"/>
  <c r="AK113" i="68"/>
  <c r="AJ113" i="68"/>
  <c r="AI113" i="68"/>
  <c r="AH113" i="68"/>
  <c r="AG113" i="68"/>
  <c r="AF113" i="68"/>
  <c r="AE113" i="68"/>
  <c r="AD113" i="68"/>
  <c r="AC113" i="68"/>
  <c r="AB113" i="68"/>
  <c r="AA113" i="68"/>
  <c r="Z113" i="68"/>
  <c r="Y113" i="68"/>
  <c r="X113" i="68"/>
  <c r="W113" i="68"/>
  <c r="V113" i="68"/>
  <c r="U113" i="68"/>
  <c r="T113" i="68"/>
  <c r="S113" i="68"/>
  <c r="R113" i="68"/>
  <c r="Q113" i="68"/>
  <c r="P113" i="68"/>
  <c r="O113" i="68"/>
  <c r="N113" i="68"/>
  <c r="M113" i="68"/>
  <c r="L113" i="68"/>
  <c r="K113" i="68"/>
  <c r="J113" i="68"/>
  <c r="I113" i="68"/>
  <c r="H113" i="68"/>
  <c r="G113" i="68"/>
  <c r="F113" i="68"/>
  <c r="E113" i="68"/>
  <c r="BD112" i="68"/>
  <c r="BC112" i="68"/>
  <c r="BB112" i="68"/>
  <c r="BA112" i="68"/>
  <c r="AZ112" i="68"/>
  <c r="AY112" i="68"/>
  <c r="AX112" i="68"/>
  <c r="AW112" i="68"/>
  <c r="AV112" i="68"/>
  <c r="AU112" i="68"/>
  <c r="AT112" i="68"/>
  <c r="AS112" i="68"/>
  <c r="AR112" i="68"/>
  <c r="AQ112" i="68"/>
  <c r="AP112" i="68"/>
  <c r="AO112" i="68"/>
  <c r="AN112" i="68"/>
  <c r="AM112" i="68"/>
  <c r="AL112" i="68"/>
  <c r="AK112" i="68"/>
  <c r="AJ112" i="68"/>
  <c r="AI112" i="68"/>
  <c r="AH112" i="68"/>
  <c r="AG112" i="68"/>
  <c r="AF112" i="68"/>
  <c r="AE112" i="68"/>
  <c r="AD112" i="68"/>
  <c r="AC112" i="68"/>
  <c r="AB112" i="68"/>
  <c r="AA112" i="68"/>
  <c r="Z112" i="68"/>
  <c r="Y112" i="68"/>
  <c r="X112" i="68"/>
  <c r="W112" i="68"/>
  <c r="V112" i="68"/>
  <c r="U112" i="68"/>
  <c r="T112" i="68"/>
  <c r="S112" i="68"/>
  <c r="R112" i="68"/>
  <c r="Q112" i="68"/>
  <c r="P112" i="68"/>
  <c r="O112" i="68"/>
  <c r="N112" i="68"/>
  <c r="M112" i="68"/>
  <c r="L112" i="68"/>
  <c r="K112" i="68"/>
  <c r="J112" i="68"/>
  <c r="I112" i="68"/>
  <c r="H112" i="68"/>
  <c r="G112" i="68"/>
  <c r="F112" i="68"/>
  <c r="E112" i="68"/>
  <c r="BD111" i="68"/>
  <c r="BC111" i="68"/>
  <c r="BB111" i="68"/>
  <c r="BA111" i="68"/>
  <c r="AZ111" i="68"/>
  <c r="AY111" i="68"/>
  <c r="AX111" i="68"/>
  <c r="AW111" i="68"/>
  <c r="AV111" i="68"/>
  <c r="AU111" i="68"/>
  <c r="AT111" i="68"/>
  <c r="AS111" i="68"/>
  <c r="AR111" i="68"/>
  <c r="AQ111" i="68"/>
  <c r="AP111" i="68"/>
  <c r="AO111" i="68"/>
  <c r="AN111" i="68"/>
  <c r="AM111" i="68"/>
  <c r="AL111" i="68"/>
  <c r="AK111" i="68"/>
  <c r="AJ111" i="68"/>
  <c r="AI111" i="68"/>
  <c r="AH111" i="68"/>
  <c r="AG111" i="68"/>
  <c r="AF111" i="68"/>
  <c r="AE111" i="68"/>
  <c r="AD111" i="68"/>
  <c r="AC111" i="68"/>
  <c r="AB111" i="68"/>
  <c r="AA111" i="68"/>
  <c r="Z111" i="68"/>
  <c r="Y111" i="68"/>
  <c r="X111" i="68"/>
  <c r="W111" i="68"/>
  <c r="V111" i="68"/>
  <c r="U111" i="68"/>
  <c r="T111" i="68"/>
  <c r="S111" i="68"/>
  <c r="R111" i="68"/>
  <c r="Q111" i="68"/>
  <c r="P111" i="68"/>
  <c r="O111" i="68"/>
  <c r="N111" i="68"/>
  <c r="M111" i="68"/>
  <c r="L111" i="68"/>
  <c r="K111" i="68"/>
  <c r="J111" i="68"/>
  <c r="I111" i="68"/>
  <c r="H111" i="68"/>
  <c r="G111" i="68"/>
  <c r="F111" i="68"/>
  <c r="E111" i="68"/>
  <c r="BD110" i="68"/>
  <c r="BC110" i="68"/>
  <c r="BB110" i="68"/>
  <c r="BA110" i="68"/>
  <c r="AZ110" i="68"/>
  <c r="AY110" i="68"/>
  <c r="AX110" i="68"/>
  <c r="AW110" i="68"/>
  <c r="AV110" i="68"/>
  <c r="AU110" i="68"/>
  <c r="AT110" i="68"/>
  <c r="AS110" i="68"/>
  <c r="AR110" i="68"/>
  <c r="AQ110" i="68"/>
  <c r="AP110" i="68"/>
  <c r="AO110" i="68"/>
  <c r="AN110" i="68"/>
  <c r="AM110" i="68"/>
  <c r="AL110" i="68"/>
  <c r="AK110" i="68"/>
  <c r="AJ110" i="68"/>
  <c r="AI110" i="68"/>
  <c r="AH110" i="68"/>
  <c r="AG110" i="68"/>
  <c r="AF110" i="68"/>
  <c r="AE110" i="68"/>
  <c r="AD110" i="68"/>
  <c r="AC110" i="68"/>
  <c r="AB110" i="68"/>
  <c r="AA110" i="68"/>
  <c r="Z110" i="68"/>
  <c r="Y110" i="68"/>
  <c r="X110" i="68"/>
  <c r="W110" i="68"/>
  <c r="V110" i="68"/>
  <c r="U110" i="68"/>
  <c r="T110" i="68"/>
  <c r="S110" i="68"/>
  <c r="R110" i="68"/>
  <c r="Q110" i="68"/>
  <c r="P110" i="68"/>
  <c r="O110" i="68"/>
  <c r="N110" i="68"/>
  <c r="M110" i="68"/>
  <c r="L110" i="68"/>
  <c r="K110" i="68"/>
  <c r="J110" i="68"/>
  <c r="I110" i="68"/>
  <c r="H110" i="68"/>
  <c r="G110" i="68"/>
  <c r="F110" i="68"/>
  <c r="E110" i="68"/>
  <c r="BD109" i="68"/>
  <c r="BC109" i="68"/>
  <c r="BB109" i="68"/>
  <c r="BA109" i="68"/>
  <c r="AZ109" i="68"/>
  <c r="AY109" i="68"/>
  <c r="AX109" i="68"/>
  <c r="AW109" i="68"/>
  <c r="AV109" i="68"/>
  <c r="AU109" i="68"/>
  <c r="AT109" i="68"/>
  <c r="AS109" i="68"/>
  <c r="AR109" i="68"/>
  <c r="AQ109" i="68"/>
  <c r="AP109" i="68"/>
  <c r="AO109" i="68"/>
  <c r="AN109" i="68"/>
  <c r="AM109" i="68"/>
  <c r="AL109" i="68"/>
  <c r="AK109" i="68"/>
  <c r="AJ109" i="68"/>
  <c r="AI109" i="68"/>
  <c r="AH109" i="68"/>
  <c r="AG109" i="68"/>
  <c r="AF109" i="68"/>
  <c r="AE109" i="68"/>
  <c r="AD109" i="68"/>
  <c r="AC109" i="68"/>
  <c r="AB109" i="68"/>
  <c r="AA109" i="68"/>
  <c r="Z109" i="68"/>
  <c r="Y109" i="68"/>
  <c r="X109" i="68"/>
  <c r="W109" i="68"/>
  <c r="V109" i="68"/>
  <c r="U109" i="68"/>
  <c r="T109" i="68"/>
  <c r="S109" i="68"/>
  <c r="R109" i="68"/>
  <c r="Q109" i="68"/>
  <c r="P109" i="68"/>
  <c r="O109" i="68"/>
  <c r="N109" i="68"/>
  <c r="M109" i="68"/>
  <c r="L109" i="68"/>
  <c r="K109" i="68"/>
  <c r="J109" i="68"/>
  <c r="I109" i="68"/>
  <c r="H109" i="68"/>
  <c r="G109" i="68"/>
  <c r="F109" i="68"/>
  <c r="E109" i="68"/>
  <c r="BD106" i="68"/>
  <c r="BC106" i="68"/>
  <c r="BB106" i="68"/>
  <c r="BA106" i="68"/>
  <c r="AZ106" i="68"/>
  <c r="AY106" i="68"/>
  <c r="AX106" i="68"/>
  <c r="AW106" i="68"/>
  <c r="AV106" i="68"/>
  <c r="AU106" i="68"/>
  <c r="AT106" i="68"/>
  <c r="AS106" i="68"/>
  <c r="AR106" i="68"/>
  <c r="AQ106" i="68"/>
  <c r="AP106" i="68"/>
  <c r="AO106" i="68"/>
  <c r="AN106" i="68"/>
  <c r="AM106" i="68"/>
  <c r="AL106" i="68"/>
  <c r="AK106" i="68"/>
  <c r="AJ106" i="68"/>
  <c r="AI106" i="68"/>
  <c r="AH106" i="68"/>
  <c r="AG106" i="68"/>
  <c r="AF106" i="68"/>
  <c r="AE106" i="68"/>
  <c r="AD106" i="68"/>
  <c r="AC106" i="68"/>
  <c r="AB106" i="68"/>
  <c r="AA106" i="68"/>
  <c r="Z106" i="68"/>
  <c r="Y106" i="68"/>
  <c r="X106" i="68"/>
  <c r="W106" i="68"/>
  <c r="V106" i="68"/>
  <c r="U106" i="68"/>
  <c r="T106" i="68"/>
  <c r="S106" i="68"/>
  <c r="R106" i="68"/>
  <c r="Q106" i="68"/>
  <c r="P106" i="68"/>
  <c r="O106" i="68"/>
  <c r="N106" i="68"/>
  <c r="M106" i="68"/>
  <c r="L106" i="68"/>
  <c r="K106" i="68"/>
  <c r="J106" i="68"/>
  <c r="I106" i="68"/>
  <c r="H106" i="68"/>
  <c r="G106" i="68"/>
  <c r="F106" i="68"/>
  <c r="E106" i="68"/>
  <c r="BD105" i="68"/>
  <c r="BC105" i="68"/>
  <c r="BB105" i="68"/>
  <c r="BA105" i="68"/>
  <c r="AZ105" i="68"/>
  <c r="AY105" i="68"/>
  <c r="AX105" i="68"/>
  <c r="AW105" i="68"/>
  <c r="AV105" i="68"/>
  <c r="AU105" i="68"/>
  <c r="AT105" i="68"/>
  <c r="AS105" i="68"/>
  <c r="AR105" i="68"/>
  <c r="AQ105" i="68"/>
  <c r="AP105" i="68"/>
  <c r="AO105" i="68"/>
  <c r="AN105" i="68"/>
  <c r="AM105" i="68"/>
  <c r="AL105" i="68"/>
  <c r="AK105" i="68"/>
  <c r="AJ105" i="68"/>
  <c r="AI105" i="68"/>
  <c r="AH105" i="68"/>
  <c r="AG105" i="68"/>
  <c r="AF105" i="68"/>
  <c r="AE105" i="68"/>
  <c r="AD105" i="68"/>
  <c r="AC105" i="68"/>
  <c r="AB105" i="68"/>
  <c r="AA105" i="68"/>
  <c r="Z105" i="68"/>
  <c r="Y105" i="68"/>
  <c r="X105" i="68"/>
  <c r="W105" i="68"/>
  <c r="V105" i="68"/>
  <c r="U105" i="68"/>
  <c r="T105" i="68"/>
  <c r="S105" i="68"/>
  <c r="R105" i="68"/>
  <c r="Q105" i="68"/>
  <c r="P105" i="68"/>
  <c r="O105" i="68"/>
  <c r="N105" i="68"/>
  <c r="M105" i="68"/>
  <c r="L105" i="68"/>
  <c r="K105" i="68"/>
  <c r="J105" i="68"/>
  <c r="I105" i="68"/>
  <c r="H105" i="68"/>
  <c r="G105" i="68"/>
  <c r="F105" i="68"/>
  <c r="E105" i="68"/>
  <c r="BD104" i="68"/>
  <c r="BC104" i="68"/>
  <c r="BB104" i="68"/>
  <c r="BA104" i="68"/>
  <c r="AZ104" i="68"/>
  <c r="AY104" i="68"/>
  <c r="AX104" i="68"/>
  <c r="AW104" i="68"/>
  <c r="AV104" i="68"/>
  <c r="AU104" i="68"/>
  <c r="AT104" i="68"/>
  <c r="AS104" i="68"/>
  <c r="AR104" i="68"/>
  <c r="AQ104" i="68"/>
  <c r="AP104" i="68"/>
  <c r="AO104" i="68"/>
  <c r="AN104" i="68"/>
  <c r="AM104" i="68"/>
  <c r="AL104" i="68"/>
  <c r="AK104" i="68"/>
  <c r="AJ104" i="68"/>
  <c r="AI104" i="68"/>
  <c r="AH104" i="68"/>
  <c r="AG104" i="68"/>
  <c r="AF104" i="68"/>
  <c r="AE104" i="68"/>
  <c r="AD104" i="68"/>
  <c r="AC104" i="68"/>
  <c r="AB104" i="68"/>
  <c r="AA104" i="68"/>
  <c r="Z104" i="68"/>
  <c r="Y104" i="68"/>
  <c r="X104" i="68"/>
  <c r="W104" i="68"/>
  <c r="V104" i="68"/>
  <c r="U104" i="68"/>
  <c r="T104" i="68"/>
  <c r="S104" i="68"/>
  <c r="R104" i="68"/>
  <c r="Q104" i="68"/>
  <c r="P104" i="68"/>
  <c r="O104" i="68"/>
  <c r="N104" i="68"/>
  <c r="M104" i="68"/>
  <c r="L104" i="68"/>
  <c r="K104" i="68"/>
  <c r="J104" i="68"/>
  <c r="I104" i="68"/>
  <c r="H104" i="68"/>
  <c r="G104" i="68"/>
  <c r="F104" i="68"/>
  <c r="E104" i="68"/>
  <c r="BD103" i="68"/>
  <c r="BC103" i="68"/>
  <c r="BB103" i="68"/>
  <c r="BA103" i="68"/>
  <c r="AZ103" i="68"/>
  <c r="AY103" i="68"/>
  <c r="AX103" i="68"/>
  <c r="AW103" i="68"/>
  <c r="AV103" i="68"/>
  <c r="AU103" i="68"/>
  <c r="AT103" i="68"/>
  <c r="AS103" i="68"/>
  <c r="AR103" i="68"/>
  <c r="AQ103" i="68"/>
  <c r="AP103" i="68"/>
  <c r="AO103" i="68"/>
  <c r="AN103" i="68"/>
  <c r="AM103" i="68"/>
  <c r="AL103" i="68"/>
  <c r="AK103" i="68"/>
  <c r="AJ103" i="68"/>
  <c r="AI103" i="68"/>
  <c r="AH103" i="68"/>
  <c r="AG103" i="68"/>
  <c r="AF103" i="68"/>
  <c r="AE103" i="68"/>
  <c r="AD103" i="68"/>
  <c r="AC103" i="68"/>
  <c r="AB103" i="68"/>
  <c r="AA103" i="68"/>
  <c r="Z103" i="68"/>
  <c r="Y103" i="68"/>
  <c r="X103" i="68"/>
  <c r="W103" i="68"/>
  <c r="V103" i="68"/>
  <c r="U103" i="68"/>
  <c r="T103" i="68"/>
  <c r="S103" i="68"/>
  <c r="R103" i="68"/>
  <c r="Q103" i="68"/>
  <c r="P103" i="68"/>
  <c r="O103" i="68"/>
  <c r="N103" i="68"/>
  <c r="M103" i="68"/>
  <c r="L103" i="68"/>
  <c r="K103" i="68"/>
  <c r="J103" i="68"/>
  <c r="I103" i="68"/>
  <c r="H103" i="68"/>
  <c r="G103" i="68"/>
  <c r="F103" i="68"/>
  <c r="E103" i="68"/>
  <c r="BD96" i="68"/>
  <c r="BC96" i="68"/>
  <c r="BB96" i="68"/>
  <c r="BA96" i="68"/>
  <c r="AZ96" i="68"/>
  <c r="AY96" i="68"/>
  <c r="AX96" i="68"/>
  <c r="AW96" i="68"/>
  <c r="AV96" i="68"/>
  <c r="AU96" i="68"/>
  <c r="AT96" i="68"/>
  <c r="AS96" i="68"/>
  <c r="AR96" i="68"/>
  <c r="AQ96" i="68"/>
  <c r="AP96" i="68"/>
  <c r="AO96" i="68"/>
  <c r="AN96" i="68"/>
  <c r="AM96" i="68"/>
  <c r="AL96" i="68"/>
  <c r="AK96" i="68"/>
  <c r="AJ96" i="68"/>
  <c r="AI96" i="68"/>
  <c r="AH96" i="68"/>
  <c r="AG96" i="68"/>
  <c r="AF96" i="68"/>
  <c r="AE96" i="68"/>
  <c r="AD96" i="68"/>
  <c r="AC96" i="68"/>
  <c r="AB96" i="68"/>
  <c r="AA96" i="68"/>
  <c r="Z96" i="68"/>
  <c r="Y96" i="68"/>
  <c r="X96" i="68"/>
  <c r="W96" i="68"/>
  <c r="V96" i="68"/>
  <c r="U96" i="68"/>
  <c r="T96" i="68"/>
  <c r="S96" i="68"/>
  <c r="R96" i="68"/>
  <c r="Q96" i="68"/>
  <c r="P96" i="68"/>
  <c r="O96" i="68"/>
  <c r="N96" i="68"/>
  <c r="M96" i="68"/>
  <c r="L96" i="68"/>
  <c r="K96" i="68"/>
  <c r="J96" i="68"/>
  <c r="I96" i="68"/>
  <c r="H96" i="68"/>
  <c r="G96" i="68"/>
  <c r="F96" i="68"/>
  <c r="E96" i="68"/>
  <c r="BD95" i="68"/>
  <c r="BC95" i="68"/>
  <c r="BB95" i="68"/>
  <c r="BA95" i="68"/>
  <c r="AZ95" i="68"/>
  <c r="AY95" i="68"/>
  <c r="AX95" i="68"/>
  <c r="AW95" i="68"/>
  <c r="AV95" i="68"/>
  <c r="AU95" i="68"/>
  <c r="AT95" i="68"/>
  <c r="AS95" i="68"/>
  <c r="AR95" i="68"/>
  <c r="AQ95" i="68"/>
  <c r="AP95" i="68"/>
  <c r="AO95" i="68"/>
  <c r="AN95" i="68"/>
  <c r="AM95" i="68"/>
  <c r="AL95" i="68"/>
  <c r="AK95" i="68"/>
  <c r="AJ95" i="68"/>
  <c r="AI95" i="68"/>
  <c r="AH95" i="68"/>
  <c r="AG95" i="68"/>
  <c r="AF95" i="68"/>
  <c r="AE95" i="68"/>
  <c r="AD95" i="68"/>
  <c r="AC95" i="68"/>
  <c r="AB95" i="68"/>
  <c r="AA95" i="68"/>
  <c r="Z95" i="68"/>
  <c r="Y95" i="68"/>
  <c r="X95" i="68"/>
  <c r="W95" i="68"/>
  <c r="V95" i="68"/>
  <c r="U95" i="68"/>
  <c r="T95" i="68"/>
  <c r="S95" i="68"/>
  <c r="R95" i="68"/>
  <c r="Q95" i="68"/>
  <c r="P95" i="68"/>
  <c r="O95" i="68"/>
  <c r="N95" i="68"/>
  <c r="M95" i="68"/>
  <c r="L95" i="68"/>
  <c r="K95" i="68"/>
  <c r="J95" i="68"/>
  <c r="I95" i="68"/>
  <c r="H95" i="68"/>
  <c r="G95" i="68"/>
  <c r="F95" i="68"/>
  <c r="E95" i="68"/>
  <c r="BD93" i="68"/>
  <c r="BC93" i="68"/>
  <c r="BB93" i="68"/>
  <c r="BA93" i="68"/>
  <c r="AZ93" i="68"/>
  <c r="AY93" i="68"/>
  <c r="AX93" i="68"/>
  <c r="AW93" i="68"/>
  <c r="AV93" i="68"/>
  <c r="AU93" i="68"/>
  <c r="AT93" i="68"/>
  <c r="AS93" i="68"/>
  <c r="AR93" i="68"/>
  <c r="AQ93" i="68"/>
  <c r="AP93" i="68"/>
  <c r="AO93" i="68"/>
  <c r="AN93" i="68"/>
  <c r="AM93" i="68"/>
  <c r="AL93" i="68"/>
  <c r="AK93" i="68"/>
  <c r="AJ93" i="68"/>
  <c r="AI93" i="68"/>
  <c r="AH93" i="68"/>
  <c r="AG93" i="68"/>
  <c r="AF93" i="68"/>
  <c r="AE93" i="68"/>
  <c r="AD93" i="68"/>
  <c r="AC93" i="68"/>
  <c r="AB93" i="68"/>
  <c r="AA93" i="68"/>
  <c r="Z93" i="68"/>
  <c r="Y93" i="68"/>
  <c r="X93" i="68"/>
  <c r="W93" i="68"/>
  <c r="V93" i="68"/>
  <c r="U93" i="68"/>
  <c r="T93" i="68"/>
  <c r="S93" i="68"/>
  <c r="R93" i="68"/>
  <c r="Q93" i="68"/>
  <c r="P93" i="68"/>
  <c r="O93" i="68"/>
  <c r="N93" i="68"/>
  <c r="M93" i="68"/>
  <c r="L93" i="68"/>
  <c r="K93" i="68"/>
  <c r="J93" i="68"/>
  <c r="I93" i="68"/>
  <c r="H93" i="68"/>
  <c r="G93" i="68"/>
  <c r="F93" i="68"/>
  <c r="E93" i="68"/>
  <c r="BD92" i="68"/>
  <c r="BC92" i="68"/>
  <c r="BB92" i="68"/>
  <c r="BA92" i="68"/>
  <c r="AZ92" i="68"/>
  <c r="AY92" i="68"/>
  <c r="AX92" i="68"/>
  <c r="AW92" i="68"/>
  <c r="AV92" i="68"/>
  <c r="AU92" i="68"/>
  <c r="AT92" i="68"/>
  <c r="AS92" i="68"/>
  <c r="AR92" i="68"/>
  <c r="AQ92" i="68"/>
  <c r="AP92" i="68"/>
  <c r="AO92" i="68"/>
  <c r="AN92" i="68"/>
  <c r="AM92" i="68"/>
  <c r="AL92" i="68"/>
  <c r="AK92" i="68"/>
  <c r="AJ92" i="68"/>
  <c r="AI92" i="68"/>
  <c r="AH92" i="68"/>
  <c r="AG92" i="68"/>
  <c r="AF92" i="68"/>
  <c r="AE92" i="68"/>
  <c r="AD92" i="68"/>
  <c r="AC92" i="68"/>
  <c r="AB92" i="68"/>
  <c r="AA92" i="68"/>
  <c r="Z92" i="68"/>
  <c r="Y92" i="68"/>
  <c r="X92" i="68"/>
  <c r="W92" i="68"/>
  <c r="V92" i="68"/>
  <c r="U92" i="68"/>
  <c r="T92" i="68"/>
  <c r="S92" i="68"/>
  <c r="R92" i="68"/>
  <c r="Q92" i="68"/>
  <c r="P92" i="68"/>
  <c r="O92" i="68"/>
  <c r="N92" i="68"/>
  <c r="M92" i="68"/>
  <c r="L92" i="68"/>
  <c r="K92" i="68"/>
  <c r="J92" i="68"/>
  <c r="I92" i="68"/>
  <c r="H92" i="68"/>
  <c r="G92" i="68"/>
  <c r="F92" i="68"/>
  <c r="E92" i="68"/>
  <c r="BD91" i="68"/>
  <c r="BC91" i="68"/>
  <c r="BB91" i="68"/>
  <c r="BA91" i="68"/>
  <c r="AZ91" i="68"/>
  <c r="AY91" i="68"/>
  <c r="AX91" i="68"/>
  <c r="AW91" i="68"/>
  <c r="AV91" i="68"/>
  <c r="AU91" i="68"/>
  <c r="AT91" i="68"/>
  <c r="AS91" i="68"/>
  <c r="AR91" i="68"/>
  <c r="AQ91" i="68"/>
  <c r="AP91" i="68"/>
  <c r="AO91" i="68"/>
  <c r="AN91" i="68"/>
  <c r="AM91" i="68"/>
  <c r="AL91" i="68"/>
  <c r="AK91" i="68"/>
  <c r="AJ91" i="68"/>
  <c r="AI91" i="68"/>
  <c r="AH91" i="68"/>
  <c r="AG91" i="68"/>
  <c r="AF91" i="68"/>
  <c r="AE91" i="68"/>
  <c r="AD91" i="68"/>
  <c r="AC91" i="68"/>
  <c r="AB91" i="68"/>
  <c r="AA91" i="68"/>
  <c r="Z91" i="68"/>
  <c r="Y91" i="68"/>
  <c r="X91" i="68"/>
  <c r="W91" i="68"/>
  <c r="V91" i="68"/>
  <c r="U91" i="68"/>
  <c r="T91" i="68"/>
  <c r="S91" i="68"/>
  <c r="R91" i="68"/>
  <c r="Q91" i="68"/>
  <c r="P91" i="68"/>
  <c r="O91" i="68"/>
  <c r="N91" i="68"/>
  <c r="M91" i="68"/>
  <c r="L91" i="68"/>
  <c r="K91" i="68"/>
  <c r="J91" i="68"/>
  <c r="I91" i="68"/>
  <c r="H91" i="68"/>
  <c r="G91" i="68"/>
  <c r="F91" i="68"/>
  <c r="E91" i="68"/>
  <c r="BD90" i="68"/>
  <c r="BC90" i="68"/>
  <c r="BB90" i="68"/>
  <c r="BA90" i="68"/>
  <c r="AZ90" i="68"/>
  <c r="AY90" i="68"/>
  <c r="AX90" i="68"/>
  <c r="AW90" i="68"/>
  <c r="AV90" i="68"/>
  <c r="AU90" i="68"/>
  <c r="AT90" i="68"/>
  <c r="AS90" i="68"/>
  <c r="AR90" i="68"/>
  <c r="AQ90" i="68"/>
  <c r="AP90" i="68"/>
  <c r="AO90" i="68"/>
  <c r="AN90" i="68"/>
  <c r="AM90" i="68"/>
  <c r="AL90" i="68"/>
  <c r="AK90" i="68"/>
  <c r="AJ90" i="68"/>
  <c r="AI90" i="68"/>
  <c r="AH90" i="68"/>
  <c r="AG90" i="68"/>
  <c r="AF90" i="68"/>
  <c r="AE90" i="68"/>
  <c r="AD90" i="68"/>
  <c r="AC90" i="68"/>
  <c r="AB90" i="68"/>
  <c r="AA90" i="68"/>
  <c r="Z90" i="68"/>
  <c r="Y90" i="68"/>
  <c r="X90" i="68"/>
  <c r="W90" i="68"/>
  <c r="V90" i="68"/>
  <c r="U90" i="68"/>
  <c r="T90" i="68"/>
  <c r="S90" i="68"/>
  <c r="R90" i="68"/>
  <c r="Q90" i="68"/>
  <c r="P90" i="68"/>
  <c r="O90" i="68"/>
  <c r="N90" i="68"/>
  <c r="M90" i="68"/>
  <c r="L90" i="68"/>
  <c r="K90" i="68"/>
  <c r="J90" i="68"/>
  <c r="I90" i="68"/>
  <c r="H90" i="68"/>
  <c r="G90" i="68"/>
  <c r="F90" i="68"/>
  <c r="E90" i="68"/>
  <c r="BD89" i="68"/>
  <c r="BC89" i="68"/>
  <c r="BB89" i="68"/>
  <c r="BA89" i="68"/>
  <c r="AZ89" i="68"/>
  <c r="AY89" i="68"/>
  <c r="AX89" i="68"/>
  <c r="AW89" i="68"/>
  <c r="AV89" i="68"/>
  <c r="AU89" i="68"/>
  <c r="AT89" i="68"/>
  <c r="AS89" i="68"/>
  <c r="AR89" i="68"/>
  <c r="AQ89" i="68"/>
  <c r="AP89" i="68"/>
  <c r="AO89" i="68"/>
  <c r="AN89" i="68"/>
  <c r="AM89" i="68"/>
  <c r="AL89" i="68"/>
  <c r="AK89" i="68"/>
  <c r="AJ89" i="68"/>
  <c r="AI89" i="68"/>
  <c r="AH89" i="68"/>
  <c r="AG89" i="68"/>
  <c r="AF89" i="68"/>
  <c r="AE89" i="68"/>
  <c r="AD89" i="68"/>
  <c r="AC89" i="68"/>
  <c r="AB89" i="68"/>
  <c r="AA89" i="68"/>
  <c r="Z89" i="68"/>
  <c r="Y89" i="68"/>
  <c r="X89" i="68"/>
  <c r="W89" i="68"/>
  <c r="V89" i="68"/>
  <c r="U89" i="68"/>
  <c r="T89" i="68"/>
  <c r="S89" i="68"/>
  <c r="R89" i="68"/>
  <c r="Q89" i="68"/>
  <c r="P89" i="68"/>
  <c r="O89" i="68"/>
  <c r="N89" i="68"/>
  <c r="M89" i="68"/>
  <c r="L89" i="68"/>
  <c r="K89" i="68"/>
  <c r="J89" i="68"/>
  <c r="I89" i="68"/>
  <c r="H89" i="68"/>
  <c r="G89" i="68"/>
  <c r="F89" i="68"/>
  <c r="E89" i="68"/>
  <c r="BD88" i="68"/>
  <c r="BC88" i="68"/>
  <c r="BB88" i="68"/>
  <c r="BA88" i="68"/>
  <c r="AZ88" i="68"/>
  <c r="AY88" i="68"/>
  <c r="AX88" i="68"/>
  <c r="AW88" i="68"/>
  <c r="AV88" i="68"/>
  <c r="AU88" i="68"/>
  <c r="AT88" i="68"/>
  <c r="AS88" i="68"/>
  <c r="AR88" i="68"/>
  <c r="AQ88" i="68"/>
  <c r="AP88" i="68"/>
  <c r="AO88" i="68"/>
  <c r="AN88" i="68"/>
  <c r="AM88" i="68"/>
  <c r="AL88" i="68"/>
  <c r="AK88" i="68"/>
  <c r="AJ88" i="68"/>
  <c r="AI88" i="68"/>
  <c r="AH88" i="68"/>
  <c r="AG88" i="68"/>
  <c r="AF88" i="68"/>
  <c r="AE88" i="68"/>
  <c r="AD88" i="68"/>
  <c r="AC88" i="68"/>
  <c r="AB88" i="68"/>
  <c r="AA88" i="68"/>
  <c r="Z88" i="68"/>
  <c r="Y88" i="68"/>
  <c r="X88" i="68"/>
  <c r="W88" i="68"/>
  <c r="V88" i="68"/>
  <c r="U88" i="68"/>
  <c r="T88" i="68"/>
  <c r="S88" i="68"/>
  <c r="R88" i="68"/>
  <c r="Q88" i="68"/>
  <c r="P88" i="68"/>
  <c r="O88" i="68"/>
  <c r="N88" i="68"/>
  <c r="M88" i="68"/>
  <c r="L88" i="68"/>
  <c r="K88" i="68"/>
  <c r="J88" i="68"/>
  <c r="I88" i="68"/>
  <c r="H88" i="68"/>
  <c r="G88" i="68"/>
  <c r="F88" i="68"/>
  <c r="E88" i="68"/>
  <c r="BD87" i="68"/>
  <c r="BC87" i="68"/>
  <c r="BB87" i="68"/>
  <c r="BA87" i="68"/>
  <c r="AZ87" i="68"/>
  <c r="AY87" i="68"/>
  <c r="AX87" i="68"/>
  <c r="AW87" i="68"/>
  <c r="AW94" i="68" s="1"/>
  <c r="AV87" i="68"/>
  <c r="AU87" i="68"/>
  <c r="AT87" i="68"/>
  <c r="AS87" i="68"/>
  <c r="AR87" i="68"/>
  <c r="AQ87" i="68"/>
  <c r="AP87" i="68"/>
  <c r="AO87" i="68"/>
  <c r="AO94" i="68" s="1"/>
  <c r="AN87" i="68"/>
  <c r="AM87" i="68"/>
  <c r="AL87" i="68"/>
  <c r="AK87" i="68"/>
  <c r="AJ87" i="68"/>
  <c r="AI87" i="68"/>
  <c r="AH87" i="68"/>
  <c r="AG87" i="68"/>
  <c r="AG94" i="68" s="1"/>
  <c r="AF87" i="68"/>
  <c r="AE87" i="68"/>
  <c r="AD87" i="68"/>
  <c r="AC87" i="68"/>
  <c r="AB87" i="68"/>
  <c r="AA87" i="68"/>
  <c r="Z87" i="68"/>
  <c r="Y87" i="68"/>
  <c r="Y94" i="68" s="1"/>
  <c r="X87" i="68"/>
  <c r="W87" i="68"/>
  <c r="V87" i="68"/>
  <c r="U87" i="68"/>
  <c r="T87" i="68"/>
  <c r="S87" i="68"/>
  <c r="R87" i="68"/>
  <c r="Q87" i="68"/>
  <c r="Q94" i="68" s="1"/>
  <c r="P87" i="68"/>
  <c r="O87" i="68"/>
  <c r="N87" i="68"/>
  <c r="M87" i="68"/>
  <c r="L87" i="68"/>
  <c r="K87" i="68"/>
  <c r="J87" i="68"/>
  <c r="I87" i="68"/>
  <c r="I94" i="68" s="1"/>
  <c r="H87" i="68"/>
  <c r="G87" i="68"/>
  <c r="F87" i="68"/>
  <c r="E87" i="68"/>
  <c r="BD84" i="68"/>
  <c r="BC84" i="68"/>
  <c r="BB84" i="68"/>
  <c r="BA84" i="68"/>
  <c r="AZ84" i="68"/>
  <c r="AY84" i="68"/>
  <c r="AX84" i="68"/>
  <c r="AW84" i="68"/>
  <c r="AV84" i="68"/>
  <c r="AU84" i="68"/>
  <c r="AT84" i="68"/>
  <c r="AS84" i="68"/>
  <c r="AR84" i="68"/>
  <c r="AQ84" i="68"/>
  <c r="AP84" i="68"/>
  <c r="AO84" i="68"/>
  <c r="AN84" i="68"/>
  <c r="AM84" i="68"/>
  <c r="AL84" i="68"/>
  <c r="AK84" i="68"/>
  <c r="AJ84" i="68"/>
  <c r="AI84" i="68"/>
  <c r="AH84" i="68"/>
  <c r="AG84" i="68"/>
  <c r="AF84" i="68"/>
  <c r="AE84" i="68"/>
  <c r="AD84" i="68"/>
  <c r="AC84" i="68"/>
  <c r="AB84" i="68"/>
  <c r="AA84" i="68"/>
  <c r="Z84" i="68"/>
  <c r="Y84" i="68"/>
  <c r="X84" i="68"/>
  <c r="W84" i="68"/>
  <c r="V84" i="68"/>
  <c r="U84" i="68"/>
  <c r="T84" i="68"/>
  <c r="S84" i="68"/>
  <c r="R84" i="68"/>
  <c r="Q84" i="68"/>
  <c r="P84" i="68"/>
  <c r="O84" i="68"/>
  <c r="N84" i="68"/>
  <c r="M84" i="68"/>
  <c r="L84" i="68"/>
  <c r="K84" i="68"/>
  <c r="J84" i="68"/>
  <c r="I84" i="68"/>
  <c r="H84" i="68"/>
  <c r="G84" i="68"/>
  <c r="F84" i="68"/>
  <c r="E84" i="68"/>
  <c r="BD83" i="68"/>
  <c r="BC83" i="68"/>
  <c r="BB83" i="68"/>
  <c r="BA83" i="68"/>
  <c r="AZ83" i="68"/>
  <c r="AY83" i="68"/>
  <c r="AX83" i="68"/>
  <c r="AW83" i="68"/>
  <c r="AV83" i="68"/>
  <c r="AU83" i="68"/>
  <c r="AT83" i="68"/>
  <c r="AS83" i="68"/>
  <c r="AR83" i="68"/>
  <c r="AQ83" i="68"/>
  <c r="AP83" i="68"/>
  <c r="AO83" i="68"/>
  <c r="AN83" i="68"/>
  <c r="AM83" i="68"/>
  <c r="AL83" i="68"/>
  <c r="AK83" i="68"/>
  <c r="AJ83" i="68"/>
  <c r="AI83" i="68"/>
  <c r="AH83" i="68"/>
  <c r="AG83" i="68"/>
  <c r="AF83" i="68"/>
  <c r="AE83" i="68"/>
  <c r="AD83" i="68"/>
  <c r="AC83" i="68"/>
  <c r="AB83" i="68"/>
  <c r="AA83" i="68"/>
  <c r="Z83" i="68"/>
  <c r="Y83" i="68"/>
  <c r="X83" i="68"/>
  <c r="W83" i="68"/>
  <c r="V83" i="68"/>
  <c r="U83" i="68"/>
  <c r="T83" i="68"/>
  <c r="S83" i="68"/>
  <c r="R83" i="68"/>
  <c r="Q83" i="68"/>
  <c r="P83" i="68"/>
  <c r="O83" i="68"/>
  <c r="N83" i="68"/>
  <c r="M83" i="68"/>
  <c r="L83" i="68"/>
  <c r="K83" i="68"/>
  <c r="J83" i="68"/>
  <c r="I83" i="68"/>
  <c r="H83" i="68"/>
  <c r="G83" i="68"/>
  <c r="F83" i="68"/>
  <c r="E83" i="68"/>
  <c r="BD82" i="68"/>
  <c r="BC82" i="68"/>
  <c r="BB82" i="68"/>
  <c r="BA82" i="68"/>
  <c r="AZ82" i="68"/>
  <c r="AY82" i="68"/>
  <c r="AX82" i="68"/>
  <c r="AW82" i="68"/>
  <c r="AV82" i="68"/>
  <c r="AU82" i="68"/>
  <c r="AT82" i="68"/>
  <c r="AS82" i="68"/>
  <c r="AR82" i="68"/>
  <c r="AQ82" i="68"/>
  <c r="AP82" i="68"/>
  <c r="AO82" i="68"/>
  <c r="AN82" i="68"/>
  <c r="AM82" i="68"/>
  <c r="AL82" i="68"/>
  <c r="AK82" i="68"/>
  <c r="AJ82" i="68"/>
  <c r="AI82" i="68"/>
  <c r="AH82" i="68"/>
  <c r="AG82" i="68"/>
  <c r="AF82" i="68"/>
  <c r="AE82" i="68"/>
  <c r="AD82" i="68"/>
  <c r="AC82" i="68"/>
  <c r="AB82" i="68"/>
  <c r="AA82" i="68"/>
  <c r="Z82" i="68"/>
  <c r="Y82" i="68"/>
  <c r="X82" i="68"/>
  <c r="W82" i="68"/>
  <c r="V82" i="68"/>
  <c r="U82" i="68"/>
  <c r="T82" i="68"/>
  <c r="S82" i="68"/>
  <c r="R82" i="68"/>
  <c r="Q82" i="68"/>
  <c r="P82" i="68"/>
  <c r="O82" i="68"/>
  <c r="N82" i="68"/>
  <c r="M82" i="68"/>
  <c r="L82" i="68"/>
  <c r="K82" i="68"/>
  <c r="J82" i="68"/>
  <c r="I82" i="68"/>
  <c r="H82" i="68"/>
  <c r="G82" i="68"/>
  <c r="F82" i="68"/>
  <c r="E82" i="68"/>
  <c r="BD81" i="68"/>
  <c r="BC81" i="68"/>
  <c r="BB81" i="68"/>
  <c r="BA81" i="68"/>
  <c r="AZ81" i="68"/>
  <c r="AY81" i="68"/>
  <c r="AX81" i="68"/>
  <c r="AW81" i="68"/>
  <c r="AV81" i="68"/>
  <c r="AU81" i="68"/>
  <c r="AT81" i="68"/>
  <c r="AS81" i="68"/>
  <c r="AR81" i="68"/>
  <c r="AQ81" i="68"/>
  <c r="AP81" i="68"/>
  <c r="AO81" i="68"/>
  <c r="AN81" i="68"/>
  <c r="AM81" i="68"/>
  <c r="AL81" i="68"/>
  <c r="AK81" i="68"/>
  <c r="AJ81" i="68"/>
  <c r="AI81" i="68"/>
  <c r="AH81" i="68"/>
  <c r="AG81" i="68"/>
  <c r="AF81" i="68"/>
  <c r="AE81" i="68"/>
  <c r="AD81" i="68"/>
  <c r="AC81" i="68"/>
  <c r="AB81" i="68"/>
  <c r="AA81" i="68"/>
  <c r="Z81" i="68"/>
  <c r="Y81" i="68"/>
  <c r="X81" i="68"/>
  <c r="W81" i="68"/>
  <c r="V81" i="68"/>
  <c r="U81" i="68"/>
  <c r="T81" i="68"/>
  <c r="S81" i="68"/>
  <c r="R81" i="68"/>
  <c r="Q81" i="68"/>
  <c r="P81" i="68"/>
  <c r="O81" i="68"/>
  <c r="N81" i="68"/>
  <c r="M81" i="68"/>
  <c r="L81" i="68"/>
  <c r="K81" i="68"/>
  <c r="J81" i="68"/>
  <c r="I81" i="68"/>
  <c r="H81" i="68"/>
  <c r="G81" i="68"/>
  <c r="F81" i="68"/>
  <c r="E81" i="68"/>
  <c r="BD80" i="68"/>
  <c r="BC80" i="68"/>
  <c r="BB80" i="68"/>
  <c r="BA80" i="68"/>
  <c r="AZ80" i="68"/>
  <c r="AY80" i="68"/>
  <c r="AX80" i="68"/>
  <c r="AW80" i="68"/>
  <c r="AV80" i="68"/>
  <c r="AU80" i="68"/>
  <c r="AT80" i="68"/>
  <c r="AS80" i="68"/>
  <c r="AR80" i="68"/>
  <c r="AQ80" i="68"/>
  <c r="AP80" i="68"/>
  <c r="AO80" i="68"/>
  <c r="AN80" i="68"/>
  <c r="AM80" i="68"/>
  <c r="AL80" i="68"/>
  <c r="AK80" i="68"/>
  <c r="AJ80" i="68"/>
  <c r="AI80" i="68"/>
  <c r="AH80" i="68"/>
  <c r="AG80" i="68"/>
  <c r="AF80" i="68"/>
  <c r="AE80" i="68"/>
  <c r="AD80" i="68"/>
  <c r="AC80" i="68"/>
  <c r="AB80" i="68"/>
  <c r="AA80" i="68"/>
  <c r="Z80" i="68"/>
  <c r="Y80" i="68"/>
  <c r="X80" i="68"/>
  <c r="W80" i="68"/>
  <c r="V80" i="68"/>
  <c r="U80" i="68"/>
  <c r="T80" i="68"/>
  <c r="S80" i="68"/>
  <c r="R80" i="68"/>
  <c r="Q80" i="68"/>
  <c r="P80" i="68"/>
  <c r="O80" i="68"/>
  <c r="N80" i="68"/>
  <c r="M80" i="68"/>
  <c r="L80" i="68"/>
  <c r="K80" i="68"/>
  <c r="J80" i="68"/>
  <c r="I80" i="68"/>
  <c r="H80" i="68"/>
  <c r="G80" i="68"/>
  <c r="F80" i="68"/>
  <c r="E80" i="68"/>
  <c r="BD79" i="68"/>
  <c r="BC79" i="68"/>
  <c r="BB79" i="68"/>
  <c r="BA79" i="68"/>
  <c r="AZ79" i="68"/>
  <c r="AY79" i="68"/>
  <c r="AX79" i="68"/>
  <c r="AW79" i="68"/>
  <c r="AV79" i="68"/>
  <c r="AU79" i="68"/>
  <c r="AT79" i="68"/>
  <c r="AS79" i="68"/>
  <c r="AR79" i="68"/>
  <c r="AQ79" i="68"/>
  <c r="AP79" i="68"/>
  <c r="AO79" i="68"/>
  <c r="AN79" i="68"/>
  <c r="AM79" i="68"/>
  <c r="AL79" i="68"/>
  <c r="AK79" i="68"/>
  <c r="AJ79" i="68"/>
  <c r="AI79" i="68"/>
  <c r="AH79" i="68"/>
  <c r="AG79" i="68"/>
  <c r="AF79" i="68"/>
  <c r="AE79" i="68"/>
  <c r="AD79" i="68"/>
  <c r="AC79" i="68"/>
  <c r="AB79" i="68"/>
  <c r="AA79" i="68"/>
  <c r="Z79" i="68"/>
  <c r="Y79" i="68"/>
  <c r="X79" i="68"/>
  <c r="W79" i="68"/>
  <c r="V79" i="68"/>
  <c r="U79" i="68"/>
  <c r="T79" i="68"/>
  <c r="S79" i="68"/>
  <c r="R79" i="68"/>
  <c r="Q79" i="68"/>
  <c r="P79" i="68"/>
  <c r="O79" i="68"/>
  <c r="N79" i="68"/>
  <c r="M79" i="68"/>
  <c r="L79" i="68"/>
  <c r="K79" i="68"/>
  <c r="J79" i="68"/>
  <c r="I79" i="68"/>
  <c r="H79" i="68"/>
  <c r="G79" i="68"/>
  <c r="F79" i="68"/>
  <c r="E79" i="68"/>
  <c r="BD73" i="68"/>
  <c r="BC73" i="68"/>
  <c r="BB73" i="68"/>
  <c r="BA73" i="68"/>
  <c r="AZ73" i="68"/>
  <c r="AY73" i="68"/>
  <c r="AX73" i="68"/>
  <c r="AW73" i="68"/>
  <c r="AV73" i="68"/>
  <c r="AU73" i="68"/>
  <c r="AT73" i="68"/>
  <c r="AS73" i="68"/>
  <c r="AR73" i="68"/>
  <c r="AQ73" i="68"/>
  <c r="AP73" i="68"/>
  <c r="AO73" i="68"/>
  <c r="AN73" i="68"/>
  <c r="AM73" i="68"/>
  <c r="AL73" i="68"/>
  <c r="AK73" i="68"/>
  <c r="AJ73" i="68"/>
  <c r="AI73" i="68"/>
  <c r="AH73" i="68"/>
  <c r="AG73" i="68"/>
  <c r="AF73" i="68"/>
  <c r="AE73" i="68"/>
  <c r="AD73" i="68"/>
  <c r="AC73" i="68"/>
  <c r="AB73" i="68"/>
  <c r="AA73" i="68"/>
  <c r="Z73" i="68"/>
  <c r="Y73" i="68"/>
  <c r="X73" i="68"/>
  <c r="W73" i="68"/>
  <c r="V73" i="68"/>
  <c r="U73" i="68"/>
  <c r="T73" i="68"/>
  <c r="S73" i="68"/>
  <c r="R73" i="68"/>
  <c r="Q73" i="68"/>
  <c r="P73" i="68"/>
  <c r="O73" i="68"/>
  <c r="N73" i="68"/>
  <c r="M73" i="68"/>
  <c r="L73" i="68"/>
  <c r="K73" i="68"/>
  <c r="J73" i="68"/>
  <c r="I73" i="68"/>
  <c r="H73" i="68"/>
  <c r="G73" i="68"/>
  <c r="F73" i="68"/>
  <c r="E73" i="68"/>
  <c r="BD72" i="68"/>
  <c r="BC72" i="68"/>
  <c r="BB72" i="68"/>
  <c r="BA72" i="68"/>
  <c r="AZ72" i="68"/>
  <c r="AY72" i="68"/>
  <c r="AX72" i="68"/>
  <c r="AW72" i="68"/>
  <c r="AV72" i="68"/>
  <c r="AU72" i="68"/>
  <c r="AT72" i="68"/>
  <c r="AS72" i="68"/>
  <c r="AR72" i="68"/>
  <c r="AQ72" i="68"/>
  <c r="AP72" i="68"/>
  <c r="AO72" i="68"/>
  <c r="AN72" i="68"/>
  <c r="AM72" i="68"/>
  <c r="AL72" i="68"/>
  <c r="AK72" i="68"/>
  <c r="AJ72" i="68"/>
  <c r="AI72" i="68"/>
  <c r="AH72" i="68"/>
  <c r="AG72" i="68"/>
  <c r="AF72" i="68"/>
  <c r="AE72" i="68"/>
  <c r="AD72" i="68"/>
  <c r="AC72" i="68"/>
  <c r="AB72" i="68"/>
  <c r="AA72" i="68"/>
  <c r="Z72" i="68"/>
  <c r="Y72" i="68"/>
  <c r="X72" i="68"/>
  <c r="W72" i="68"/>
  <c r="V72" i="68"/>
  <c r="U72" i="68"/>
  <c r="T72" i="68"/>
  <c r="S72" i="68"/>
  <c r="R72" i="68"/>
  <c r="Q72" i="68"/>
  <c r="P72" i="68"/>
  <c r="O72" i="68"/>
  <c r="N72" i="68"/>
  <c r="M72" i="68"/>
  <c r="L72" i="68"/>
  <c r="K72" i="68"/>
  <c r="J72" i="68"/>
  <c r="I72" i="68"/>
  <c r="H72" i="68"/>
  <c r="G72" i="68"/>
  <c r="F72" i="68"/>
  <c r="E72" i="68"/>
  <c r="BD70" i="68"/>
  <c r="BC70" i="68"/>
  <c r="BB70" i="68"/>
  <c r="BA70" i="68"/>
  <c r="AZ70" i="68"/>
  <c r="AY70" i="68"/>
  <c r="AX70" i="68"/>
  <c r="AW70" i="68"/>
  <c r="AV70" i="68"/>
  <c r="AU70" i="68"/>
  <c r="AT70" i="68"/>
  <c r="AS70" i="68"/>
  <c r="AR70" i="68"/>
  <c r="AQ70" i="68"/>
  <c r="AP70" i="68"/>
  <c r="AO70" i="68"/>
  <c r="AN70" i="68"/>
  <c r="AM70" i="68"/>
  <c r="AL70" i="68"/>
  <c r="AK70" i="68"/>
  <c r="AJ70" i="68"/>
  <c r="AI70" i="68"/>
  <c r="AH70" i="68"/>
  <c r="AG70" i="68"/>
  <c r="AF70" i="68"/>
  <c r="AE70" i="68"/>
  <c r="AD70" i="68"/>
  <c r="AC70" i="68"/>
  <c r="AB70" i="68"/>
  <c r="AA70" i="68"/>
  <c r="Z70" i="68"/>
  <c r="Y70" i="68"/>
  <c r="X70" i="68"/>
  <c r="W70" i="68"/>
  <c r="V70" i="68"/>
  <c r="U70" i="68"/>
  <c r="T70" i="68"/>
  <c r="S70" i="68"/>
  <c r="R70" i="68"/>
  <c r="Q70" i="68"/>
  <c r="P70" i="68"/>
  <c r="O70" i="68"/>
  <c r="N70" i="68"/>
  <c r="M70" i="68"/>
  <c r="L70" i="68"/>
  <c r="K70" i="68"/>
  <c r="J70" i="68"/>
  <c r="I70" i="68"/>
  <c r="H70" i="68"/>
  <c r="G70" i="68"/>
  <c r="F70" i="68"/>
  <c r="E70" i="68"/>
  <c r="BD69" i="68"/>
  <c r="BC69" i="68"/>
  <c r="BB69" i="68"/>
  <c r="BA69" i="68"/>
  <c r="AZ69" i="68"/>
  <c r="AY69" i="68"/>
  <c r="AX69" i="68"/>
  <c r="AW69" i="68"/>
  <c r="AV69" i="68"/>
  <c r="AU69" i="68"/>
  <c r="AT69" i="68"/>
  <c r="AS69" i="68"/>
  <c r="AR69" i="68"/>
  <c r="AQ69" i="68"/>
  <c r="AP69" i="68"/>
  <c r="AO69" i="68"/>
  <c r="AN69" i="68"/>
  <c r="AM69" i="68"/>
  <c r="AL69" i="68"/>
  <c r="AK69" i="68"/>
  <c r="AJ69" i="68"/>
  <c r="AI69" i="68"/>
  <c r="AH69" i="68"/>
  <c r="AG69" i="68"/>
  <c r="AF69" i="68"/>
  <c r="AE69" i="68"/>
  <c r="AD69" i="68"/>
  <c r="AC69" i="68"/>
  <c r="AB69" i="68"/>
  <c r="AA69" i="68"/>
  <c r="Z69" i="68"/>
  <c r="Y69" i="68"/>
  <c r="X69" i="68"/>
  <c r="W69" i="68"/>
  <c r="V69" i="68"/>
  <c r="U69" i="68"/>
  <c r="T69" i="68"/>
  <c r="S69" i="68"/>
  <c r="R69" i="68"/>
  <c r="Q69" i="68"/>
  <c r="P69" i="68"/>
  <c r="O69" i="68"/>
  <c r="N69" i="68"/>
  <c r="M69" i="68"/>
  <c r="L69" i="68"/>
  <c r="K69" i="68"/>
  <c r="J69" i="68"/>
  <c r="I69" i="68"/>
  <c r="H69" i="68"/>
  <c r="G69" i="68"/>
  <c r="F69" i="68"/>
  <c r="E69" i="68"/>
  <c r="BD68" i="68"/>
  <c r="BC68" i="68"/>
  <c r="BB68" i="68"/>
  <c r="BA68" i="68"/>
  <c r="AZ68" i="68"/>
  <c r="AY68" i="68"/>
  <c r="AX68" i="68"/>
  <c r="AW68" i="68"/>
  <c r="AV68" i="68"/>
  <c r="AU68" i="68"/>
  <c r="AT68" i="68"/>
  <c r="AS68" i="68"/>
  <c r="AR68" i="68"/>
  <c r="AQ68" i="68"/>
  <c r="AP68" i="68"/>
  <c r="AO68" i="68"/>
  <c r="AN68" i="68"/>
  <c r="AM68" i="68"/>
  <c r="AL68" i="68"/>
  <c r="AK68" i="68"/>
  <c r="AJ68" i="68"/>
  <c r="AI68" i="68"/>
  <c r="AH68" i="68"/>
  <c r="AG68" i="68"/>
  <c r="AF68" i="68"/>
  <c r="AE68" i="68"/>
  <c r="AD68" i="68"/>
  <c r="AC68" i="68"/>
  <c r="AB68" i="68"/>
  <c r="AA68" i="68"/>
  <c r="Z68" i="68"/>
  <c r="Y68" i="68"/>
  <c r="X68" i="68"/>
  <c r="W68" i="68"/>
  <c r="V68" i="68"/>
  <c r="U68" i="68"/>
  <c r="T68" i="68"/>
  <c r="S68" i="68"/>
  <c r="R68" i="68"/>
  <c r="Q68" i="68"/>
  <c r="P68" i="68"/>
  <c r="O68" i="68"/>
  <c r="N68" i="68"/>
  <c r="M68" i="68"/>
  <c r="L68" i="68"/>
  <c r="K68" i="68"/>
  <c r="J68" i="68"/>
  <c r="I68" i="68"/>
  <c r="H68" i="68"/>
  <c r="G68" i="68"/>
  <c r="F68" i="68"/>
  <c r="E68" i="68"/>
  <c r="BD67" i="68"/>
  <c r="BC67" i="68"/>
  <c r="BB67" i="68"/>
  <c r="BA67" i="68"/>
  <c r="AZ67" i="68"/>
  <c r="AY67" i="68"/>
  <c r="AX67" i="68"/>
  <c r="AW67" i="68"/>
  <c r="AV67" i="68"/>
  <c r="AU67" i="68"/>
  <c r="AT67" i="68"/>
  <c r="AS67" i="68"/>
  <c r="AR67" i="68"/>
  <c r="AQ67" i="68"/>
  <c r="AP67" i="68"/>
  <c r="AO67" i="68"/>
  <c r="AN67" i="68"/>
  <c r="AM67" i="68"/>
  <c r="AL67" i="68"/>
  <c r="AK67" i="68"/>
  <c r="AJ67" i="68"/>
  <c r="AI67" i="68"/>
  <c r="AH67" i="68"/>
  <c r="AG67" i="68"/>
  <c r="AF67" i="68"/>
  <c r="AE67" i="68"/>
  <c r="AD67" i="68"/>
  <c r="AC67" i="68"/>
  <c r="AB67" i="68"/>
  <c r="AA67" i="68"/>
  <c r="Z67" i="68"/>
  <c r="Y67" i="68"/>
  <c r="X67" i="68"/>
  <c r="W67" i="68"/>
  <c r="V67" i="68"/>
  <c r="U67" i="68"/>
  <c r="T67" i="68"/>
  <c r="S67" i="68"/>
  <c r="R67" i="68"/>
  <c r="Q67" i="68"/>
  <c r="P67" i="68"/>
  <c r="O67" i="68"/>
  <c r="N67" i="68"/>
  <c r="M67" i="68"/>
  <c r="L67" i="68"/>
  <c r="K67" i="68"/>
  <c r="J67" i="68"/>
  <c r="I67" i="68"/>
  <c r="H67" i="68"/>
  <c r="G67" i="68"/>
  <c r="F67" i="68"/>
  <c r="E67" i="68"/>
  <c r="BD66" i="68"/>
  <c r="BC66" i="68"/>
  <c r="BB66" i="68"/>
  <c r="BA66" i="68"/>
  <c r="AZ66" i="68"/>
  <c r="AY66" i="68"/>
  <c r="AX66" i="68"/>
  <c r="AW66" i="68"/>
  <c r="AV66" i="68"/>
  <c r="AU66" i="68"/>
  <c r="AT66" i="68"/>
  <c r="AS66" i="68"/>
  <c r="AR66" i="68"/>
  <c r="AQ66" i="68"/>
  <c r="AP66" i="68"/>
  <c r="AO66" i="68"/>
  <c r="AN66" i="68"/>
  <c r="AM66" i="68"/>
  <c r="AL66" i="68"/>
  <c r="AK66" i="68"/>
  <c r="AJ66" i="68"/>
  <c r="AI66" i="68"/>
  <c r="AH66" i="68"/>
  <c r="AG66" i="68"/>
  <c r="AF66" i="68"/>
  <c r="AE66" i="68"/>
  <c r="AD66" i="68"/>
  <c r="AC66" i="68"/>
  <c r="AB66" i="68"/>
  <c r="AA66" i="68"/>
  <c r="Z66" i="68"/>
  <c r="Y66" i="68"/>
  <c r="X66" i="68"/>
  <c r="W66" i="68"/>
  <c r="V66" i="68"/>
  <c r="U66" i="68"/>
  <c r="T66" i="68"/>
  <c r="S66" i="68"/>
  <c r="R66" i="68"/>
  <c r="Q66" i="68"/>
  <c r="P66" i="68"/>
  <c r="O66" i="68"/>
  <c r="N66" i="68"/>
  <c r="M66" i="68"/>
  <c r="L66" i="68"/>
  <c r="K66" i="68"/>
  <c r="J66" i="68"/>
  <c r="I66" i="68"/>
  <c r="H66" i="68"/>
  <c r="G66" i="68"/>
  <c r="F66" i="68"/>
  <c r="E66" i="68"/>
  <c r="BD65" i="68"/>
  <c r="BC65" i="68"/>
  <c r="BB65" i="68"/>
  <c r="BA65" i="68"/>
  <c r="AZ65" i="68"/>
  <c r="AY65" i="68"/>
  <c r="AX65" i="68"/>
  <c r="AW65" i="68"/>
  <c r="AV65" i="68"/>
  <c r="AU65" i="68"/>
  <c r="AT65" i="68"/>
  <c r="AS65" i="68"/>
  <c r="AR65" i="68"/>
  <c r="AQ65" i="68"/>
  <c r="AP65" i="68"/>
  <c r="AO65" i="68"/>
  <c r="AN65" i="68"/>
  <c r="AM65" i="68"/>
  <c r="AL65" i="68"/>
  <c r="AK65" i="68"/>
  <c r="AJ65" i="68"/>
  <c r="AI65" i="68"/>
  <c r="AH65" i="68"/>
  <c r="AG65" i="68"/>
  <c r="AF65" i="68"/>
  <c r="AE65" i="68"/>
  <c r="AD65" i="68"/>
  <c r="AC65" i="68"/>
  <c r="AB65" i="68"/>
  <c r="AA65" i="68"/>
  <c r="Z65" i="68"/>
  <c r="Y65" i="68"/>
  <c r="X65" i="68"/>
  <c r="W65" i="68"/>
  <c r="V65" i="68"/>
  <c r="U65" i="68"/>
  <c r="T65" i="68"/>
  <c r="S65" i="68"/>
  <c r="R65" i="68"/>
  <c r="Q65" i="68"/>
  <c r="P65" i="68"/>
  <c r="O65" i="68"/>
  <c r="N65" i="68"/>
  <c r="M65" i="68"/>
  <c r="L65" i="68"/>
  <c r="K65" i="68"/>
  <c r="J65" i="68"/>
  <c r="I65" i="68"/>
  <c r="H65" i="68"/>
  <c r="G65" i="68"/>
  <c r="F65" i="68"/>
  <c r="E65" i="68"/>
  <c r="BD64" i="68"/>
  <c r="BC64" i="68"/>
  <c r="BB64" i="68"/>
  <c r="BA64" i="68"/>
  <c r="AZ64" i="68"/>
  <c r="AY64" i="68"/>
  <c r="AX64" i="68"/>
  <c r="AW64" i="68"/>
  <c r="AV64" i="68"/>
  <c r="AU64" i="68"/>
  <c r="AT64" i="68"/>
  <c r="AS64" i="68"/>
  <c r="AR64" i="68"/>
  <c r="AQ64" i="68"/>
  <c r="AQ71" i="68" s="1"/>
  <c r="AQ74" i="68" s="1"/>
  <c r="AP64" i="68"/>
  <c r="AO64" i="68"/>
  <c r="AN64" i="68"/>
  <c r="AM64" i="68"/>
  <c r="AL64" i="68"/>
  <c r="AK64" i="68"/>
  <c r="AJ64" i="68"/>
  <c r="AI64" i="68"/>
  <c r="AH64" i="68"/>
  <c r="AG64" i="68"/>
  <c r="AF64" i="68"/>
  <c r="AE64" i="68"/>
  <c r="AD64" i="68"/>
  <c r="AC64" i="68"/>
  <c r="AB64" i="68"/>
  <c r="AA64" i="68"/>
  <c r="Z64" i="68"/>
  <c r="Y64" i="68"/>
  <c r="X64" i="68"/>
  <c r="W64" i="68"/>
  <c r="V64" i="68"/>
  <c r="U64" i="68"/>
  <c r="T64" i="68"/>
  <c r="S64" i="68"/>
  <c r="R64" i="68"/>
  <c r="Q64" i="68"/>
  <c r="P64" i="68"/>
  <c r="O64" i="68"/>
  <c r="N64" i="68"/>
  <c r="M64" i="68"/>
  <c r="L64" i="68"/>
  <c r="K64" i="68"/>
  <c r="J64" i="68"/>
  <c r="I64" i="68"/>
  <c r="H64" i="68"/>
  <c r="G64" i="68"/>
  <c r="F64" i="68"/>
  <c r="E64" i="68"/>
  <c r="BD61" i="68"/>
  <c r="BC61" i="68"/>
  <c r="BB61" i="68"/>
  <c r="BA61" i="68"/>
  <c r="AZ61" i="68"/>
  <c r="AY61" i="68"/>
  <c r="AX61" i="68"/>
  <c r="AW61" i="68"/>
  <c r="AV61" i="68"/>
  <c r="AU61" i="68"/>
  <c r="AT61" i="68"/>
  <c r="AS61" i="68"/>
  <c r="AR61" i="68"/>
  <c r="AQ61" i="68"/>
  <c r="AP61" i="68"/>
  <c r="AO61" i="68"/>
  <c r="AN61" i="68"/>
  <c r="AM61" i="68"/>
  <c r="AL61" i="68"/>
  <c r="AK61" i="68"/>
  <c r="AJ61" i="68"/>
  <c r="AI61" i="68"/>
  <c r="AH61" i="68"/>
  <c r="AG61" i="68"/>
  <c r="AF61" i="68"/>
  <c r="AE61" i="68"/>
  <c r="AD61" i="68"/>
  <c r="AC61" i="68"/>
  <c r="AB61" i="68"/>
  <c r="AA61" i="68"/>
  <c r="Z61" i="68"/>
  <c r="Y61" i="68"/>
  <c r="X61" i="68"/>
  <c r="W61" i="68"/>
  <c r="V61" i="68"/>
  <c r="U61" i="68"/>
  <c r="T61" i="68"/>
  <c r="S61" i="68"/>
  <c r="R61" i="68"/>
  <c r="Q61" i="68"/>
  <c r="P61" i="68"/>
  <c r="O61" i="68"/>
  <c r="N61" i="68"/>
  <c r="M61" i="68"/>
  <c r="L61" i="68"/>
  <c r="K61" i="68"/>
  <c r="J61" i="68"/>
  <c r="I61" i="68"/>
  <c r="H61" i="68"/>
  <c r="G61" i="68"/>
  <c r="F61" i="68"/>
  <c r="E61" i="68"/>
  <c r="BD60" i="68"/>
  <c r="BC60" i="68"/>
  <c r="BB60" i="68"/>
  <c r="BA60" i="68"/>
  <c r="AZ60" i="68"/>
  <c r="AY60" i="68"/>
  <c r="AX60" i="68"/>
  <c r="AW60" i="68"/>
  <c r="AV60" i="68"/>
  <c r="AU60" i="68"/>
  <c r="AT60" i="68"/>
  <c r="AS60" i="68"/>
  <c r="AR60" i="68"/>
  <c r="AQ60" i="68"/>
  <c r="AP60" i="68"/>
  <c r="AO60" i="68"/>
  <c r="AN60" i="68"/>
  <c r="AM60" i="68"/>
  <c r="AL60" i="68"/>
  <c r="AK60" i="68"/>
  <c r="AJ60" i="68"/>
  <c r="AI60" i="68"/>
  <c r="AH60" i="68"/>
  <c r="AG60" i="68"/>
  <c r="AF60" i="68"/>
  <c r="AE60" i="68"/>
  <c r="AD60" i="68"/>
  <c r="AC60" i="68"/>
  <c r="AB60" i="68"/>
  <c r="AA60" i="68"/>
  <c r="Z60" i="68"/>
  <c r="Y60" i="68"/>
  <c r="X60" i="68"/>
  <c r="W60" i="68"/>
  <c r="V60" i="68"/>
  <c r="U60" i="68"/>
  <c r="T60" i="68"/>
  <c r="S60" i="68"/>
  <c r="R60" i="68"/>
  <c r="Q60" i="68"/>
  <c r="P60" i="68"/>
  <c r="O60" i="68"/>
  <c r="N60" i="68"/>
  <c r="M60" i="68"/>
  <c r="L60" i="68"/>
  <c r="K60" i="68"/>
  <c r="J60" i="68"/>
  <c r="I60" i="68"/>
  <c r="H60" i="68"/>
  <c r="G60" i="68"/>
  <c r="F60" i="68"/>
  <c r="E60" i="68"/>
  <c r="BD59" i="68"/>
  <c r="BC59" i="68"/>
  <c r="BB59" i="68"/>
  <c r="BA59" i="68"/>
  <c r="AZ59" i="68"/>
  <c r="AY59" i="68"/>
  <c r="AX59" i="68"/>
  <c r="AW59" i="68"/>
  <c r="AV59" i="68"/>
  <c r="AU59" i="68"/>
  <c r="AT59" i="68"/>
  <c r="AS59" i="68"/>
  <c r="AR59" i="68"/>
  <c r="AQ59" i="68"/>
  <c r="AP59" i="68"/>
  <c r="AO59" i="68"/>
  <c r="AN59" i="68"/>
  <c r="AM59" i="68"/>
  <c r="AL59" i="68"/>
  <c r="AK59" i="68"/>
  <c r="AJ59" i="68"/>
  <c r="AI59" i="68"/>
  <c r="AH59" i="68"/>
  <c r="AG59" i="68"/>
  <c r="AF59" i="68"/>
  <c r="AE59" i="68"/>
  <c r="AD59" i="68"/>
  <c r="AC59" i="68"/>
  <c r="AB59" i="68"/>
  <c r="AA59" i="68"/>
  <c r="Z59" i="68"/>
  <c r="Y59" i="68"/>
  <c r="X59" i="68"/>
  <c r="W59" i="68"/>
  <c r="V59" i="68"/>
  <c r="U59" i="68"/>
  <c r="T59" i="68"/>
  <c r="S59" i="68"/>
  <c r="R59" i="68"/>
  <c r="Q59" i="68"/>
  <c r="P59" i="68"/>
  <c r="O59" i="68"/>
  <c r="N59" i="68"/>
  <c r="M59" i="68"/>
  <c r="L59" i="68"/>
  <c r="K59" i="68"/>
  <c r="J59" i="68"/>
  <c r="I59" i="68"/>
  <c r="H59" i="68"/>
  <c r="G59" i="68"/>
  <c r="F59" i="68"/>
  <c r="E59" i="68"/>
  <c r="BD58" i="68"/>
  <c r="BC58" i="68"/>
  <c r="BB58" i="68"/>
  <c r="BA58" i="68"/>
  <c r="AZ58" i="68"/>
  <c r="AY58" i="68"/>
  <c r="AX58" i="68"/>
  <c r="AW58" i="68"/>
  <c r="AV58" i="68"/>
  <c r="AU58" i="68"/>
  <c r="AT58" i="68"/>
  <c r="AS58" i="68"/>
  <c r="AR58" i="68"/>
  <c r="AQ58" i="68"/>
  <c r="AP58" i="68"/>
  <c r="AO58" i="68"/>
  <c r="AN58" i="68"/>
  <c r="AM58" i="68"/>
  <c r="AL58" i="68"/>
  <c r="AK58" i="68"/>
  <c r="AJ58" i="68"/>
  <c r="AI58" i="68"/>
  <c r="AH58" i="68"/>
  <c r="AG58" i="68"/>
  <c r="AF58" i="68"/>
  <c r="AE58" i="68"/>
  <c r="AD58" i="68"/>
  <c r="AC58" i="68"/>
  <c r="AB58" i="68"/>
  <c r="AA58" i="68"/>
  <c r="Z58" i="68"/>
  <c r="Y58" i="68"/>
  <c r="X58" i="68"/>
  <c r="W58" i="68"/>
  <c r="V58" i="68"/>
  <c r="U58" i="68"/>
  <c r="T58" i="68"/>
  <c r="S58" i="68"/>
  <c r="R58" i="68"/>
  <c r="Q58" i="68"/>
  <c r="P58" i="68"/>
  <c r="O58" i="68"/>
  <c r="N58" i="68"/>
  <c r="M58" i="68"/>
  <c r="L58" i="68"/>
  <c r="K58" i="68"/>
  <c r="J58" i="68"/>
  <c r="I58" i="68"/>
  <c r="H58" i="68"/>
  <c r="G58" i="68"/>
  <c r="F58" i="68"/>
  <c r="E58" i="68"/>
  <c r="BD57" i="68"/>
  <c r="BC57" i="68"/>
  <c r="BB57" i="68"/>
  <c r="BA57" i="68"/>
  <c r="AZ57" i="68"/>
  <c r="AY57" i="68"/>
  <c r="AX57" i="68"/>
  <c r="AW57" i="68"/>
  <c r="AV57" i="68"/>
  <c r="AU57" i="68"/>
  <c r="AT57" i="68"/>
  <c r="AS57" i="68"/>
  <c r="AR57" i="68"/>
  <c r="AQ57" i="68"/>
  <c r="AP57" i="68"/>
  <c r="AO57" i="68"/>
  <c r="AN57" i="68"/>
  <c r="AM57" i="68"/>
  <c r="AL57" i="68"/>
  <c r="AK57" i="68"/>
  <c r="AJ57" i="68"/>
  <c r="AI57" i="68"/>
  <c r="AH57" i="68"/>
  <c r="AG57" i="68"/>
  <c r="AF57" i="68"/>
  <c r="AE57" i="68"/>
  <c r="AD57" i="68"/>
  <c r="AC57" i="68"/>
  <c r="AB57" i="68"/>
  <c r="AA57" i="68"/>
  <c r="Z57" i="68"/>
  <c r="Y57" i="68"/>
  <c r="X57" i="68"/>
  <c r="W57" i="68"/>
  <c r="V57" i="68"/>
  <c r="U57" i="68"/>
  <c r="T57" i="68"/>
  <c r="S57" i="68"/>
  <c r="R57" i="68"/>
  <c r="Q57" i="68"/>
  <c r="P57" i="68"/>
  <c r="O57" i="68"/>
  <c r="N57" i="68"/>
  <c r="M57" i="68"/>
  <c r="L57" i="68"/>
  <c r="K57" i="68"/>
  <c r="J57" i="68"/>
  <c r="I57" i="68"/>
  <c r="H57" i="68"/>
  <c r="G57" i="68"/>
  <c r="F57" i="68"/>
  <c r="E57" i="68"/>
  <c r="BD51" i="68"/>
  <c r="BC51" i="68"/>
  <c r="BB51" i="68"/>
  <c r="BA51" i="68"/>
  <c r="AZ51" i="68"/>
  <c r="AY51" i="68"/>
  <c r="AX51" i="68"/>
  <c r="AW51" i="68"/>
  <c r="AV51" i="68"/>
  <c r="AU51" i="68"/>
  <c r="AT51" i="68"/>
  <c r="AS51" i="68"/>
  <c r="AR51" i="68"/>
  <c r="AQ51" i="68"/>
  <c r="AP51" i="68"/>
  <c r="AO51" i="68"/>
  <c r="AN51" i="68"/>
  <c r="AM51" i="68"/>
  <c r="AL51" i="68"/>
  <c r="AK51" i="68"/>
  <c r="AJ51" i="68"/>
  <c r="AI51" i="68"/>
  <c r="AH51" i="68"/>
  <c r="AG51" i="68"/>
  <c r="AF51" i="68"/>
  <c r="AE51" i="68"/>
  <c r="AD51" i="68"/>
  <c r="AC51" i="68"/>
  <c r="AB51" i="68"/>
  <c r="AA51" i="68"/>
  <c r="Z51" i="68"/>
  <c r="Y51" i="68"/>
  <c r="X51" i="68"/>
  <c r="W51" i="68"/>
  <c r="V51" i="68"/>
  <c r="U51" i="68"/>
  <c r="T51" i="68"/>
  <c r="S51" i="68"/>
  <c r="R51" i="68"/>
  <c r="Q51" i="68"/>
  <c r="P51" i="68"/>
  <c r="O51" i="68"/>
  <c r="N51" i="68"/>
  <c r="M51" i="68"/>
  <c r="L51" i="68"/>
  <c r="K51" i="68"/>
  <c r="J51" i="68"/>
  <c r="I51" i="68"/>
  <c r="H51" i="68"/>
  <c r="G51" i="68"/>
  <c r="F51" i="68"/>
  <c r="E51" i="68"/>
  <c r="BD50" i="68"/>
  <c r="BC50" i="68"/>
  <c r="BB50" i="68"/>
  <c r="BA50" i="68"/>
  <c r="AZ50" i="68"/>
  <c r="AY50" i="68"/>
  <c r="AX50" i="68"/>
  <c r="AW50" i="68"/>
  <c r="AV50" i="68"/>
  <c r="AU50" i="68"/>
  <c r="AT50" i="68"/>
  <c r="AS50" i="68"/>
  <c r="AR50" i="68"/>
  <c r="AQ50" i="68"/>
  <c r="AP50" i="68"/>
  <c r="AO50" i="68"/>
  <c r="AN50" i="68"/>
  <c r="AM50" i="68"/>
  <c r="AL50" i="68"/>
  <c r="AK50" i="68"/>
  <c r="AJ50" i="68"/>
  <c r="AI50" i="68"/>
  <c r="AH50" i="68"/>
  <c r="AG50" i="68"/>
  <c r="AF50" i="68"/>
  <c r="AE50" i="68"/>
  <c r="AD50" i="68"/>
  <c r="AC50" i="68"/>
  <c r="AB50" i="68"/>
  <c r="AA50" i="68"/>
  <c r="Z50" i="68"/>
  <c r="Y50" i="68"/>
  <c r="X50" i="68"/>
  <c r="W50" i="68"/>
  <c r="V50" i="68"/>
  <c r="U50" i="68"/>
  <c r="T50" i="68"/>
  <c r="S50" i="68"/>
  <c r="R50" i="68"/>
  <c r="Q50" i="68"/>
  <c r="P50" i="68"/>
  <c r="O50" i="68"/>
  <c r="N50" i="68"/>
  <c r="M50" i="68"/>
  <c r="L50" i="68"/>
  <c r="K50" i="68"/>
  <c r="J50" i="68"/>
  <c r="I50" i="68"/>
  <c r="H50" i="68"/>
  <c r="G50" i="68"/>
  <c r="F50" i="68"/>
  <c r="E50" i="68"/>
  <c r="BD48" i="68"/>
  <c r="BC48" i="68"/>
  <c r="BB48" i="68"/>
  <c r="BA48" i="68"/>
  <c r="AZ48" i="68"/>
  <c r="AY48" i="68"/>
  <c r="AX48" i="68"/>
  <c r="AW48" i="68"/>
  <c r="AV48" i="68"/>
  <c r="AU48" i="68"/>
  <c r="AT48" i="68"/>
  <c r="AS48" i="68"/>
  <c r="AR48" i="68"/>
  <c r="AQ48" i="68"/>
  <c r="AP48" i="68"/>
  <c r="AO48" i="68"/>
  <c r="AN48" i="68"/>
  <c r="AM48" i="68"/>
  <c r="AL48" i="68"/>
  <c r="AK48" i="68"/>
  <c r="AJ48" i="68"/>
  <c r="AI48" i="68"/>
  <c r="AH48" i="68"/>
  <c r="AG48" i="68"/>
  <c r="AF48" i="68"/>
  <c r="AE48" i="68"/>
  <c r="AD48" i="68"/>
  <c r="AC48" i="68"/>
  <c r="AB48" i="68"/>
  <c r="AA48" i="68"/>
  <c r="Z48" i="68"/>
  <c r="Y48" i="68"/>
  <c r="X48" i="68"/>
  <c r="W48" i="68"/>
  <c r="V48" i="68"/>
  <c r="U48" i="68"/>
  <c r="T48" i="68"/>
  <c r="S48" i="68"/>
  <c r="R48" i="68"/>
  <c r="Q48" i="68"/>
  <c r="P48" i="68"/>
  <c r="O48" i="68"/>
  <c r="N48" i="68"/>
  <c r="M48" i="68"/>
  <c r="L48" i="68"/>
  <c r="K48" i="68"/>
  <c r="J48" i="68"/>
  <c r="I48" i="68"/>
  <c r="H48" i="68"/>
  <c r="G48" i="68"/>
  <c r="F48" i="68"/>
  <c r="E48" i="68"/>
  <c r="BD47" i="68"/>
  <c r="BC47" i="68"/>
  <c r="BB47" i="68"/>
  <c r="BA47" i="68"/>
  <c r="AZ47" i="68"/>
  <c r="AY47" i="68"/>
  <c r="AX47" i="68"/>
  <c r="AW47" i="68"/>
  <c r="AV47" i="68"/>
  <c r="AU47" i="68"/>
  <c r="AT47" i="68"/>
  <c r="AS47" i="68"/>
  <c r="AR47" i="68"/>
  <c r="AQ47" i="68"/>
  <c r="AP47" i="68"/>
  <c r="AO47" i="68"/>
  <c r="AN47" i="68"/>
  <c r="AM47" i="68"/>
  <c r="AL47" i="68"/>
  <c r="AK47" i="68"/>
  <c r="AJ47" i="68"/>
  <c r="AI47" i="68"/>
  <c r="AH47" i="68"/>
  <c r="AG47" i="68"/>
  <c r="AF47" i="68"/>
  <c r="AE47" i="68"/>
  <c r="AD47" i="68"/>
  <c r="AC47" i="68"/>
  <c r="AB47" i="68"/>
  <c r="AA47" i="68"/>
  <c r="Z47" i="68"/>
  <c r="Y47" i="68"/>
  <c r="X47" i="68"/>
  <c r="W47" i="68"/>
  <c r="V47" i="68"/>
  <c r="U47" i="68"/>
  <c r="T47" i="68"/>
  <c r="S47" i="68"/>
  <c r="R47" i="68"/>
  <c r="Q47" i="68"/>
  <c r="P47" i="68"/>
  <c r="O47" i="68"/>
  <c r="N47" i="68"/>
  <c r="M47" i="68"/>
  <c r="L47" i="68"/>
  <c r="K47" i="68"/>
  <c r="J47" i="68"/>
  <c r="I47" i="68"/>
  <c r="H47" i="68"/>
  <c r="G47" i="68"/>
  <c r="F47" i="68"/>
  <c r="E47" i="68"/>
  <c r="BD46" i="68"/>
  <c r="BC46" i="68"/>
  <c r="BB46" i="68"/>
  <c r="BA46" i="68"/>
  <c r="AZ46" i="68"/>
  <c r="AY46" i="68"/>
  <c r="AX46" i="68"/>
  <c r="AW46" i="68"/>
  <c r="AV46" i="68"/>
  <c r="AU46" i="68"/>
  <c r="AT46" i="68"/>
  <c r="AS46" i="68"/>
  <c r="AR46" i="68"/>
  <c r="AQ46" i="68"/>
  <c r="AP46" i="68"/>
  <c r="AO46" i="68"/>
  <c r="AN46" i="68"/>
  <c r="AM46" i="68"/>
  <c r="AL46" i="68"/>
  <c r="AK46" i="68"/>
  <c r="AJ46" i="68"/>
  <c r="AI46" i="68"/>
  <c r="AH46" i="68"/>
  <c r="AG46" i="68"/>
  <c r="AF46" i="68"/>
  <c r="AE46" i="68"/>
  <c r="AD46" i="68"/>
  <c r="AC46" i="68"/>
  <c r="AB46" i="68"/>
  <c r="AA46" i="68"/>
  <c r="Z46" i="68"/>
  <c r="Y46" i="68"/>
  <c r="X46" i="68"/>
  <c r="W46" i="68"/>
  <c r="V46" i="68"/>
  <c r="U46" i="68"/>
  <c r="T46" i="68"/>
  <c r="S46" i="68"/>
  <c r="R46" i="68"/>
  <c r="Q46" i="68"/>
  <c r="P46" i="68"/>
  <c r="O46" i="68"/>
  <c r="N46" i="68"/>
  <c r="M46" i="68"/>
  <c r="L46" i="68"/>
  <c r="K46" i="68"/>
  <c r="J46" i="68"/>
  <c r="I46" i="68"/>
  <c r="H46" i="68"/>
  <c r="G46" i="68"/>
  <c r="F46" i="68"/>
  <c r="E46" i="68"/>
  <c r="BD45" i="68"/>
  <c r="BC45" i="68"/>
  <c r="BB45" i="68"/>
  <c r="BA45" i="68"/>
  <c r="AZ45" i="68"/>
  <c r="AY45" i="68"/>
  <c r="AX45" i="68"/>
  <c r="AW45" i="68"/>
  <c r="AV45" i="68"/>
  <c r="AU45" i="68"/>
  <c r="AT45" i="68"/>
  <c r="AS45" i="68"/>
  <c r="AR45" i="68"/>
  <c r="AQ45" i="68"/>
  <c r="AP45" i="68"/>
  <c r="AO45" i="68"/>
  <c r="AN45" i="68"/>
  <c r="AM45" i="68"/>
  <c r="AL45" i="68"/>
  <c r="AK45" i="68"/>
  <c r="AJ45" i="68"/>
  <c r="AI45" i="68"/>
  <c r="AH45" i="68"/>
  <c r="AG45" i="68"/>
  <c r="AF45" i="68"/>
  <c r="AE45" i="68"/>
  <c r="AD45" i="68"/>
  <c r="AC45" i="68"/>
  <c r="AB45" i="68"/>
  <c r="AA45" i="68"/>
  <c r="Z45" i="68"/>
  <c r="Y45" i="68"/>
  <c r="X45" i="68"/>
  <c r="W45" i="68"/>
  <c r="V45" i="68"/>
  <c r="U45" i="68"/>
  <c r="T45" i="68"/>
  <c r="S45" i="68"/>
  <c r="R45" i="68"/>
  <c r="Q45" i="68"/>
  <c r="P45" i="68"/>
  <c r="O45" i="68"/>
  <c r="N45" i="68"/>
  <c r="M45" i="68"/>
  <c r="L45" i="68"/>
  <c r="K45" i="68"/>
  <c r="J45" i="68"/>
  <c r="I45" i="68"/>
  <c r="H45" i="68"/>
  <c r="G45" i="68"/>
  <c r="F45" i="68"/>
  <c r="E45" i="68"/>
  <c r="BD44" i="68"/>
  <c r="BC44" i="68"/>
  <c r="BB44" i="68"/>
  <c r="BA44" i="68"/>
  <c r="AZ44" i="68"/>
  <c r="AY44" i="68"/>
  <c r="AX44" i="68"/>
  <c r="AW44" i="68"/>
  <c r="AV44" i="68"/>
  <c r="AU44" i="68"/>
  <c r="AT44" i="68"/>
  <c r="AS44" i="68"/>
  <c r="AR44" i="68"/>
  <c r="AQ44" i="68"/>
  <c r="AP44" i="68"/>
  <c r="AO44" i="68"/>
  <c r="AN44" i="68"/>
  <c r="AM44" i="68"/>
  <c r="AL44" i="68"/>
  <c r="AK44" i="68"/>
  <c r="AJ44" i="68"/>
  <c r="AI44" i="68"/>
  <c r="AH44" i="68"/>
  <c r="AG44" i="68"/>
  <c r="AF44" i="68"/>
  <c r="AE44" i="68"/>
  <c r="AD44" i="68"/>
  <c r="AC44" i="68"/>
  <c r="AB44" i="68"/>
  <c r="AA44" i="68"/>
  <c r="Z44" i="68"/>
  <c r="Y44" i="68"/>
  <c r="X44" i="68"/>
  <c r="W44" i="68"/>
  <c r="V44" i="68"/>
  <c r="U44" i="68"/>
  <c r="T44" i="68"/>
  <c r="S44" i="68"/>
  <c r="R44" i="68"/>
  <c r="Q44" i="68"/>
  <c r="P44" i="68"/>
  <c r="O44" i="68"/>
  <c r="N44" i="68"/>
  <c r="M44" i="68"/>
  <c r="L44" i="68"/>
  <c r="K44" i="68"/>
  <c r="J44" i="68"/>
  <c r="I44" i="68"/>
  <c r="H44" i="68"/>
  <c r="G44" i="68"/>
  <c r="F44" i="68"/>
  <c r="E44" i="68"/>
  <c r="BD43" i="68"/>
  <c r="BC43" i="68"/>
  <c r="BB43" i="68"/>
  <c r="BA43" i="68"/>
  <c r="AZ43" i="68"/>
  <c r="AY43" i="68"/>
  <c r="AX43" i="68"/>
  <c r="AW43" i="68"/>
  <c r="AV43" i="68"/>
  <c r="AU43" i="68"/>
  <c r="AT43" i="68"/>
  <c r="AS43" i="68"/>
  <c r="AR43" i="68"/>
  <c r="AQ43" i="68"/>
  <c r="AP43" i="68"/>
  <c r="AO43" i="68"/>
  <c r="AN43" i="68"/>
  <c r="AM43" i="68"/>
  <c r="AL43" i="68"/>
  <c r="AK43" i="68"/>
  <c r="AJ43" i="68"/>
  <c r="AI43" i="68"/>
  <c r="AH43" i="68"/>
  <c r="AG43" i="68"/>
  <c r="AF43" i="68"/>
  <c r="AE43" i="68"/>
  <c r="AD43" i="68"/>
  <c r="AC43" i="68"/>
  <c r="AB43" i="68"/>
  <c r="AA43" i="68"/>
  <c r="Z43" i="68"/>
  <c r="Y43" i="68"/>
  <c r="X43" i="68"/>
  <c r="W43" i="68"/>
  <c r="V43" i="68"/>
  <c r="U43" i="68"/>
  <c r="T43" i="68"/>
  <c r="S43" i="68"/>
  <c r="R43" i="68"/>
  <c r="Q43" i="68"/>
  <c r="P43" i="68"/>
  <c r="O43" i="68"/>
  <c r="N43" i="68"/>
  <c r="M43" i="68"/>
  <c r="L43" i="68"/>
  <c r="K43" i="68"/>
  <c r="J43" i="68"/>
  <c r="I43" i="68"/>
  <c r="H43" i="68"/>
  <c r="G43" i="68"/>
  <c r="F43" i="68"/>
  <c r="E43" i="68"/>
  <c r="BD42" i="68"/>
  <c r="BC42" i="68"/>
  <c r="BB42" i="68"/>
  <c r="BA42" i="68"/>
  <c r="AZ42" i="68"/>
  <c r="AY42" i="68"/>
  <c r="AX42" i="68"/>
  <c r="AW42" i="68"/>
  <c r="AV42" i="68"/>
  <c r="AU42" i="68"/>
  <c r="AT42" i="68"/>
  <c r="AS42" i="68"/>
  <c r="AR42" i="68"/>
  <c r="AQ42" i="68"/>
  <c r="AP42" i="68"/>
  <c r="AO42" i="68"/>
  <c r="AN42" i="68"/>
  <c r="AM42" i="68"/>
  <c r="AL42" i="68"/>
  <c r="AK42" i="68"/>
  <c r="AJ42" i="68"/>
  <c r="AI42" i="68"/>
  <c r="AH42" i="68"/>
  <c r="AG42" i="68"/>
  <c r="AF42" i="68"/>
  <c r="AE42" i="68"/>
  <c r="AD42" i="68"/>
  <c r="AC42" i="68"/>
  <c r="AB42" i="68"/>
  <c r="AA42" i="68"/>
  <c r="Z42" i="68"/>
  <c r="Y42" i="68"/>
  <c r="X42" i="68"/>
  <c r="W42" i="68"/>
  <c r="V42" i="68"/>
  <c r="U42" i="68"/>
  <c r="T42" i="68"/>
  <c r="S42" i="68"/>
  <c r="R42" i="68"/>
  <c r="Q42" i="68"/>
  <c r="P42" i="68"/>
  <c r="O42" i="68"/>
  <c r="N42" i="68"/>
  <c r="M42" i="68"/>
  <c r="L42" i="68"/>
  <c r="K42" i="68"/>
  <c r="J42" i="68"/>
  <c r="I42" i="68"/>
  <c r="H42" i="68"/>
  <c r="G42" i="68"/>
  <c r="F42" i="68"/>
  <c r="E42" i="68"/>
  <c r="BD39" i="68"/>
  <c r="BC39" i="68"/>
  <c r="BB39" i="68"/>
  <c r="BA39" i="68"/>
  <c r="AZ39" i="68"/>
  <c r="AY39" i="68"/>
  <c r="AX39" i="68"/>
  <c r="AW39" i="68"/>
  <c r="AV39" i="68"/>
  <c r="AU39" i="68"/>
  <c r="AT39" i="68"/>
  <c r="AS39" i="68"/>
  <c r="AR39" i="68"/>
  <c r="AQ39" i="68"/>
  <c r="AP39" i="68"/>
  <c r="AO39" i="68"/>
  <c r="AN39" i="68"/>
  <c r="AM39" i="68"/>
  <c r="AL39" i="68"/>
  <c r="AK39" i="68"/>
  <c r="AJ39" i="68"/>
  <c r="AI39" i="68"/>
  <c r="AH39" i="68"/>
  <c r="AG39" i="68"/>
  <c r="AF39" i="68"/>
  <c r="AE39" i="68"/>
  <c r="AD39" i="68"/>
  <c r="AC39" i="68"/>
  <c r="AB39" i="68"/>
  <c r="AA39" i="68"/>
  <c r="Z39" i="68"/>
  <c r="Y39" i="68"/>
  <c r="X39" i="68"/>
  <c r="W39" i="68"/>
  <c r="V39" i="68"/>
  <c r="U39" i="68"/>
  <c r="T39" i="68"/>
  <c r="S39" i="68"/>
  <c r="R39" i="68"/>
  <c r="Q39" i="68"/>
  <c r="P39" i="68"/>
  <c r="O39" i="68"/>
  <c r="N39" i="68"/>
  <c r="M39" i="68"/>
  <c r="L39" i="68"/>
  <c r="K39" i="68"/>
  <c r="J39" i="68"/>
  <c r="I39" i="68"/>
  <c r="H39" i="68"/>
  <c r="G39" i="68"/>
  <c r="F39" i="68"/>
  <c r="E39" i="68"/>
  <c r="BD38" i="68"/>
  <c r="BC38" i="68"/>
  <c r="BB38" i="68"/>
  <c r="BA38" i="68"/>
  <c r="AZ38" i="68"/>
  <c r="AY38" i="68"/>
  <c r="AX38" i="68"/>
  <c r="AW38" i="68"/>
  <c r="AV38" i="68"/>
  <c r="AU38" i="68"/>
  <c r="AT38" i="68"/>
  <c r="AS38" i="68"/>
  <c r="AR38" i="68"/>
  <c r="AQ38" i="68"/>
  <c r="AP38" i="68"/>
  <c r="AO38" i="68"/>
  <c r="AN38" i="68"/>
  <c r="AM38" i="68"/>
  <c r="AL38" i="68"/>
  <c r="AK38" i="68"/>
  <c r="AJ38" i="68"/>
  <c r="AI38" i="68"/>
  <c r="AH38" i="68"/>
  <c r="AG38" i="68"/>
  <c r="AF38" i="68"/>
  <c r="AE38" i="68"/>
  <c r="AD38" i="68"/>
  <c r="AC38" i="68"/>
  <c r="AB38" i="68"/>
  <c r="AA38" i="68"/>
  <c r="Z38" i="68"/>
  <c r="Y38" i="68"/>
  <c r="X38" i="68"/>
  <c r="W38" i="68"/>
  <c r="V38" i="68"/>
  <c r="U38" i="68"/>
  <c r="T38" i="68"/>
  <c r="S38" i="68"/>
  <c r="R38" i="68"/>
  <c r="Q38" i="68"/>
  <c r="P38" i="68"/>
  <c r="O38" i="68"/>
  <c r="N38" i="68"/>
  <c r="M38" i="68"/>
  <c r="L38" i="68"/>
  <c r="K38" i="68"/>
  <c r="J38" i="68"/>
  <c r="I38" i="68"/>
  <c r="H38" i="68"/>
  <c r="G38" i="68"/>
  <c r="F38" i="68"/>
  <c r="E38" i="68"/>
  <c r="BD37" i="68"/>
  <c r="BC37" i="68"/>
  <c r="BB37" i="68"/>
  <c r="BA37" i="68"/>
  <c r="AZ37" i="68"/>
  <c r="AY37" i="68"/>
  <c r="AX37" i="68"/>
  <c r="AW37" i="68"/>
  <c r="AV37" i="68"/>
  <c r="AU37" i="68"/>
  <c r="AT37" i="68"/>
  <c r="AS37" i="68"/>
  <c r="AR37" i="68"/>
  <c r="AQ37" i="68"/>
  <c r="AP37" i="68"/>
  <c r="AO37" i="68"/>
  <c r="AN37" i="68"/>
  <c r="AM37" i="68"/>
  <c r="AL37" i="68"/>
  <c r="AK37" i="68"/>
  <c r="AJ37" i="68"/>
  <c r="AI37" i="68"/>
  <c r="AH37" i="68"/>
  <c r="AG37" i="68"/>
  <c r="AF37" i="68"/>
  <c r="AE37" i="68"/>
  <c r="AD37" i="68"/>
  <c r="AC37" i="68"/>
  <c r="AB37" i="68"/>
  <c r="AA37" i="68"/>
  <c r="Z37" i="68"/>
  <c r="Y37" i="68"/>
  <c r="X37" i="68"/>
  <c r="W37" i="68"/>
  <c r="V37" i="68"/>
  <c r="U37" i="68"/>
  <c r="T37" i="68"/>
  <c r="S37" i="68"/>
  <c r="R37" i="68"/>
  <c r="Q37" i="68"/>
  <c r="P37" i="68"/>
  <c r="O37" i="68"/>
  <c r="N37" i="68"/>
  <c r="M37" i="68"/>
  <c r="L37" i="68"/>
  <c r="K37" i="68"/>
  <c r="J37" i="68"/>
  <c r="I37" i="68"/>
  <c r="H37" i="68"/>
  <c r="G37" i="68"/>
  <c r="F37" i="68"/>
  <c r="E37" i="68"/>
  <c r="BD36" i="68"/>
  <c r="BC36" i="68"/>
  <c r="BB36" i="68"/>
  <c r="BA36" i="68"/>
  <c r="AZ36" i="68"/>
  <c r="AY36" i="68"/>
  <c r="AX36" i="68"/>
  <c r="AW36" i="68"/>
  <c r="AV36" i="68"/>
  <c r="AU36" i="68"/>
  <c r="AT36" i="68"/>
  <c r="AS36" i="68"/>
  <c r="AR36" i="68"/>
  <c r="AQ36" i="68"/>
  <c r="AP36" i="68"/>
  <c r="AO36" i="68"/>
  <c r="AN36" i="68"/>
  <c r="AM36" i="68"/>
  <c r="AL36" i="68"/>
  <c r="AK36" i="68"/>
  <c r="AJ36" i="68"/>
  <c r="AI36" i="68"/>
  <c r="AH36" i="68"/>
  <c r="AG36" i="68"/>
  <c r="AF36" i="68"/>
  <c r="AE36" i="68"/>
  <c r="AD36" i="68"/>
  <c r="AC36" i="68"/>
  <c r="AB36" i="68"/>
  <c r="AA36" i="68"/>
  <c r="Z36" i="68"/>
  <c r="Y36" i="68"/>
  <c r="X36" i="68"/>
  <c r="W36" i="68"/>
  <c r="V36" i="68"/>
  <c r="U36" i="68"/>
  <c r="T36" i="68"/>
  <c r="S36" i="68"/>
  <c r="R36" i="68"/>
  <c r="Q36" i="68"/>
  <c r="P36" i="68"/>
  <c r="O36" i="68"/>
  <c r="N36" i="68"/>
  <c r="M36" i="68"/>
  <c r="L36" i="68"/>
  <c r="K36" i="68"/>
  <c r="J36" i="68"/>
  <c r="I36" i="68"/>
  <c r="H36" i="68"/>
  <c r="G36" i="68"/>
  <c r="F36" i="68"/>
  <c r="E36" i="68"/>
  <c r="BD27" i="68"/>
  <c r="BC27" i="68"/>
  <c r="BB27" i="68"/>
  <c r="BA27" i="68"/>
  <c r="AZ27" i="68"/>
  <c r="AY27" i="68"/>
  <c r="AX27" i="68"/>
  <c r="AW27" i="68"/>
  <c r="AV27" i="68"/>
  <c r="AU27" i="68"/>
  <c r="AT27" i="68"/>
  <c r="AS27" i="68"/>
  <c r="AR27" i="68"/>
  <c r="AQ27" i="68"/>
  <c r="AP27" i="68"/>
  <c r="AO27" i="68"/>
  <c r="AN27" i="68"/>
  <c r="AM27" i="68"/>
  <c r="AL27" i="68"/>
  <c r="AK27" i="68"/>
  <c r="AJ27" i="68"/>
  <c r="AI27" i="68"/>
  <c r="AH27" i="68"/>
  <c r="AG27" i="68"/>
  <c r="AF27" i="68"/>
  <c r="AE27" i="68"/>
  <c r="AD27" i="68"/>
  <c r="AC27" i="68"/>
  <c r="AB27" i="68"/>
  <c r="AA27" i="68"/>
  <c r="Z27" i="68"/>
  <c r="Y27" i="68"/>
  <c r="X27" i="68"/>
  <c r="W27" i="68"/>
  <c r="U27" i="68"/>
  <c r="T27" i="68"/>
  <c r="S27" i="68"/>
  <c r="R27" i="68"/>
  <c r="Q27" i="68"/>
  <c r="P27" i="68"/>
  <c r="O27" i="68"/>
  <c r="N27" i="68"/>
  <c r="M27" i="68"/>
  <c r="L27" i="68"/>
  <c r="K27" i="68"/>
  <c r="J27" i="68"/>
  <c r="I27" i="68"/>
  <c r="H27" i="68"/>
  <c r="G27" i="68"/>
  <c r="F27" i="68"/>
  <c r="E27" i="68"/>
  <c r="BD26" i="68"/>
  <c r="BC26" i="68"/>
  <c r="BB26" i="68"/>
  <c r="BA26" i="68"/>
  <c r="AZ26" i="68"/>
  <c r="AY26" i="68"/>
  <c r="AX26" i="68"/>
  <c r="AW26" i="68"/>
  <c r="AV26" i="68"/>
  <c r="AU26" i="68"/>
  <c r="AT26" i="68"/>
  <c r="AS26" i="68"/>
  <c r="AR26" i="68"/>
  <c r="AQ26" i="68"/>
  <c r="AP26" i="68"/>
  <c r="AO26" i="68"/>
  <c r="AN26" i="68"/>
  <c r="AM26" i="68"/>
  <c r="AL26" i="68"/>
  <c r="AK26" i="68"/>
  <c r="AJ26" i="68"/>
  <c r="AI26" i="68"/>
  <c r="AH26" i="68"/>
  <c r="AG26" i="68"/>
  <c r="AF26" i="68"/>
  <c r="AE26" i="68"/>
  <c r="AD26" i="68"/>
  <c r="AC26" i="68"/>
  <c r="AB26" i="68"/>
  <c r="AA26" i="68"/>
  <c r="Z26" i="68"/>
  <c r="Y26" i="68"/>
  <c r="X26" i="68"/>
  <c r="W26" i="68"/>
  <c r="V26" i="68"/>
  <c r="U26" i="68"/>
  <c r="T26" i="68"/>
  <c r="S26" i="68"/>
  <c r="R26" i="68"/>
  <c r="Q26" i="68"/>
  <c r="P26" i="68"/>
  <c r="O26" i="68"/>
  <c r="N26" i="68"/>
  <c r="M26" i="68"/>
  <c r="L26" i="68"/>
  <c r="K26" i="68"/>
  <c r="J26" i="68"/>
  <c r="I26" i="68"/>
  <c r="H26" i="68"/>
  <c r="G26" i="68"/>
  <c r="F26" i="68"/>
  <c r="E26" i="68"/>
  <c r="BD24" i="68"/>
  <c r="BC24" i="68"/>
  <c r="BB24" i="68"/>
  <c r="BA24" i="68"/>
  <c r="AZ24" i="68"/>
  <c r="AY24" i="68"/>
  <c r="AX24" i="68"/>
  <c r="AW24" i="68"/>
  <c r="AV24" i="68"/>
  <c r="AU24" i="68"/>
  <c r="AT24" i="68"/>
  <c r="AS24" i="68"/>
  <c r="AR24" i="68"/>
  <c r="AQ24" i="68"/>
  <c r="AP24" i="68"/>
  <c r="AO24" i="68"/>
  <c r="AN24" i="68"/>
  <c r="AM24" i="68"/>
  <c r="AL24" i="68"/>
  <c r="AK24" i="68"/>
  <c r="AJ24" i="68"/>
  <c r="AI24" i="68"/>
  <c r="AH24" i="68"/>
  <c r="AG24" i="68"/>
  <c r="AF24" i="68"/>
  <c r="AE24" i="68"/>
  <c r="AD24" i="68"/>
  <c r="AC24" i="68"/>
  <c r="AB24" i="68"/>
  <c r="AA24" i="68"/>
  <c r="Z24" i="68"/>
  <c r="Y24" i="68"/>
  <c r="X24" i="68"/>
  <c r="W24" i="68"/>
  <c r="V24" i="68"/>
  <c r="U24" i="68"/>
  <c r="T24" i="68"/>
  <c r="S24" i="68"/>
  <c r="R24" i="68"/>
  <c r="Q24" i="68"/>
  <c r="P24" i="68"/>
  <c r="O24" i="68"/>
  <c r="N24" i="68"/>
  <c r="M24" i="68"/>
  <c r="L24" i="68"/>
  <c r="K24" i="68"/>
  <c r="J24" i="68"/>
  <c r="I24" i="68"/>
  <c r="H24" i="68"/>
  <c r="G24" i="68"/>
  <c r="F24" i="68"/>
  <c r="E24" i="68"/>
  <c r="BD23" i="68"/>
  <c r="BC23" i="68"/>
  <c r="BB23" i="68"/>
  <c r="BA23" i="68"/>
  <c r="AZ23" i="68"/>
  <c r="AY23" i="68"/>
  <c r="AX23" i="68"/>
  <c r="AW23" i="68"/>
  <c r="AV23" i="68"/>
  <c r="AU23" i="68"/>
  <c r="AT23" i="68"/>
  <c r="AS23" i="68"/>
  <c r="AR23" i="68"/>
  <c r="AQ23" i="68"/>
  <c r="AP23" i="68"/>
  <c r="AO23" i="68"/>
  <c r="AN23" i="68"/>
  <c r="AM23" i="68"/>
  <c r="AL23" i="68"/>
  <c r="AK23" i="68"/>
  <c r="AJ23" i="68"/>
  <c r="AI23" i="68"/>
  <c r="AH23" i="68"/>
  <c r="AG23" i="68"/>
  <c r="AF23" i="68"/>
  <c r="AE23" i="68"/>
  <c r="AD23" i="68"/>
  <c r="AC23" i="68"/>
  <c r="AB23" i="68"/>
  <c r="AA23" i="68"/>
  <c r="Z23" i="68"/>
  <c r="Y23" i="68"/>
  <c r="X23" i="68"/>
  <c r="W23" i="68"/>
  <c r="V23" i="68"/>
  <c r="U23" i="68"/>
  <c r="T23" i="68"/>
  <c r="S23" i="68"/>
  <c r="R23" i="68"/>
  <c r="Q23" i="68"/>
  <c r="P23" i="68"/>
  <c r="O23" i="68"/>
  <c r="N23" i="68"/>
  <c r="M23" i="68"/>
  <c r="L23" i="68"/>
  <c r="K23" i="68"/>
  <c r="J23" i="68"/>
  <c r="I23" i="68"/>
  <c r="H23" i="68"/>
  <c r="G23" i="68"/>
  <c r="F23" i="68"/>
  <c r="E23" i="68"/>
  <c r="BD22" i="68"/>
  <c r="BC22" i="68"/>
  <c r="BB22" i="68"/>
  <c r="BA22" i="68"/>
  <c r="AZ22" i="68"/>
  <c r="AY22" i="68"/>
  <c r="AX22" i="68"/>
  <c r="AW22" i="68"/>
  <c r="AV22" i="68"/>
  <c r="AU22" i="68"/>
  <c r="AT22" i="68"/>
  <c r="AS22" i="68"/>
  <c r="AR22" i="68"/>
  <c r="AQ22" i="68"/>
  <c r="AP22" i="68"/>
  <c r="AO22" i="68"/>
  <c r="AN22" i="68"/>
  <c r="AM22" i="68"/>
  <c r="AL22" i="68"/>
  <c r="AK22" i="68"/>
  <c r="AJ22" i="68"/>
  <c r="AI22" i="68"/>
  <c r="AH22" i="68"/>
  <c r="AG22" i="68"/>
  <c r="AF22" i="68"/>
  <c r="AE22" i="68"/>
  <c r="AD22" i="68"/>
  <c r="AC22" i="68"/>
  <c r="AB22" i="68"/>
  <c r="AA22" i="68"/>
  <c r="Z22" i="68"/>
  <c r="Y22" i="68"/>
  <c r="X22" i="68"/>
  <c r="W22" i="68"/>
  <c r="V22" i="68"/>
  <c r="U22" i="68"/>
  <c r="T22" i="68"/>
  <c r="S22" i="68"/>
  <c r="R22" i="68"/>
  <c r="Q22" i="68"/>
  <c r="P22" i="68"/>
  <c r="O22" i="68"/>
  <c r="N22" i="68"/>
  <c r="M22" i="68"/>
  <c r="L22" i="68"/>
  <c r="K22" i="68"/>
  <c r="J22" i="68"/>
  <c r="I22" i="68"/>
  <c r="H22" i="68"/>
  <c r="G22" i="68"/>
  <c r="F22" i="68"/>
  <c r="E22" i="68"/>
  <c r="BD21" i="68"/>
  <c r="BC21" i="68"/>
  <c r="BB21" i="68"/>
  <c r="BA21" i="68"/>
  <c r="AZ21" i="68"/>
  <c r="AY21" i="68"/>
  <c r="AX21" i="68"/>
  <c r="AW21" i="68"/>
  <c r="AV21" i="68"/>
  <c r="AU21" i="68"/>
  <c r="AT21" i="68"/>
  <c r="AS21" i="68"/>
  <c r="AR21" i="68"/>
  <c r="AQ21" i="68"/>
  <c r="AP21" i="68"/>
  <c r="AO21" i="68"/>
  <c r="AN21" i="68"/>
  <c r="AM21" i="68"/>
  <c r="AL21" i="68"/>
  <c r="AK21" i="68"/>
  <c r="AJ21" i="68"/>
  <c r="AI21" i="68"/>
  <c r="AH21" i="68"/>
  <c r="AG21" i="68"/>
  <c r="AF21" i="68"/>
  <c r="AE21" i="68"/>
  <c r="AD21" i="68"/>
  <c r="AC21" i="68"/>
  <c r="AB21" i="68"/>
  <c r="AA21" i="68"/>
  <c r="Z21" i="68"/>
  <c r="Y21" i="68"/>
  <c r="X21" i="68"/>
  <c r="W21" i="68"/>
  <c r="V21" i="68"/>
  <c r="U21" i="68"/>
  <c r="T21" i="68"/>
  <c r="S21" i="68"/>
  <c r="R21" i="68"/>
  <c r="Q21" i="68"/>
  <c r="P21" i="68"/>
  <c r="O21" i="68"/>
  <c r="N21" i="68"/>
  <c r="M21" i="68"/>
  <c r="L21" i="68"/>
  <c r="K21" i="68"/>
  <c r="J21" i="68"/>
  <c r="I21" i="68"/>
  <c r="H21" i="68"/>
  <c r="G21" i="68"/>
  <c r="F21" i="68"/>
  <c r="E21" i="68"/>
  <c r="BD20" i="68"/>
  <c r="BC20" i="68"/>
  <c r="BB20" i="68"/>
  <c r="BA20" i="68"/>
  <c r="AZ20" i="68"/>
  <c r="AY20" i="68"/>
  <c r="AX20" i="68"/>
  <c r="AW20" i="68"/>
  <c r="AV20" i="68"/>
  <c r="AU20" i="68"/>
  <c r="AT20" i="68"/>
  <c r="AS20" i="68"/>
  <c r="AR20" i="68"/>
  <c r="AQ20" i="68"/>
  <c r="AP20" i="68"/>
  <c r="AO20" i="68"/>
  <c r="AN20" i="68"/>
  <c r="AM20" i="68"/>
  <c r="AL20" i="68"/>
  <c r="AK20" i="68"/>
  <c r="AJ20" i="68"/>
  <c r="AI20" i="68"/>
  <c r="AH20" i="68"/>
  <c r="AG20" i="68"/>
  <c r="AF20" i="68"/>
  <c r="AE20" i="68"/>
  <c r="AD20" i="68"/>
  <c r="AC20" i="68"/>
  <c r="AB20" i="68"/>
  <c r="AA20" i="68"/>
  <c r="Z20" i="68"/>
  <c r="Y20" i="68"/>
  <c r="X20" i="68"/>
  <c r="W20" i="68"/>
  <c r="V20" i="68"/>
  <c r="U20" i="68"/>
  <c r="T20" i="68"/>
  <c r="S20" i="68"/>
  <c r="R20" i="68"/>
  <c r="Q20" i="68"/>
  <c r="P20" i="68"/>
  <c r="O20" i="68"/>
  <c r="N20" i="68"/>
  <c r="M20" i="68"/>
  <c r="L20" i="68"/>
  <c r="K20" i="68"/>
  <c r="J20" i="68"/>
  <c r="I20" i="68"/>
  <c r="H20" i="68"/>
  <c r="G20" i="68"/>
  <c r="F20" i="68"/>
  <c r="E20" i="68"/>
  <c r="BD19" i="68"/>
  <c r="BC19" i="68"/>
  <c r="BB19" i="68"/>
  <c r="BA19" i="68"/>
  <c r="AZ19" i="68"/>
  <c r="AY19" i="68"/>
  <c r="AX19" i="68"/>
  <c r="AW19" i="68"/>
  <c r="AV19" i="68"/>
  <c r="AU19" i="68"/>
  <c r="AT19" i="68"/>
  <c r="AS19" i="68"/>
  <c r="AR19" i="68"/>
  <c r="AQ19" i="68"/>
  <c r="AP19" i="68"/>
  <c r="AO19" i="68"/>
  <c r="AN19" i="68"/>
  <c r="AM19" i="68"/>
  <c r="AL19" i="68"/>
  <c r="AK19" i="68"/>
  <c r="AJ19" i="68"/>
  <c r="AI19" i="68"/>
  <c r="AH19" i="68"/>
  <c r="AG19" i="68"/>
  <c r="AF19" i="68"/>
  <c r="AE19" i="68"/>
  <c r="AD19" i="68"/>
  <c r="AC19" i="68"/>
  <c r="AB19" i="68"/>
  <c r="AA19" i="68"/>
  <c r="Z19" i="68"/>
  <c r="Y19" i="68"/>
  <c r="X19" i="68"/>
  <c r="W19" i="68"/>
  <c r="V19" i="68"/>
  <c r="U19" i="68"/>
  <c r="T19" i="68"/>
  <c r="S19" i="68"/>
  <c r="R19" i="68"/>
  <c r="Q19" i="68"/>
  <c r="P19" i="68"/>
  <c r="O19" i="68"/>
  <c r="N19" i="68"/>
  <c r="M19" i="68"/>
  <c r="L19" i="68"/>
  <c r="K19" i="68"/>
  <c r="J19" i="68"/>
  <c r="I19" i="68"/>
  <c r="H19" i="68"/>
  <c r="G19" i="68"/>
  <c r="F19" i="68"/>
  <c r="E19" i="68"/>
  <c r="BD18" i="68"/>
  <c r="BC18" i="68"/>
  <c r="BB18" i="68"/>
  <c r="BA18" i="68"/>
  <c r="AZ18" i="68"/>
  <c r="AY18" i="68"/>
  <c r="AX18" i="68"/>
  <c r="AW18" i="68"/>
  <c r="AV18" i="68"/>
  <c r="AU18" i="68"/>
  <c r="AT18" i="68"/>
  <c r="AS18" i="68"/>
  <c r="AR18" i="68"/>
  <c r="AQ18" i="68"/>
  <c r="AQ136" i="68" s="1"/>
  <c r="AP18" i="68"/>
  <c r="AP25" i="68" s="1"/>
  <c r="AP28" i="68" s="1"/>
  <c r="AO18" i="68"/>
  <c r="AN18" i="68"/>
  <c r="AM18" i="68"/>
  <c r="AL18" i="68"/>
  <c r="AK18" i="68"/>
  <c r="AJ18" i="68"/>
  <c r="AI18" i="68"/>
  <c r="AH18" i="68"/>
  <c r="AG18" i="68"/>
  <c r="AF18" i="68"/>
  <c r="AE18" i="68"/>
  <c r="AD18" i="68"/>
  <c r="AC18" i="68"/>
  <c r="AB18" i="68"/>
  <c r="AA18" i="68"/>
  <c r="Z18" i="68"/>
  <c r="Z25" i="68" s="1"/>
  <c r="Z28" i="68" s="1"/>
  <c r="Y18" i="68"/>
  <c r="X18" i="68"/>
  <c r="W18" i="68"/>
  <c r="V18" i="68"/>
  <c r="U18" i="68"/>
  <c r="T18" i="68"/>
  <c r="S18" i="68"/>
  <c r="R18" i="68"/>
  <c r="R25" i="68" s="1"/>
  <c r="R28" i="68" s="1"/>
  <c r="Q18" i="68"/>
  <c r="P18" i="68"/>
  <c r="O18" i="68"/>
  <c r="N18" i="68"/>
  <c r="M18" i="68"/>
  <c r="L18" i="68"/>
  <c r="K18" i="68"/>
  <c r="J18" i="68"/>
  <c r="J25" i="68" s="1"/>
  <c r="J28" i="68" s="1"/>
  <c r="I18" i="68"/>
  <c r="H18" i="68"/>
  <c r="G18" i="68"/>
  <c r="F18" i="68"/>
  <c r="BD16" i="68"/>
  <c r="BC16" i="68"/>
  <c r="BB16" i="68"/>
  <c r="BA16" i="68"/>
  <c r="AZ16" i="68"/>
  <c r="AY16" i="68"/>
  <c r="AX16" i="68"/>
  <c r="AW16" i="68"/>
  <c r="AV16" i="68"/>
  <c r="AU16" i="68"/>
  <c r="AT16" i="68"/>
  <c r="AS16" i="68"/>
  <c r="AR16" i="68"/>
  <c r="AQ16" i="68"/>
  <c r="AP16" i="68"/>
  <c r="AO16" i="68"/>
  <c r="AN16" i="68"/>
  <c r="AM16" i="68"/>
  <c r="AL16" i="68"/>
  <c r="AK16" i="68"/>
  <c r="AJ16" i="68"/>
  <c r="AI16" i="68"/>
  <c r="AH16" i="68"/>
  <c r="AG16" i="68"/>
  <c r="AF16" i="68"/>
  <c r="AE16" i="68"/>
  <c r="AD16" i="68"/>
  <c r="AC16" i="68"/>
  <c r="AB16" i="68"/>
  <c r="AA16" i="68"/>
  <c r="Z16" i="68"/>
  <c r="Y16" i="68"/>
  <c r="X16" i="68"/>
  <c r="W16" i="68"/>
  <c r="V16" i="68"/>
  <c r="U16" i="68"/>
  <c r="T16" i="68"/>
  <c r="S16" i="68"/>
  <c r="R16" i="68"/>
  <c r="Q16" i="68"/>
  <c r="P16" i="68"/>
  <c r="O16" i="68"/>
  <c r="N16" i="68"/>
  <c r="M16" i="68"/>
  <c r="L16" i="68"/>
  <c r="K16" i="68"/>
  <c r="J16" i="68"/>
  <c r="I16" i="68"/>
  <c r="H16" i="68"/>
  <c r="G16" i="68"/>
  <c r="F16" i="68"/>
  <c r="E16" i="68"/>
  <c r="BD15" i="68"/>
  <c r="BC15" i="68"/>
  <c r="BB15" i="68"/>
  <c r="BA15" i="68"/>
  <c r="AZ15" i="68"/>
  <c r="AY15" i="68"/>
  <c r="AX15" i="68"/>
  <c r="AW15" i="68"/>
  <c r="AV15" i="68"/>
  <c r="AU15" i="68"/>
  <c r="AT15" i="68"/>
  <c r="AS15" i="68"/>
  <c r="AR15" i="68"/>
  <c r="AQ15" i="68"/>
  <c r="AP15" i="68"/>
  <c r="AO15" i="68"/>
  <c r="AN15" i="68"/>
  <c r="AM15" i="68"/>
  <c r="AL15" i="68"/>
  <c r="AK15" i="68"/>
  <c r="AJ15" i="68"/>
  <c r="AI15" i="68"/>
  <c r="AH15" i="68"/>
  <c r="AG15" i="68"/>
  <c r="AF15" i="68"/>
  <c r="AE15" i="68"/>
  <c r="AD15" i="68"/>
  <c r="AC15" i="68"/>
  <c r="AB15" i="68"/>
  <c r="AA15" i="68"/>
  <c r="Z15" i="68"/>
  <c r="Y15" i="68"/>
  <c r="X15" i="68"/>
  <c r="W15" i="68"/>
  <c r="V15" i="68"/>
  <c r="U15" i="68"/>
  <c r="T15" i="68"/>
  <c r="S15" i="68"/>
  <c r="R15" i="68"/>
  <c r="Q15" i="68"/>
  <c r="P15" i="68"/>
  <c r="O15" i="68"/>
  <c r="N15" i="68"/>
  <c r="M15" i="68"/>
  <c r="L15" i="68"/>
  <c r="K15" i="68"/>
  <c r="J15" i="68"/>
  <c r="I15" i="68"/>
  <c r="H15" i="68"/>
  <c r="G15" i="68"/>
  <c r="F15" i="68"/>
  <c r="E15" i="68"/>
  <c r="BD14" i="68"/>
  <c r="BC14" i="68"/>
  <c r="BB14" i="68"/>
  <c r="BA14" i="68"/>
  <c r="AZ14" i="68"/>
  <c r="AY14" i="68"/>
  <c r="AX14" i="68"/>
  <c r="AW14" i="68"/>
  <c r="AV14" i="68"/>
  <c r="AU14" i="68"/>
  <c r="AT14" i="68"/>
  <c r="AS14" i="68"/>
  <c r="AR14" i="68"/>
  <c r="AQ14" i="68"/>
  <c r="AP14" i="68"/>
  <c r="AO14" i="68"/>
  <c r="AN14" i="68"/>
  <c r="AM14" i="68"/>
  <c r="AL14" i="68"/>
  <c r="AK14" i="68"/>
  <c r="AJ14" i="68"/>
  <c r="AI14" i="68"/>
  <c r="AH14" i="68"/>
  <c r="AG14" i="68"/>
  <c r="AF14" i="68"/>
  <c r="AE14" i="68"/>
  <c r="AD14" i="68"/>
  <c r="AC14" i="68"/>
  <c r="AB14" i="68"/>
  <c r="AA14" i="68"/>
  <c r="Z14" i="68"/>
  <c r="Y14" i="68"/>
  <c r="X14" i="68"/>
  <c r="W14" i="68"/>
  <c r="V14" i="68"/>
  <c r="U14" i="68"/>
  <c r="T14" i="68"/>
  <c r="S14" i="68"/>
  <c r="R14" i="68"/>
  <c r="Q14" i="68"/>
  <c r="P14" i="68"/>
  <c r="O14" i="68"/>
  <c r="N14" i="68"/>
  <c r="M14" i="68"/>
  <c r="L14" i="68"/>
  <c r="K14" i="68"/>
  <c r="J14" i="68"/>
  <c r="I14" i="68"/>
  <c r="H14" i="68"/>
  <c r="G14" i="68"/>
  <c r="F14" i="68"/>
  <c r="E14" i="68"/>
  <c r="BD13" i="68"/>
  <c r="BC13" i="68"/>
  <c r="BB13" i="68"/>
  <c r="BA13" i="68"/>
  <c r="AZ13" i="68"/>
  <c r="AY13" i="68"/>
  <c r="AX13" i="68"/>
  <c r="AW13" i="68"/>
  <c r="AV13" i="68"/>
  <c r="AU13" i="68"/>
  <c r="AT13" i="68"/>
  <c r="AS13" i="68"/>
  <c r="AR13" i="68"/>
  <c r="AQ13" i="68"/>
  <c r="AP13" i="68"/>
  <c r="AO13" i="68"/>
  <c r="AN13" i="68"/>
  <c r="AM13" i="68"/>
  <c r="AL13" i="68"/>
  <c r="AK13" i="68"/>
  <c r="AJ13" i="68"/>
  <c r="AI13" i="68"/>
  <c r="AH13" i="68"/>
  <c r="AG13" i="68"/>
  <c r="AF13" i="68"/>
  <c r="AE13" i="68"/>
  <c r="AD13" i="68"/>
  <c r="AC13" i="68"/>
  <c r="AB13" i="68"/>
  <c r="AA13" i="68"/>
  <c r="Z13" i="68"/>
  <c r="Y13" i="68"/>
  <c r="X13" i="68"/>
  <c r="W13" i="68"/>
  <c r="V13" i="68"/>
  <c r="U13" i="68"/>
  <c r="T13" i="68"/>
  <c r="S13" i="68"/>
  <c r="R13" i="68"/>
  <c r="Q13" i="68"/>
  <c r="P13" i="68"/>
  <c r="O13" i="68"/>
  <c r="N13" i="68"/>
  <c r="M13" i="68"/>
  <c r="L13" i="68"/>
  <c r="K13" i="68"/>
  <c r="J13" i="68"/>
  <c r="I13" i="68"/>
  <c r="H13" i="68"/>
  <c r="G13" i="68"/>
  <c r="F13" i="68"/>
  <c r="E13" i="68"/>
  <c r="BD12" i="68"/>
  <c r="BC12" i="68"/>
  <c r="BB12" i="68"/>
  <c r="BA12" i="68"/>
  <c r="AZ12" i="68"/>
  <c r="AY12" i="68"/>
  <c r="AX12" i="68"/>
  <c r="AW12" i="68"/>
  <c r="AV12" i="68"/>
  <c r="AU12" i="68"/>
  <c r="AT12" i="68"/>
  <c r="AS12" i="68"/>
  <c r="AR12" i="68"/>
  <c r="AQ12" i="68"/>
  <c r="AP12" i="68"/>
  <c r="AO12" i="68"/>
  <c r="AN12" i="68"/>
  <c r="AM12" i="68"/>
  <c r="AL12" i="68"/>
  <c r="AK12" i="68"/>
  <c r="AJ12" i="68"/>
  <c r="AI12" i="68"/>
  <c r="AH12" i="68"/>
  <c r="AG12" i="68"/>
  <c r="AF12" i="68"/>
  <c r="AE12" i="68"/>
  <c r="AD12" i="68"/>
  <c r="AC12" i="68"/>
  <c r="AB12" i="68"/>
  <c r="AA12" i="68"/>
  <c r="Z12" i="68"/>
  <c r="Y12" i="68"/>
  <c r="X12" i="68"/>
  <c r="W12" i="68"/>
  <c r="V12" i="68"/>
  <c r="U12" i="68"/>
  <c r="T12" i="68"/>
  <c r="S12" i="68"/>
  <c r="R12" i="68"/>
  <c r="Q12" i="68"/>
  <c r="P12" i="68"/>
  <c r="O12" i="68"/>
  <c r="N12" i="68"/>
  <c r="M12" i="68"/>
  <c r="L12" i="68"/>
  <c r="K12" i="68"/>
  <c r="J12" i="68"/>
  <c r="I12" i="68"/>
  <c r="H12" i="68"/>
  <c r="G12" i="68"/>
  <c r="F12" i="68"/>
  <c r="E12" i="68"/>
  <c r="BD11" i="68"/>
  <c r="BC11" i="68"/>
  <c r="BB11" i="68"/>
  <c r="BA11" i="68"/>
  <c r="AZ11" i="68"/>
  <c r="AY11" i="68"/>
  <c r="AX11" i="68"/>
  <c r="AW11" i="68"/>
  <c r="AV11" i="68"/>
  <c r="AU11" i="68"/>
  <c r="AT11" i="68"/>
  <c r="AS11" i="68"/>
  <c r="AR11" i="68"/>
  <c r="AQ11" i="68"/>
  <c r="AP11" i="68"/>
  <c r="AO11" i="68"/>
  <c r="AN11" i="68"/>
  <c r="AM11" i="68"/>
  <c r="AL11" i="68"/>
  <c r="AK11" i="68"/>
  <c r="AJ11" i="68"/>
  <c r="AI11" i="68"/>
  <c r="AH11" i="68"/>
  <c r="AG11" i="68"/>
  <c r="AF11" i="68"/>
  <c r="AE11" i="68"/>
  <c r="AD11" i="68"/>
  <c r="AC11" i="68"/>
  <c r="AB11" i="68"/>
  <c r="AA11" i="68"/>
  <c r="Z11" i="68"/>
  <c r="Y11" i="68"/>
  <c r="X11" i="68"/>
  <c r="W11" i="68"/>
  <c r="V11" i="68"/>
  <c r="U11" i="68"/>
  <c r="T11" i="68"/>
  <c r="S11" i="68"/>
  <c r="R11" i="68"/>
  <c r="Q11" i="68"/>
  <c r="P11" i="68"/>
  <c r="O11" i="68"/>
  <c r="N11" i="68"/>
  <c r="M11" i="68"/>
  <c r="L11" i="68"/>
  <c r="K11" i="68"/>
  <c r="J11" i="68"/>
  <c r="I11" i="68"/>
  <c r="H11" i="68"/>
  <c r="G11" i="68"/>
  <c r="F11" i="68"/>
  <c r="E11" i="68"/>
  <c r="BD10" i="68"/>
  <c r="BD33" i="68" s="1"/>
  <c r="BC10" i="68"/>
  <c r="BB10" i="68"/>
  <c r="BA10" i="68"/>
  <c r="AZ10" i="68"/>
  <c r="AY10" i="68"/>
  <c r="AX10" i="68"/>
  <c r="AW10" i="68"/>
  <c r="AV10" i="68"/>
  <c r="AV33" i="68" s="1"/>
  <c r="AU10" i="68"/>
  <c r="AT10" i="68"/>
  <c r="AS10" i="68"/>
  <c r="AR10" i="68"/>
  <c r="AQ10" i="68"/>
  <c r="AP10" i="68"/>
  <c r="AO10" i="68"/>
  <c r="AN10" i="68"/>
  <c r="AN33" i="68" s="1"/>
  <c r="AM10" i="68"/>
  <c r="AL10" i="68"/>
  <c r="AK10" i="68"/>
  <c r="AJ10" i="68"/>
  <c r="AI10" i="68"/>
  <c r="AH10" i="68"/>
  <c r="AG10" i="68"/>
  <c r="AF10" i="68"/>
  <c r="AF33" i="68" s="1"/>
  <c r="AE10" i="68"/>
  <c r="AD10" i="68"/>
  <c r="AC10" i="68"/>
  <c r="AB10" i="68"/>
  <c r="AA10" i="68"/>
  <c r="Z10" i="68"/>
  <c r="Y10" i="68"/>
  <c r="X10" i="68"/>
  <c r="X33" i="68" s="1"/>
  <c r="W10" i="68"/>
  <c r="V10" i="68"/>
  <c r="U10" i="68"/>
  <c r="T10" i="68"/>
  <c r="S10" i="68"/>
  <c r="R10" i="68"/>
  <c r="Q10" i="68"/>
  <c r="P10" i="68"/>
  <c r="P33" i="68" s="1"/>
  <c r="O10" i="68"/>
  <c r="N10" i="68"/>
  <c r="M10" i="68"/>
  <c r="L10" i="68"/>
  <c r="K10" i="68"/>
  <c r="J10" i="68"/>
  <c r="I10" i="68"/>
  <c r="H10" i="68"/>
  <c r="H33" i="68" s="1"/>
  <c r="G10" i="68"/>
  <c r="F10" i="68"/>
  <c r="E10" i="68"/>
  <c r="E144" i="68"/>
  <c r="E18" i="68"/>
  <c r="BD6" i="70"/>
  <c r="BC6" i="70"/>
  <c r="BB6" i="70"/>
  <c r="BA6" i="70"/>
  <c r="AZ6" i="70"/>
  <c r="AY6" i="70"/>
  <c r="AX6" i="70"/>
  <c r="AW6" i="70"/>
  <c r="AV6" i="70"/>
  <c r="AU6" i="70"/>
  <c r="AT6" i="70"/>
  <c r="AS6" i="70"/>
  <c r="AR6" i="70"/>
  <c r="AQ6" i="70"/>
  <c r="AP6" i="70"/>
  <c r="AO6" i="70"/>
  <c r="AN6" i="70"/>
  <c r="AM6" i="70"/>
  <c r="AL6" i="70"/>
  <c r="AK6" i="70"/>
  <c r="AJ6" i="70"/>
  <c r="AI6" i="70"/>
  <c r="AH6" i="70"/>
  <c r="AG6" i="70"/>
  <c r="AF6" i="70"/>
  <c r="AE6" i="70"/>
  <c r="AD6" i="70"/>
  <c r="AC6" i="70"/>
  <c r="AB6" i="70"/>
  <c r="AA6" i="70"/>
  <c r="Z6" i="70"/>
  <c r="Y6" i="70"/>
  <c r="X6" i="70"/>
  <c r="W6" i="70"/>
  <c r="V6" i="70"/>
  <c r="U6" i="70"/>
  <c r="T6" i="70"/>
  <c r="S6" i="70"/>
  <c r="R6" i="70"/>
  <c r="Q6" i="70"/>
  <c r="P6" i="70"/>
  <c r="O6" i="70"/>
  <c r="N6" i="70"/>
  <c r="M6" i="70"/>
  <c r="L6" i="70"/>
  <c r="K6" i="70"/>
  <c r="J6" i="70"/>
  <c r="I6" i="70"/>
  <c r="H6" i="70"/>
  <c r="G6" i="70"/>
  <c r="F6" i="70"/>
  <c r="E6" i="70"/>
  <c r="BD5" i="70"/>
  <c r="BC5" i="70"/>
  <c r="BB5" i="70"/>
  <c r="BA5" i="70"/>
  <c r="AZ5" i="70"/>
  <c r="AY5" i="70"/>
  <c r="AX5" i="70"/>
  <c r="AW5" i="70"/>
  <c r="AV5" i="70"/>
  <c r="AU5" i="70"/>
  <c r="AT5" i="70"/>
  <c r="AS5" i="70"/>
  <c r="AR5" i="70"/>
  <c r="AQ5" i="70"/>
  <c r="AP5" i="70"/>
  <c r="AO5" i="70"/>
  <c r="AN5" i="70"/>
  <c r="AM5" i="70"/>
  <c r="AL5" i="70"/>
  <c r="AK5" i="70"/>
  <c r="AJ5" i="70"/>
  <c r="AI5" i="70"/>
  <c r="AH5" i="70"/>
  <c r="AG5" i="70"/>
  <c r="AF5" i="70"/>
  <c r="AE5" i="70"/>
  <c r="AD5" i="70"/>
  <c r="AC5" i="70"/>
  <c r="AB5" i="70"/>
  <c r="AA5" i="70"/>
  <c r="Z5" i="70"/>
  <c r="Y5" i="70"/>
  <c r="X5" i="70"/>
  <c r="W5" i="70"/>
  <c r="V5" i="70"/>
  <c r="U5" i="70"/>
  <c r="T5" i="70"/>
  <c r="S5" i="70"/>
  <c r="R5" i="70"/>
  <c r="Q5" i="70"/>
  <c r="P5" i="70"/>
  <c r="O5" i="70"/>
  <c r="N5" i="70"/>
  <c r="M5" i="70"/>
  <c r="L5" i="70"/>
  <c r="K5" i="70"/>
  <c r="J5" i="70"/>
  <c r="I5" i="70"/>
  <c r="H5" i="70"/>
  <c r="G5" i="70"/>
  <c r="F5" i="70"/>
  <c r="E5" i="70"/>
  <c r="BD4" i="70"/>
  <c r="BC4" i="70"/>
  <c r="BB4" i="70"/>
  <c r="BA4" i="70"/>
  <c r="AZ4" i="70"/>
  <c r="AY4" i="70"/>
  <c r="AX4" i="70"/>
  <c r="AW4" i="70"/>
  <c r="AV4" i="70"/>
  <c r="AU4" i="70"/>
  <c r="AT4" i="70"/>
  <c r="AS4" i="70"/>
  <c r="AR4" i="70"/>
  <c r="AQ4" i="70"/>
  <c r="AP4" i="70"/>
  <c r="AO4" i="70"/>
  <c r="AN4" i="70"/>
  <c r="AM4" i="70"/>
  <c r="AL4" i="70"/>
  <c r="AK4" i="70"/>
  <c r="AJ4" i="70"/>
  <c r="AI4" i="70"/>
  <c r="AH4" i="70"/>
  <c r="AG4" i="70"/>
  <c r="AF4" i="70"/>
  <c r="AE4" i="70"/>
  <c r="AD4" i="70"/>
  <c r="AC4" i="70"/>
  <c r="AB4" i="70"/>
  <c r="AA4" i="70"/>
  <c r="Z4" i="70"/>
  <c r="Y4" i="70"/>
  <c r="X4" i="70"/>
  <c r="W4" i="70"/>
  <c r="V4" i="70"/>
  <c r="U4" i="70"/>
  <c r="T4" i="70"/>
  <c r="S4" i="70"/>
  <c r="R4" i="70"/>
  <c r="Q4" i="70"/>
  <c r="P4" i="70"/>
  <c r="O4" i="70"/>
  <c r="N4" i="70"/>
  <c r="M4" i="70"/>
  <c r="L4" i="70"/>
  <c r="K4" i="70"/>
  <c r="J4" i="70"/>
  <c r="I4" i="70"/>
  <c r="H4" i="70"/>
  <c r="G4" i="70"/>
  <c r="F4" i="70"/>
  <c r="E4" i="70"/>
  <c r="BD3" i="70"/>
  <c r="BC3" i="70"/>
  <c r="BB3" i="70"/>
  <c r="BA3" i="70"/>
  <c r="AZ3" i="70"/>
  <c r="AY3" i="70"/>
  <c r="AX3" i="70"/>
  <c r="AW3" i="70"/>
  <c r="AV3" i="70"/>
  <c r="AU3" i="70"/>
  <c r="AT3" i="70"/>
  <c r="AS3" i="70"/>
  <c r="AR3" i="70"/>
  <c r="AQ3" i="70"/>
  <c r="AP3" i="70"/>
  <c r="AO3" i="70"/>
  <c r="AN3" i="70"/>
  <c r="AM3" i="70"/>
  <c r="AL3" i="70"/>
  <c r="AK3" i="70"/>
  <c r="AJ3" i="70"/>
  <c r="AI3" i="70"/>
  <c r="AH3" i="70"/>
  <c r="AG3" i="70"/>
  <c r="AF3" i="70"/>
  <c r="AE3" i="70"/>
  <c r="AD3" i="70"/>
  <c r="AC3" i="70"/>
  <c r="AB3" i="70"/>
  <c r="AA3" i="70"/>
  <c r="Z3" i="70"/>
  <c r="Y3" i="70"/>
  <c r="X3" i="70"/>
  <c r="W3" i="70"/>
  <c r="V3" i="70"/>
  <c r="U3" i="70"/>
  <c r="T3" i="70"/>
  <c r="S3" i="70"/>
  <c r="R3" i="70"/>
  <c r="Q3" i="70"/>
  <c r="P3" i="70"/>
  <c r="O3" i="70"/>
  <c r="N3" i="70"/>
  <c r="M3" i="70"/>
  <c r="L3" i="70"/>
  <c r="K3" i="70"/>
  <c r="J3" i="70"/>
  <c r="I3" i="70"/>
  <c r="H3" i="70"/>
  <c r="G3" i="70"/>
  <c r="F3" i="70"/>
  <c r="E3" i="70"/>
  <c r="W116" i="68"/>
  <c r="W119" i="68" s="1"/>
  <c r="BB130" i="70"/>
  <c r="AT130" i="70"/>
  <c r="AN130" i="70"/>
  <c r="AL130" i="70"/>
  <c r="AD130" i="70"/>
  <c r="V130" i="70"/>
  <c r="T130" i="70"/>
  <c r="N130" i="70"/>
  <c r="F130" i="70"/>
  <c r="AZ129" i="70"/>
  <c r="AX129" i="70"/>
  <c r="AP129" i="70"/>
  <c r="AH129" i="70"/>
  <c r="Z129" i="70"/>
  <c r="T129" i="70"/>
  <c r="R129" i="70"/>
  <c r="P129" i="70"/>
  <c r="J129" i="70"/>
  <c r="BB128" i="70"/>
  <c r="AT128" i="70"/>
  <c r="AF128" i="70"/>
  <c r="AD128" i="70"/>
  <c r="N128" i="70"/>
  <c r="AX127" i="70"/>
  <c r="AV127" i="70"/>
  <c r="AP127" i="70"/>
  <c r="AH127" i="70"/>
  <c r="Z127" i="70"/>
  <c r="R127" i="70"/>
  <c r="L127" i="70"/>
  <c r="AT126" i="70"/>
  <c r="AJ126" i="70"/>
  <c r="AD126" i="70"/>
  <c r="V126" i="70"/>
  <c r="N126" i="70"/>
  <c r="F126" i="70"/>
  <c r="AX125" i="70"/>
  <c r="AR125" i="70"/>
  <c r="P125" i="70"/>
  <c r="BB124" i="70"/>
  <c r="AT124" i="70"/>
  <c r="AL124" i="70"/>
  <c r="AD124" i="70"/>
  <c r="X124" i="70"/>
  <c r="N124" i="70"/>
  <c r="F124" i="70"/>
  <c r="D119" i="70"/>
  <c r="D118" i="70"/>
  <c r="D117" i="70"/>
  <c r="D116" i="70"/>
  <c r="D115" i="70"/>
  <c r="D114" i="70"/>
  <c r="D113" i="70"/>
  <c r="E111" i="70"/>
  <c r="E74" i="70"/>
  <c r="E94" i="70" s="1"/>
  <c r="E53" i="70"/>
  <c r="E33" i="70"/>
  <c r="F2" i="70"/>
  <c r="AU137" i="68"/>
  <c r="D131" i="68"/>
  <c r="D130" i="68"/>
  <c r="D129" i="68"/>
  <c r="D128" i="68"/>
  <c r="D127" i="68"/>
  <c r="D126" i="68"/>
  <c r="D125" i="68"/>
  <c r="E123" i="68"/>
  <c r="E78" i="68"/>
  <c r="E102" i="68" s="1"/>
  <c r="E56" i="68"/>
  <c r="E35" i="68"/>
  <c r="D16" i="68"/>
  <c r="D15" i="68"/>
  <c r="D14" i="68"/>
  <c r="F2" i="68"/>
  <c r="G2" i="68" s="1"/>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O130" i="69"/>
  <c r="N130" i="69"/>
  <c r="M130" i="69"/>
  <c r="L130" i="69"/>
  <c r="K130" i="69"/>
  <c r="J130" i="69"/>
  <c r="I130" i="69"/>
  <c r="H130" i="69"/>
  <c r="G130" i="69"/>
  <c r="F130" i="69"/>
  <c r="E130" i="69"/>
  <c r="BD129" i="69"/>
  <c r="BC129" i="69"/>
  <c r="BB129" i="69"/>
  <c r="BA129" i="69"/>
  <c r="AZ129" i="69"/>
  <c r="AY129" i="69"/>
  <c r="AX129" i="69"/>
  <c r="AW129" i="69"/>
  <c r="AV129" i="69"/>
  <c r="AU129" i="69"/>
  <c r="AT129" i="69"/>
  <c r="AS129" i="69"/>
  <c r="AR129" i="69"/>
  <c r="AQ129" i="69"/>
  <c r="AP129" i="69"/>
  <c r="AO129" i="69"/>
  <c r="AN129" i="69"/>
  <c r="AM129" i="69"/>
  <c r="AL129" i="69"/>
  <c r="AK129" i="69"/>
  <c r="AJ129" i="69"/>
  <c r="AI129" i="69"/>
  <c r="AH129" i="69"/>
  <c r="AG129" i="69"/>
  <c r="AF129" i="69"/>
  <c r="AE129" i="69"/>
  <c r="AD129" i="69"/>
  <c r="AC129" i="69"/>
  <c r="AB129" i="69"/>
  <c r="AA129" i="69"/>
  <c r="Z129" i="69"/>
  <c r="Y129" i="69"/>
  <c r="X129" i="69"/>
  <c r="W129" i="69"/>
  <c r="V129" i="69"/>
  <c r="U129" i="69"/>
  <c r="T129" i="69"/>
  <c r="S129" i="69"/>
  <c r="R129" i="69"/>
  <c r="Q129" i="69"/>
  <c r="P129" i="69"/>
  <c r="O129" i="69"/>
  <c r="N129" i="69"/>
  <c r="M129" i="69"/>
  <c r="L129" i="69"/>
  <c r="K129" i="69"/>
  <c r="J129" i="69"/>
  <c r="I129" i="69"/>
  <c r="H129" i="69"/>
  <c r="G129" i="69"/>
  <c r="F129" i="69"/>
  <c r="E129" i="69"/>
  <c r="BD128" i="69"/>
  <c r="BC128" i="69"/>
  <c r="BB128" i="69"/>
  <c r="BA128" i="69"/>
  <c r="AZ128" i="69"/>
  <c r="AY128" i="69"/>
  <c r="AX128" i="69"/>
  <c r="AW128" i="69"/>
  <c r="AV128" i="69"/>
  <c r="AU128" i="69"/>
  <c r="AT128" i="69"/>
  <c r="AS128" i="69"/>
  <c r="AR128" i="69"/>
  <c r="AQ128" i="69"/>
  <c r="AP128" i="69"/>
  <c r="AO128" i="69"/>
  <c r="AN128" i="69"/>
  <c r="AM128" i="69"/>
  <c r="AL128" i="69"/>
  <c r="AK128" i="69"/>
  <c r="AJ128" i="69"/>
  <c r="AI128" i="69"/>
  <c r="AH128" i="69"/>
  <c r="AG128" i="69"/>
  <c r="AF128" i="69"/>
  <c r="AE128" i="69"/>
  <c r="AD128" i="69"/>
  <c r="AC128" i="69"/>
  <c r="AB128" i="69"/>
  <c r="AA128" i="69"/>
  <c r="Z128" i="69"/>
  <c r="Y128" i="69"/>
  <c r="X128" i="69"/>
  <c r="W128" i="69"/>
  <c r="V128" i="69"/>
  <c r="U128" i="69"/>
  <c r="T128" i="69"/>
  <c r="S128" i="69"/>
  <c r="R128" i="69"/>
  <c r="Q128" i="69"/>
  <c r="P128" i="69"/>
  <c r="O128" i="69"/>
  <c r="N128" i="69"/>
  <c r="M128" i="69"/>
  <c r="L128" i="69"/>
  <c r="K128" i="69"/>
  <c r="J128" i="69"/>
  <c r="I128" i="69"/>
  <c r="H128" i="69"/>
  <c r="G128" i="69"/>
  <c r="F128" i="69"/>
  <c r="E128" i="69"/>
  <c r="BD127" i="69"/>
  <c r="BC127" i="69"/>
  <c r="BB127" i="69"/>
  <c r="BA127" i="69"/>
  <c r="AZ127" i="69"/>
  <c r="AY127" i="69"/>
  <c r="AX127" i="69"/>
  <c r="AW127" i="69"/>
  <c r="AV127" i="69"/>
  <c r="AU127" i="69"/>
  <c r="AT127" i="69"/>
  <c r="AS127" i="69"/>
  <c r="AR127" i="69"/>
  <c r="AQ127" i="69"/>
  <c r="AP127" i="69"/>
  <c r="AO127" i="69"/>
  <c r="AN127" i="69"/>
  <c r="AM127" i="69"/>
  <c r="AL127" i="69"/>
  <c r="AK127" i="69"/>
  <c r="AJ127" i="69"/>
  <c r="AI127" i="69"/>
  <c r="AH127" i="69"/>
  <c r="AG127" i="69"/>
  <c r="AF127" i="69"/>
  <c r="AE127" i="69"/>
  <c r="AD127" i="69"/>
  <c r="AC127" i="69"/>
  <c r="AB127" i="69"/>
  <c r="AA127" i="69"/>
  <c r="Z127" i="69"/>
  <c r="Y127" i="69"/>
  <c r="X127" i="69"/>
  <c r="W127" i="69"/>
  <c r="V127" i="69"/>
  <c r="U127" i="69"/>
  <c r="T127" i="69"/>
  <c r="S127" i="69"/>
  <c r="R127" i="69"/>
  <c r="Q127" i="69"/>
  <c r="P127" i="69"/>
  <c r="O127" i="69"/>
  <c r="N127" i="69"/>
  <c r="M127" i="69"/>
  <c r="L127" i="69"/>
  <c r="K127" i="69"/>
  <c r="J127" i="69"/>
  <c r="I127" i="69"/>
  <c r="H127" i="69"/>
  <c r="G127" i="69"/>
  <c r="F127" i="69"/>
  <c r="E127" i="69"/>
  <c r="BD126" i="69"/>
  <c r="BC126" i="69"/>
  <c r="BB126" i="69"/>
  <c r="BA126" i="69"/>
  <c r="AZ126" i="69"/>
  <c r="AY126" i="69"/>
  <c r="AX126" i="69"/>
  <c r="AW126" i="69"/>
  <c r="AV126" i="69"/>
  <c r="AU126" i="69"/>
  <c r="AT126" i="69"/>
  <c r="AS126" i="69"/>
  <c r="AR126" i="69"/>
  <c r="AQ126" i="69"/>
  <c r="AP126" i="69"/>
  <c r="AO126" i="69"/>
  <c r="AN126" i="69"/>
  <c r="AM126" i="69"/>
  <c r="AL126" i="69"/>
  <c r="AK126" i="69"/>
  <c r="AJ126" i="69"/>
  <c r="AI126" i="69"/>
  <c r="AH126" i="69"/>
  <c r="AG126" i="69"/>
  <c r="AF126" i="69"/>
  <c r="AE126" i="69"/>
  <c r="AD126" i="69"/>
  <c r="AC126" i="69"/>
  <c r="AB126" i="69"/>
  <c r="AA126" i="69"/>
  <c r="Z126" i="69"/>
  <c r="Y126" i="69"/>
  <c r="X126" i="69"/>
  <c r="W126" i="69"/>
  <c r="V126" i="69"/>
  <c r="U126" i="69"/>
  <c r="T126" i="69"/>
  <c r="S126" i="69"/>
  <c r="R126" i="69"/>
  <c r="Q126" i="69"/>
  <c r="P126" i="69"/>
  <c r="O126" i="69"/>
  <c r="N126" i="69"/>
  <c r="M126" i="69"/>
  <c r="L126" i="69"/>
  <c r="K126" i="69"/>
  <c r="J126" i="69"/>
  <c r="I126" i="69"/>
  <c r="H126" i="69"/>
  <c r="G126" i="69"/>
  <c r="F126" i="69"/>
  <c r="E126" i="69"/>
  <c r="BD125" i="69"/>
  <c r="BC125" i="69"/>
  <c r="BB125" i="69"/>
  <c r="BA125" i="69"/>
  <c r="AZ125" i="69"/>
  <c r="AY125" i="69"/>
  <c r="AX125" i="69"/>
  <c r="AW125" i="69"/>
  <c r="AV125" i="69"/>
  <c r="AU125" i="69"/>
  <c r="AT125" i="69"/>
  <c r="AS125" i="69"/>
  <c r="AR125" i="69"/>
  <c r="AQ125" i="69"/>
  <c r="AP125" i="69"/>
  <c r="AO125" i="69"/>
  <c r="AN125" i="69"/>
  <c r="AM125" i="69"/>
  <c r="AL125" i="69"/>
  <c r="AK125" i="69"/>
  <c r="AJ125" i="69"/>
  <c r="AI125" i="69"/>
  <c r="AH125" i="69"/>
  <c r="AG125" i="69"/>
  <c r="AF125" i="69"/>
  <c r="AE125" i="69"/>
  <c r="AD125" i="69"/>
  <c r="AC125" i="69"/>
  <c r="AB125" i="69"/>
  <c r="AA125" i="69"/>
  <c r="Z125" i="69"/>
  <c r="Y125" i="69"/>
  <c r="X125" i="69"/>
  <c r="W125" i="69"/>
  <c r="V125" i="69"/>
  <c r="U125" i="69"/>
  <c r="T125" i="69"/>
  <c r="S125" i="69"/>
  <c r="R125" i="69"/>
  <c r="Q125" i="69"/>
  <c r="P125" i="69"/>
  <c r="O125" i="69"/>
  <c r="N125" i="69"/>
  <c r="M125" i="69"/>
  <c r="L125" i="69"/>
  <c r="K125" i="69"/>
  <c r="J125" i="69"/>
  <c r="I125" i="69"/>
  <c r="H125" i="69"/>
  <c r="G125" i="69"/>
  <c r="F125" i="69"/>
  <c r="E125" i="69"/>
  <c r="BD124" i="69"/>
  <c r="BC124" i="69"/>
  <c r="BB124" i="69"/>
  <c r="BA124" i="69"/>
  <c r="AZ124" i="69"/>
  <c r="AY124" i="69"/>
  <c r="AX124" i="69"/>
  <c r="AW124" i="69"/>
  <c r="AV124" i="69"/>
  <c r="AU124" i="69"/>
  <c r="AT124" i="69"/>
  <c r="AS124" i="69"/>
  <c r="AR124" i="69"/>
  <c r="AQ124" i="69"/>
  <c r="AP124" i="69"/>
  <c r="AO124" i="69"/>
  <c r="AN124" i="69"/>
  <c r="AM124" i="69"/>
  <c r="AL124" i="69"/>
  <c r="AK124" i="69"/>
  <c r="AJ124" i="69"/>
  <c r="AI124" i="69"/>
  <c r="AH124" i="69"/>
  <c r="AG124" i="69"/>
  <c r="AF124" i="69"/>
  <c r="AE124" i="69"/>
  <c r="AD124" i="69"/>
  <c r="AC124" i="69"/>
  <c r="AB124" i="69"/>
  <c r="AA124" i="69"/>
  <c r="Z124" i="69"/>
  <c r="Y124" i="69"/>
  <c r="X124" i="69"/>
  <c r="W124" i="69"/>
  <c r="V124" i="69"/>
  <c r="U124" i="69"/>
  <c r="T124" i="69"/>
  <c r="S124" i="69"/>
  <c r="R124" i="69"/>
  <c r="Q124" i="69"/>
  <c r="P124" i="69"/>
  <c r="O124" i="69"/>
  <c r="N124" i="69"/>
  <c r="M124" i="69"/>
  <c r="L124" i="69"/>
  <c r="K124" i="69"/>
  <c r="J124" i="69"/>
  <c r="I124" i="69"/>
  <c r="H124" i="69"/>
  <c r="G124" i="69"/>
  <c r="F124" i="69"/>
  <c r="E124" i="69"/>
  <c r="D119" i="69"/>
  <c r="D118" i="69"/>
  <c r="D117" i="69"/>
  <c r="D116" i="69"/>
  <c r="D115" i="69"/>
  <c r="D114" i="69"/>
  <c r="D113" i="69"/>
  <c r="E111" i="69"/>
  <c r="BD105" i="69"/>
  <c r="BD108" i="69" s="1"/>
  <c r="BD109" i="69" s="1"/>
  <c r="BC105" i="69"/>
  <c r="BC108" i="69" s="1"/>
  <c r="BC109" i="69" s="1"/>
  <c r="BB105" i="69"/>
  <c r="BB108" i="69" s="1"/>
  <c r="BB109" i="69" s="1"/>
  <c r="BA105" i="69"/>
  <c r="BA108" i="69" s="1"/>
  <c r="BA109" i="69" s="1"/>
  <c r="AZ105" i="69"/>
  <c r="AZ108" i="69" s="1"/>
  <c r="AZ109" i="69" s="1"/>
  <c r="AY105" i="69"/>
  <c r="AY108" i="69" s="1"/>
  <c r="AY109" i="69" s="1"/>
  <c r="AX105" i="69"/>
  <c r="AX108" i="69" s="1"/>
  <c r="AX109" i="69" s="1"/>
  <c r="AW105" i="69"/>
  <c r="AW108" i="69" s="1"/>
  <c r="AW109" i="69" s="1"/>
  <c r="AV105" i="69"/>
  <c r="AV108" i="69" s="1"/>
  <c r="AV109" i="69" s="1"/>
  <c r="AU105" i="69"/>
  <c r="AU108" i="69" s="1"/>
  <c r="AU109" i="69" s="1"/>
  <c r="AT105" i="69"/>
  <c r="AT108" i="69" s="1"/>
  <c r="AT109" i="69" s="1"/>
  <c r="AS105" i="69"/>
  <c r="AS108" i="69" s="1"/>
  <c r="AS109" i="69" s="1"/>
  <c r="AR105" i="69"/>
  <c r="AR108" i="69" s="1"/>
  <c r="AR109" i="69" s="1"/>
  <c r="AQ105" i="69"/>
  <c r="AQ108" i="69" s="1"/>
  <c r="AQ109" i="69" s="1"/>
  <c r="AP105" i="69"/>
  <c r="AP108" i="69" s="1"/>
  <c r="AP109" i="69" s="1"/>
  <c r="AO105" i="69"/>
  <c r="AO108" i="69" s="1"/>
  <c r="AO109" i="69" s="1"/>
  <c r="AN105" i="69"/>
  <c r="AN108" i="69" s="1"/>
  <c r="AN109" i="69" s="1"/>
  <c r="AM105" i="69"/>
  <c r="AM108" i="69" s="1"/>
  <c r="AM109" i="69" s="1"/>
  <c r="AL105" i="69"/>
  <c r="AL108" i="69" s="1"/>
  <c r="AL109" i="69" s="1"/>
  <c r="AK105" i="69"/>
  <c r="AK108" i="69" s="1"/>
  <c r="AK109" i="69" s="1"/>
  <c r="AJ105" i="69"/>
  <c r="AJ108" i="69" s="1"/>
  <c r="AJ109" i="69" s="1"/>
  <c r="AI105" i="69"/>
  <c r="AI108" i="69" s="1"/>
  <c r="AI109" i="69" s="1"/>
  <c r="AH105" i="69"/>
  <c r="AH108" i="69" s="1"/>
  <c r="AH109" i="69" s="1"/>
  <c r="AG105" i="69"/>
  <c r="AG108" i="69" s="1"/>
  <c r="AG109" i="69" s="1"/>
  <c r="AF105" i="69"/>
  <c r="AF108" i="69" s="1"/>
  <c r="AF109" i="69" s="1"/>
  <c r="AE105" i="69"/>
  <c r="AE108" i="69" s="1"/>
  <c r="AE109" i="69" s="1"/>
  <c r="AD105" i="69"/>
  <c r="AD108" i="69" s="1"/>
  <c r="AD109" i="69" s="1"/>
  <c r="AC105" i="69"/>
  <c r="AC108" i="69" s="1"/>
  <c r="AC109" i="69" s="1"/>
  <c r="AB105" i="69"/>
  <c r="AB108" i="69" s="1"/>
  <c r="AB109" i="69" s="1"/>
  <c r="AA105" i="69"/>
  <c r="AA108" i="69" s="1"/>
  <c r="AA109" i="69" s="1"/>
  <c r="Z105" i="69"/>
  <c r="Z108" i="69" s="1"/>
  <c r="Z109" i="69" s="1"/>
  <c r="Y105" i="69"/>
  <c r="Y108" i="69" s="1"/>
  <c r="Y109" i="69" s="1"/>
  <c r="X105" i="69"/>
  <c r="X108" i="69" s="1"/>
  <c r="X109" i="69" s="1"/>
  <c r="W105" i="69"/>
  <c r="W108" i="69" s="1"/>
  <c r="W109" i="69" s="1"/>
  <c r="V105" i="69"/>
  <c r="V108" i="69" s="1"/>
  <c r="V109" i="69" s="1"/>
  <c r="U105" i="69"/>
  <c r="U108" i="69" s="1"/>
  <c r="U109" i="69" s="1"/>
  <c r="T105" i="69"/>
  <c r="T108" i="69" s="1"/>
  <c r="T109" i="69" s="1"/>
  <c r="S105" i="69"/>
  <c r="S108" i="69" s="1"/>
  <c r="S109" i="69" s="1"/>
  <c r="R105" i="69"/>
  <c r="R108" i="69" s="1"/>
  <c r="R109" i="69" s="1"/>
  <c r="Q105" i="69"/>
  <c r="Q108" i="69" s="1"/>
  <c r="Q109" i="69" s="1"/>
  <c r="P105" i="69"/>
  <c r="P108" i="69" s="1"/>
  <c r="P109" i="69" s="1"/>
  <c r="O105" i="69"/>
  <c r="O108" i="69" s="1"/>
  <c r="O109" i="69" s="1"/>
  <c r="N105" i="69"/>
  <c r="N108" i="69" s="1"/>
  <c r="N109" i="69" s="1"/>
  <c r="M105" i="69"/>
  <c r="M108" i="69" s="1"/>
  <c r="M109" i="69" s="1"/>
  <c r="L105" i="69"/>
  <c r="L108" i="69" s="1"/>
  <c r="L109" i="69" s="1"/>
  <c r="K105" i="69"/>
  <c r="K108" i="69" s="1"/>
  <c r="K109" i="69" s="1"/>
  <c r="J105" i="69"/>
  <c r="J108" i="69" s="1"/>
  <c r="J109" i="69" s="1"/>
  <c r="I105" i="69"/>
  <c r="I108" i="69" s="1"/>
  <c r="I109" i="69" s="1"/>
  <c r="H105" i="69"/>
  <c r="H108" i="69" s="1"/>
  <c r="H109" i="69" s="1"/>
  <c r="G105" i="69"/>
  <c r="G108" i="69" s="1"/>
  <c r="G109" i="69" s="1"/>
  <c r="F105" i="69"/>
  <c r="F108" i="69" s="1"/>
  <c r="F109" i="69" s="1"/>
  <c r="E105" i="69"/>
  <c r="E108" i="69" s="1"/>
  <c r="E109" i="69" s="1"/>
  <c r="E94" i="69"/>
  <c r="BD88" i="69"/>
  <c r="BD91" i="69" s="1"/>
  <c r="BC88" i="69"/>
  <c r="BC91" i="69" s="1"/>
  <c r="BB88" i="69"/>
  <c r="BB91" i="69" s="1"/>
  <c r="BA88" i="69"/>
  <c r="BA91" i="69" s="1"/>
  <c r="AZ88" i="69"/>
  <c r="AZ91" i="69" s="1"/>
  <c r="AY88" i="69"/>
  <c r="AY91" i="69" s="1"/>
  <c r="AX88" i="69"/>
  <c r="AX91" i="69" s="1"/>
  <c r="AW88" i="69"/>
  <c r="AW91" i="69" s="1"/>
  <c r="AV88" i="69"/>
  <c r="AV91" i="69" s="1"/>
  <c r="AU88" i="69"/>
  <c r="AU91" i="69" s="1"/>
  <c r="AT88" i="69"/>
  <c r="AT91" i="69" s="1"/>
  <c r="AS88" i="69"/>
  <c r="AS91" i="69" s="1"/>
  <c r="AR88" i="69"/>
  <c r="AR91" i="69" s="1"/>
  <c r="AQ88" i="69"/>
  <c r="AQ91" i="69" s="1"/>
  <c r="AP88" i="69"/>
  <c r="AP91" i="69" s="1"/>
  <c r="AO88" i="69"/>
  <c r="AO91" i="69" s="1"/>
  <c r="AN88" i="69"/>
  <c r="AN91" i="69" s="1"/>
  <c r="AM88" i="69"/>
  <c r="AM91" i="69" s="1"/>
  <c r="AL88" i="69"/>
  <c r="AL91" i="69" s="1"/>
  <c r="AK88" i="69"/>
  <c r="AK91" i="69" s="1"/>
  <c r="AJ88" i="69"/>
  <c r="AJ91" i="69" s="1"/>
  <c r="AI88" i="69"/>
  <c r="AI91" i="69" s="1"/>
  <c r="AH88" i="69"/>
  <c r="AH91" i="69" s="1"/>
  <c r="AG88" i="69"/>
  <c r="AG91" i="69" s="1"/>
  <c r="AF88" i="69"/>
  <c r="AF91" i="69" s="1"/>
  <c r="AE88" i="69"/>
  <c r="AE91" i="69" s="1"/>
  <c r="AD88" i="69"/>
  <c r="AD91" i="69" s="1"/>
  <c r="AC88" i="69"/>
  <c r="AC91" i="69" s="1"/>
  <c r="AB88" i="69"/>
  <c r="AB91" i="69" s="1"/>
  <c r="AA88" i="69"/>
  <c r="AA91" i="69" s="1"/>
  <c r="Z88" i="69"/>
  <c r="Z91" i="69" s="1"/>
  <c r="Y88" i="69"/>
  <c r="Y91" i="69" s="1"/>
  <c r="X88" i="69"/>
  <c r="X91" i="69" s="1"/>
  <c r="W88" i="69"/>
  <c r="W91" i="69" s="1"/>
  <c r="V88" i="69"/>
  <c r="V91" i="69" s="1"/>
  <c r="U88" i="69"/>
  <c r="U91" i="69" s="1"/>
  <c r="T88" i="69"/>
  <c r="T91" i="69" s="1"/>
  <c r="S88" i="69"/>
  <c r="S91" i="69" s="1"/>
  <c r="R88" i="69"/>
  <c r="R91" i="69" s="1"/>
  <c r="Q88" i="69"/>
  <c r="Q91" i="69" s="1"/>
  <c r="P88" i="69"/>
  <c r="P91" i="69" s="1"/>
  <c r="O88" i="69"/>
  <c r="O91" i="69" s="1"/>
  <c r="N88" i="69"/>
  <c r="N91" i="69" s="1"/>
  <c r="M88" i="69"/>
  <c r="M91" i="69" s="1"/>
  <c r="L88" i="69"/>
  <c r="L91" i="69" s="1"/>
  <c r="K88" i="69"/>
  <c r="K91" i="69" s="1"/>
  <c r="J88" i="69"/>
  <c r="J91" i="69" s="1"/>
  <c r="I88" i="69"/>
  <c r="I91" i="69" s="1"/>
  <c r="H88" i="69"/>
  <c r="H91" i="69" s="1"/>
  <c r="G88" i="69"/>
  <c r="G91" i="69" s="1"/>
  <c r="F88" i="69"/>
  <c r="F91" i="69" s="1"/>
  <c r="E88" i="69"/>
  <c r="E91" i="69" s="1"/>
  <c r="BD79" i="69"/>
  <c r="BD79" i="70" s="1"/>
  <c r="BC79" i="69"/>
  <c r="BC79" i="70" s="1"/>
  <c r="BB79" i="69"/>
  <c r="BB79" i="70" s="1"/>
  <c r="BA79" i="69"/>
  <c r="BA79" i="70" s="1"/>
  <c r="AZ79" i="69"/>
  <c r="AZ79" i="70" s="1"/>
  <c r="AY79" i="69"/>
  <c r="AY79" i="70" s="1"/>
  <c r="AX79" i="69"/>
  <c r="AX79" i="70" s="1"/>
  <c r="AW79" i="69"/>
  <c r="AW79" i="70" s="1"/>
  <c r="AV79" i="69"/>
  <c r="AV79" i="70" s="1"/>
  <c r="AU79" i="69"/>
  <c r="AU79" i="70" s="1"/>
  <c r="AT79" i="69"/>
  <c r="AT79" i="70" s="1"/>
  <c r="AS79" i="69"/>
  <c r="AS79" i="70" s="1"/>
  <c r="AR79" i="69"/>
  <c r="AR79" i="70" s="1"/>
  <c r="AQ79" i="69"/>
  <c r="AQ79" i="70" s="1"/>
  <c r="AP79" i="69"/>
  <c r="AP79" i="70" s="1"/>
  <c r="AO79" i="69"/>
  <c r="AO79" i="70" s="1"/>
  <c r="AN79" i="69"/>
  <c r="AN79" i="70" s="1"/>
  <c r="AM79" i="69"/>
  <c r="AM79" i="70" s="1"/>
  <c r="AL79" i="69"/>
  <c r="AL79" i="70" s="1"/>
  <c r="AK79" i="69"/>
  <c r="AK79" i="70" s="1"/>
  <c r="AJ79" i="69"/>
  <c r="AJ79" i="70" s="1"/>
  <c r="AI79" i="69"/>
  <c r="AI79" i="70" s="1"/>
  <c r="AH79" i="69"/>
  <c r="AH79" i="70" s="1"/>
  <c r="AG79" i="69"/>
  <c r="AG79" i="70" s="1"/>
  <c r="AF79" i="69"/>
  <c r="AF79" i="70" s="1"/>
  <c r="AE79" i="69"/>
  <c r="AE79" i="70" s="1"/>
  <c r="AD79" i="69"/>
  <c r="AD79" i="70" s="1"/>
  <c r="AC79" i="69"/>
  <c r="AC79" i="70" s="1"/>
  <c r="AB79" i="69"/>
  <c r="AB79" i="70" s="1"/>
  <c r="AA79" i="69"/>
  <c r="AA79" i="70" s="1"/>
  <c r="Z79" i="69"/>
  <c r="Z79" i="70" s="1"/>
  <c r="Y79" i="69"/>
  <c r="Y79" i="70" s="1"/>
  <c r="X79" i="69"/>
  <c r="X79" i="70" s="1"/>
  <c r="W79" i="69"/>
  <c r="W79" i="70" s="1"/>
  <c r="V79" i="69"/>
  <c r="V79" i="70" s="1"/>
  <c r="U79" i="69"/>
  <c r="U79" i="70" s="1"/>
  <c r="T79" i="69"/>
  <c r="S79" i="69"/>
  <c r="R79" i="69"/>
  <c r="Q79" i="69"/>
  <c r="P79" i="69"/>
  <c r="O79" i="69"/>
  <c r="N79" i="69"/>
  <c r="M79" i="69"/>
  <c r="L79" i="69"/>
  <c r="K79" i="69"/>
  <c r="J79" i="69"/>
  <c r="I79" i="69"/>
  <c r="H79" i="69"/>
  <c r="G79" i="69"/>
  <c r="F79" i="69"/>
  <c r="E79" i="69"/>
  <c r="E74" i="69"/>
  <c r="BD68" i="69"/>
  <c r="BD71" i="69" s="1"/>
  <c r="BC68" i="69"/>
  <c r="BC71" i="69" s="1"/>
  <c r="BB68" i="69"/>
  <c r="BB71" i="69" s="1"/>
  <c r="BA68" i="69"/>
  <c r="BA71" i="69" s="1"/>
  <c r="AZ68" i="69"/>
  <c r="AZ71" i="69" s="1"/>
  <c r="AY68" i="69"/>
  <c r="AY71" i="69" s="1"/>
  <c r="AX68" i="69"/>
  <c r="AX71" i="69" s="1"/>
  <c r="AW68" i="69"/>
  <c r="AW71" i="69" s="1"/>
  <c r="AV68" i="69"/>
  <c r="AV71" i="69" s="1"/>
  <c r="AU68" i="69"/>
  <c r="AU71" i="69" s="1"/>
  <c r="AT68" i="69"/>
  <c r="AT71" i="69" s="1"/>
  <c r="AS68" i="69"/>
  <c r="AS71" i="69" s="1"/>
  <c r="AR68" i="69"/>
  <c r="AR71" i="69" s="1"/>
  <c r="AQ68" i="69"/>
  <c r="AQ71" i="69" s="1"/>
  <c r="AP68" i="69"/>
  <c r="AP71" i="69" s="1"/>
  <c r="AO68" i="69"/>
  <c r="AO71" i="69" s="1"/>
  <c r="AN68" i="69"/>
  <c r="AN71" i="69" s="1"/>
  <c r="AM68" i="69"/>
  <c r="AM71" i="69" s="1"/>
  <c r="AL68" i="69"/>
  <c r="AL71" i="69" s="1"/>
  <c r="AK68" i="69"/>
  <c r="AK71" i="69" s="1"/>
  <c r="AJ68" i="69"/>
  <c r="AJ71" i="69" s="1"/>
  <c r="AI68" i="69"/>
  <c r="AI71" i="69" s="1"/>
  <c r="AH68" i="69"/>
  <c r="AH71" i="69" s="1"/>
  <c r="AG68" i="69"/>
  <c r="AG71" i="69" s="1"/>
  <c r="AF68" i="69"/>
  <c r="AF71" i="69" s="1"/>
  <c r="AE68" i="69"/>
  <c r="AE71" i="69" s="1"/>
  <c r="AD68" i="69"/>
  <c r="AD71" i="69" s="1"/>
  <c r="AC68" i="69"/>
  <c r="AC71" i="69" s="1"/>
  <c r="AB68" i="69"/>
  <c r="AB71" i="69" s="1"/>
  <c r="AA68" i="69"/>
  <c r="AA71" i="69" s="1"/>
  <c r="Z68" i="69"/>
  <c r="Z71" i="69" s="1"/>
  <c r="Y68" i="69"/>
  <c r="Y71" i="69" s="1"/>
  <c r="X68" i="69"/>
  <c r="X71" i="69" s="1"/>
  <c r="W68" i="69"/>
  <c r="W71" i="69" s="1"/>
  <c r="V68" i="69"/>
  <c r="V71" i="69" s="1"/>
  <c r="U68" i="69"/>
  <c r="U71" i="69" s="1"/>
  <c r="T68" i="69"/>
  <c r="T71" i="69" s="1"/>
  <c r="S68" i="69"/>
  <c r="S71" i="69" s="1"/>
  <c r="R68" i="69"/>
  <c r="R71" i="69" s="1"/>
  <c r="Q68" i="69"/>
  <c r="Q71" i="69" s="1"/>
  <c r="P68" i="69"/>
  <c r="P71" i="69" s="1"/>
  <c r="O68" i="69"/>
  <c r="O71" i="69" s="1"/>
  <c r="N68" i="69"/>
  <c r="N71" i="69" s="1"/>
  <c r="M68" i="69"/>
  <c r="M71" i="69" s="1"/>
  <c r="L68" i="69"/>
  <c r="L71" i="69" s="1"/>
  <c r="K68" i="69"/>
  <c r="K71" i="69" s="1"/>
  <c r="J68" i="69"/>
  <c r="J71" i="69" s="1"/>
  <c r="I68" i="69"/>
  <c r="I71" i="69" s="1"/>
  <c r="H68" i="69"/>
  <c r="H71" i="69" s="1"/>
  <c r="G68" i="69"/>
  <c r="G71" i="69" s="1"/>
  <c r="F68" i="69"/>
  <c r="F71" i="69" s="1"/>
  <c r="E68" i="69"/>
  <c r="E71" i="69" s="1"/>
  <c r="BD59" i="69"/>
  <c r="BC59" i="69"/>
  <c r="BB59" i="69"/>
  <c r="BA59" i="69"/>
  <c r="AZ59" i="69"/>
  <c r="AY59" i="69"/>
  <c r="AX59" i="69"/>
  <c r="AW59" i="69"/>
  <c r="AV59" i="69"/>
  <c r="AU59" i="69"/>
  <c r="AT59" i="69"/>
  <c r="AS59" i="69"/>
  <c r="AR59" i="69"/>
  <c r="AQ59" i="69"/>
  <c r="AP59" i="69"/>
  <c r="AO59" i="69"/>
  <c r="AN59" i="69"/>
  <c r="AM59" i="69"/>
  <c r="AL59" i="69"/>
  <c r="AK59" i="69"/>
  <c r="AJ59" i="69"/>
  <c r="AI59" i="69"/>
  <c r="AH59" i="69"/>
  <c r="AG59" i="69"/>
  <c r="AF59" i="69"/>
  <c r="AE59" i="69"/>
  <c r="AD59" i="69"/>
  <c r="AC59" i="69"/>
  <c r="AB59" i="69"/>
  <c r="AA59" i="69"/>
  <c r="Z59" i="69"/>
  <c r="Y59" i="69"/>
  <c r="X59" i="69"/>
  <c r="W59" i="69"/>
  <c r="V59" i="69"/>
  <c r="U59" i="69"/>
  <c r="T59" i="69"/>
  <c r="S59" i="69"/>
  <c r="R59" i="69"/>
  <c r="Q59" i="69"/>
  <c r="P59" i="69"/>
  <c r="O59" i="69"/>
  <c r="N59" i="69"/>
  <c r="M59" i="69"/>
  <c r="L59" i="69"/>
  <c r="K59" i="69"/>
  <c r="J59" i="69"/>
  <c r="I59" i="69"/>
  <c r="H59" i="69"/>
  <c r="G59" i="69"/>
  <c r="F59" i="69"/>
  <c r="E59" i="69"/>
  <c r="E53" i="69"/>
  <c r="BD47" i="69"/>
  <c r="BD50" i="69" s="1"/>
  <c r="BC47" i="69"/>
  <c r="BC50" i="69" s="1"/>
  <c r="BB47" i="69"/>
  <c r="BB50" i="69" s="1"/>
  <c r="BA47" i="69"/>
  <c r="BA50" i="69" s="1"/>
  <c r="AZ47" i="69"/>
  <c r="AZ50" i="69" s="1"/>
  <c r="AY47" i="69"/>
  <c r="AY50" i="69" s="1"/>
  <c r="AX47" i="69"/>
  <c r="AX50" i="69" s="1"/>
  <c r="AW47" i="69"/>
  <c r="AW50" i="69" s="1"/>
  <c r="AV47" i="69"/>
  <c r="AV50" i="69" s="1"/>
  <c r="AU47" i="69"/>
  <c r="AU50" i="69" s="1"/>
  <c r="AT47" i="69"/>
  <c r="AT50" i="69" s="1"/>
  <c r="AS47" i="69"/>
  <c r="AS50" i="69" s="1"/>
  <c r="AR47" i="69"/>
  <c r="AR50" i="69" s="1"/>
  <c r="AQ47" i="69"/>
  <c r="AQ50" i="69" s="1"/>
  <c r="AP47" i="69"/>
  <c r="AP50" i="69" s="1"/>
  <c r="AO47" i="69"/>
  <c r="AO50" i="69" s="1"/>
  <c r="AN47" i="69"/>
  <c r="AN50" i="69" s="1"/>
  <c r="AM47" i="69"/>
  <c r="AM50" i="69" s="1"/>
  <c r="AL47" i="69"/>
  <c r="AL50" i="69" s="1"/>
  <c r="AK47" i="69"/>
  <c r="AK50" i="69" s="1"/>
  <c r="AJ47" i="69"/>
  <c r="AJ50" i="69" s="1"/>
  <c r="AI47" i="69"/>
  <c r="AI50" i="69" s="1"/>
  <c r="AH47" i="69"/>
  <c r="AH50" i="69" s="1"/>
  <c r="AG47" i="69"/>
  <c r="AG50" i="69" s="1"/>
  <c r="AF47" i="69"/>
  <c r="AF50" i="69" s="1"/>
  <c r="AE47" i="69"/>
  <c r="AE50" i="69" s="1"/>
  <c r="AD47" i="69"/>
  <c r="AD50" i="69" s="1"/>
  <c r="AC47" i="69"/>
  <c r="AC50" i="69" s="1"/>
  <c r="AB47" i="69"/>
  <c r="AB50" i="69" s="1"/>
  <c r="AA47" i="69"/>
  <c r="AA50" i="69" s="1"/>
  <c r="Z47" i="69"/>
  <c r="Z50" i="69" s="1"/>
  <c r="Y47" i="69"/>
  <c r="Y50" i="69" s="1"/>
  <c r="X47" i="69"/>
  <c r="X50" i="69" s="1"/>
  <c r="W47" i="69"/>
  <c r="W50" i="69" s="1"/>
  <c r="V47" i="69"/>
  <c r="V50" i="69" s="1"/>
  <c r="U47" i="69"/>
  <c r="U50" i="69" s="1"/>
  <c r="T47" i="69"/>
  <c r="T50" i="69" s="1"/>
  <c r="S47" i="69"/>
  <c r="S50" i="69" s="1"/>
  <c r="R47" i="69"/>
  <c r="R50" i="69" s="1"/>
  <c r="Q47" i="69"/>
  <c r="Q50" i="69" s="1"/>
  <c r="P47" i="69"/>
  <c r="P50" i="69" s="1"/>
  <c r="O47" i="69"/>
  <c r="O50" i="69" s="1"/>
  <c r="N47" i="69"/>
  <c r="N50" i="69" s="1"/>
  <c r="M47" i="69"/>
  <c r="M50" i="69" s="1"/>
  <c r="L47" i="69"/>
  <c r="L50" i="69" s="1"/>
  <c r="K47" i="69"/>
  <c r="K50" i="69" s="1"/>
  <c r="J47" i="69"/>
  <c r="J50" i="69" s="1"/>
  <c r="I47" i="69"/>
  <c r="I50" i="69" s="1"/>
  <c r="H47" i="69"/>
  <c r="H50" i="69" s="1"/>
  <c r="G47" i="69"/>
  <c r="G50" i="69" s="1"/>
  <c r="F47" i="69"/>
  <c r="F50" i="69" s="1"/>
  <c r="E47" i="69"/>
  <c r="E50" i="69" s="1"/>
  <c r="BD38" i="69"/>
  <c r="BC38" i="69"/>
  <c r="BB38" i="69"/>
  <c r="BA38" i="69"/>
  <c r="AZ38" i="69"/>
  <c r="AY38" i="69"/>
  <c r="AX38" i="69"/>
  <c r="AW38" i="69"/>
  <c r="AV38" i="69"/>
  <c r="AU38" i="69"/>
  <c r="AT38" i="69"/>
  <c r="AS38" i="69"/>
  <c r="AR38" i="69"/>
  <c r="AQ38" i="69"/>
  <c r="AP38" i="69"/>
  <c r="AO38" i="69"/>
  <c r="AN38" i="69"/>
  <c r="AM38" i="69"/>
  <c r="AL38" i="69"/>
  <c r="AK38" i="69"/>
  <c r="AJ38" i="69"/>
  <c r="AI38" i="69"/>
  <c r="AH38" i="69"/>
  <c r="AG38" i="69"/>
  <c r="AF38" i="69"/>
  <c r="AE38" i="69"/>
  <c r="AD38" i="69"/>
  <c r="AC38" i="69"/>
  <c r="AB38" i="69"/>
  <c r="AA38" i="69"/>
  <c r="Z38" i="69"/>
  <c r="Y38" i="69"/>
  <c r="X38" i="69"/>
  <c r="W38" i="69"/>
  <c r="V38" i="69"/>
  <c r="U38" i="69"/>
  <c r="T38" i="69"/>
  <c r="S38" i="69"/>
  <c r="R38" i="69"/>
  <c r="Q38" i="69"/>
  <c r="P38" i="69"/>
  <c r="O38" i="69"/>
  <c r="N38" i="69"/>
  <c r="M38" i="69"/>
  <c r="L38" i="69"/>
  <c r="K38" i="69"/>
  <c r="J38" i="69"/>
  <c r="I38" i="69"/>
  <c r="H38" i="69"/>
  <c r="G38" i="69"/>
  <c r="F38" i="69"/>
  <c r="E38" i="69"/>
  <c r="E33" i="69"/>
  <c r="BD31" i="69"/>
  <c r="BC31" i="69"/>
  <c r="BB31" i="69"/>
  <c r="BA31" i="69"/>
  <c r="AZ31" i="69"/>
  <c r="AY31" i="69"/>
  <c r="AX31" i="69"/>
  <c r="AW31" i="69"/>
  <c r="AV31" i="69"/>
  <c r="AU31" i="69"/>
  <c r="AT31" i="69"/>
  <c r="AS31" i="69"/>
  <c r="AR31" i="69"/>
  <c r="AQ31" i="69"/>
  <c r="AP31" i="69"/>
  <c r="AO31" i="69"/>
  <c r="AN31" i="69"/>
  <c r="AM31" i="69"/>
  <c r="AL31" i="69"/>
  <c r="AK31" i="69"/>
  <c r="AJ31" i="69"/>
  <c r="AI31" i="69"/>
  <c r="AH31" i="69"/>
  <c r="AG31" i="69"/>
  <c r="AF31" i="69"/>
  <c r="AE31" i="69"/>
  <c r="AD31" i="69"/>
  <c r="AC31" i="69"/>
  <c r="AB31" i="69"/>
  <c r="AA31" i="69"/>
  <c r="Z31" i="69"/>
  <c r="Y31" i="69"/>
  <c r="X31" i="69"/>
  <c r="W31" i="69"/>
  <c r="V31" i="69"/>
  <c r="U31" i="69"/>
  <c r="T31" i="69"/>
  <c r="S31" i="69"/>
  <c r="R31" i="69"/>
  <c r="Q31" i="69"/>
  <c r="P31" i="69"/>
  <c r="O31" i="69"/>
  <c r="N31" i="69"/>
  <c r="M31" i="69"/>
  <c r="L31" i="69"/>
  <c r="K31" i="69"/>
  <c r="J31" i="69"/>
  <c r="I31" i="69"/>
  <c r="H31" i="69"/>
  <c r="G31" i="69"/>
  <c r="F31" i="69"/>
  <c r="E31" i="69"/>
  <c r="BD25" i="69"/>
  <c r="BC25" i="69"/>
  <c r="BB25" i="69"/>
  <c r="BA25" i="69"/>
  <c r="AZ25" i="69"/>
  <c r="AY25" i="69"/>
  <c r="AX25" i="69"/>
  <c r="AW25" i="69"/>
  <c r="AV25" i="69"/>
  <c r="AU25" i="69"/>
  <c r="AT25" i="69"/>
  <c r="AS25" i="69"/>
  <c r="AR25" i="69"/>
  <c r="AQ25" i="69"/>
  <c r="AP25" i="69"/>
  <c r="AO25" i="69"/>
  <c r="AN25" i="69"/>
  <c r="AM25" i="69"/>
  <c r="AL25" i="69"/>
  <c r="AK25" i="69"/>
  <c r="AJ25" i="69"/>
  <c r="AI25" i="69"/>
  <c r="AH25" i="69"/>
  <c r="AG25" i="69"/>
  <c r="AF25" i="69"/>
  <c r="AE25" i="69"/>
  <c r="AD25" i="69"/>
  <c r="AC25" i="69"/>
  <c r="AB25" i="69"/>
  <c r="AA25" i="69"/>
  <c r="Z25" i="69"/>
  <c r="Y25" i="69"/>
  <c r="X25" i="69"/>
  <c r="W25" i="69"/>
  <c r="V25" i="69"/>
  <c r="U25" i="69"/>
  <c r="T25" i="69"/>
  <c r="S25" i="69"/>
  <c r="R25" i="69"/>
  <c r="Q25" i="69"/>
  <c r="P25" i="69"/>
  <c r="O25" i="69"/>
  <c r="N25" i="69"/>
  <c r="M25" i="69"/>
  <c r="L25" i="69"/>
  <c r="K25" i="69"/>
  <c r="J25" i="69"/>
  <c r="I25" i="69"/>
  <c r="H25" i="69"/>
  <c r="G25" i="69"/>
  <c r="F25" i="69"/>
  <c r="E25" i="69"/>
  <c r="BD7" i="69"/>
  <c r="BC7" i="69"/>
  <c r="BB7" i="69"/>
  <c r="BA7" i="69"/>
  <c r="AZ7" i="69"/>
  <c r="AY7" i="69"/>
  <c r="AX7" i="69"/>
  <c r="AW7" i="69"/>
  <c r="AV7" i="69"/>
  <c r="AU7" i="69"/>
  <c r="AT7" i="69"/>
  <c r="AS7" i="69"/>
  <c r="AR7" i="69"/>
  <c r="AQ7" i="69"/>
  <c r="AP7" i="69"/>
  <c r="AO7" i="69"/>
  <c r="AN7" i="69"/>
  <c r="AM7" i="69"/>
  <c r="AL7" i="69"/>
  <c r="AK7" i="69"/>
  <c r="AJ7" i="69"/>
  <c r="AI7" i="69"/>
  <c r="AH7" i="69"/>
  <c r="AG7" i="69"/>
  <c r="AF7" i="69"/>
  <c r="AE7" i="69"/>
  <c r="AD7" i="69"/>
  <c r="AC7" i="69"/>
  <c r="AB7" i="69"/>
  <c r="AA7" i="69"/>
  <c r="Z7" i="69"/>
  <c r="Y7" i="69"/>
  <c r="X7" i="69"/>
  <c r="W7" i="69"/>
  <c r="V7" i="69"/>
  <c r="U7" i="69"/>
  <c r="T7" i="69"/>
  <c r="S7" i="69"/>
  <c r="R7" i="69"/>
  <c r="Q7" i="69"/>
  <c r="P7" i="69"/>
  <c r="O7" i="69"/>
  <c r="N7" i="69"/>
  <c r="M7" i="69"/>
  <c r="L7" i="69"/>
  <c r="K7" i="69"/>
  <c r="J7" i="69"/>
  <c r="I7" i="69"/>
  <c r="H7" i="69"/>
  <c r="G7" i="69"/>
  <c r="F7" i="69"/>
  <c r="E7" i="69"/>
  <c r="G2" i="69"/>
  <c r="G111" i="69" s="1"/>
  <c r="F2" i="69"/>
  <c r="F33" i="69" s="1"/>
  <c r="BD142" i="67"/>
  <c r="BC142" i="67"/>
  <c r="BB142" i="67"/>
  <c r="BA142" i="67"/>
  <c r="AZ142" i="67"/>
  <c r="AY142" i="67"/>
  <c r="AX142" i="67"/>
  <c r="AW142" i="67"/>
  <c r="AV142" i="67"/>
  <c r="AU142" i="67"/>
  <c r="AT142" i="67"/>
  <c r="AS142" i="67"/>
  <c r="AR142" i="67"/>
  <c r="AQ142" i="67"/>
  <c r="AP142" i="67"/>
  <c r="AO142" i="67"/>
  <c r="AN142" i="67"/>
  <c r="AM142" i="67"/>
  <c r="AL142" i="67"/>
  <c r="AK142" i="67"/>
  <c r="AJ142" i="67"/>
  <c r="AI142" i="67"/>
  <c r="AH142" i="67"/>
  <c r="AG142" i="67"/>
  <c r="AF142" i="67"/>
  <c r="AE142" i="67"/>
  <c r="AD142" i="67"/>
  <c r="AC142" i="67"/>
  <c r="AB142" i="67"/>
  <c r="AA142" i="67"/>
  <c r="Z142" i="67"/>
  <c r="Y142" i="67"/>
  <c r="X142" i="67"/>
  <c r="W142" i="67"/>
  <c r="V142" i="67"/>
  <c r="U142" i="67"/>
  <c r="T142" i="67"/>
  <c r="S142" i="67"/>
  <c r="R142" i="67"/>
  <c r="Q142" i="67"/>
  <c r="P142" i="67"/>
  <c r="O142" i="67"/>
  <c r="N142" i="67"/>
  <c r="M142" i="67"/>
  <c r="L142" i="67"/>
  <c r="K142" i="67"/>
  <c r="J142" i="67"/>
  <c r="I142" i="67"/>
  <c r="H142" i="67"/>
  <c r="G142" i="67"/>
  <c r="F142" i="67"/>
  <c r="E142" i="67"/>
  <c r="BD141" i="67"/>
  <c r="BC141" i="67"/>
  <c r="BB141" i="67"/>
  <c r="BA141" i="67"/>
  <c r="AZ141" i="67"/>
  <c r="AY141" i="67"/>
  <c r="AX141" i="67"/>
  <c r="AW141" i="67"/>
  <c r="AV141" i="67"/>
  <c r="AU141" i="67"/>
  <c r="AT141" i="67"/>
  <c r="AS141" i="67"/>
  <c r="AR141" i="67"/>
  <c r="AQ141" i="67"/>
  <c r="AP141" i="67"/>
  <c r="AO141" i="67"/>
  <c r="AN141" i="67"/>
  <c r="AM141" i="67"/>
  <c r="AL141" i="67"/>
  <c r="AK141" i="67"/>
  <c r="AJ141" i="67"/>
  <c r="AI141" i="67"/>
  <c r="AH141" i="67"/>
  <c r="AG141" i="67"/>
  <c r="AF141" i="67"/>
  <c r="AE141" i="67"/>
  <c r="AD141" i="67"/>
  <c r="AC141" i="67"/>
  <c r="AB141" i="67"/>
  <c r="AA141" i="67"/>
  <c r="Z141" i="67"/>
  <c r="Y141" i="67"/>
  <c r="X141" i="67"/>
  <c r="W141" i="67"/>
  <c r="V141" i="67"/>
  <c r="U141" i="67"/>
  <c r="T141" i="67"/>
  <c r="S141" i="67"/>
  <c r="R141" i="67"/>
  <c r="Q141" i="67"/>
  <c r="P141" i="67"/>
  <c r="O141" i="67"/>
  <c r="N141" i="67"/>
  <c r="M141" i="67"/>
  <c r="L141" i="67"/>
  <c r="K141" i="67"/>
  <c r="J141" i="67"/>
  <c r="I141" i="67"/>
  <c r="H141" i="67"/>
  <c r="G141" i="67"/>
  <c r="F141" i="67"/>
  <c r="E141" i="67"/>
  <c r="BD140" i="67"/>
  <c r="BC140" i="67"/>
  <c r="BB140" i="67"/>
  <c r="BA140" i="67"/>
  <c r="AZ140" i="67"/>
  <c r="AY140" i="67"/>
  <c r="AX140" i="67"/>
  <c r="AW140" i="67"/>
  <c r="AV140" i="67"/>
  <c r="AU140" i="67"/>
  <c r="AT140" i="67"/>
  <c r="AS140" i="67"/>
  <c r="AR140" i="67"/>
  <c r="AQ140" i="67"/>
  <c r="AP140" i="67"/>
  <c r="AO140" i="67"/>
  <c r="AN140" i="67"/>
  <c r="AM140" i="67"/>
  <c r="AL140" i="67"/>
  <c r="AK140" i="67"/>
  <c r="AJ140" i="67"/>
  <c r="AI140" i="67"/>
  <c r="AH140" i="67"/>
  <c r="AG140" i="67"/>
  <c r="AF140" i="67"/>
  <c r="AE140" i="67"/>
  <c r="AD140" i="67"/>
  <c r="AC140" i="67"/>
  <c r="AB140" i="67"/>
  <c r="AA140" i="67"/>
  <c r="Z140" i="67"/>
  <c r="Y140" i="67"/>
  <c r="X140" i="67"/>
  <c r="W140" i="67"/>
  <c r="V140" i="67"/>
  <c r="U140" i="67"/>
  <c r="T140" i="67"/>
  <c r="S140" i="67"/>
  <c r="R140" i="67"/>
  <c r="Q140" i="67"/>
  <c r="P140" i="67"/>
  <c r="O140" i="67"/>
  <c r="N140" i="67"/>
  <c r="M140" i="67"/>
  <c r="L140" i="67"/>
  <c r="K140" i="67"/>
  <c r="J140" i="67"/>
  <c r="I140" i="67"/>
  <c r="H140" i="67"/>
  <c r="G140" i="67"/>
  <c r="F140" i="67"/>
  <c r="E140" i="67"/>
  <c r="BD139" i="67"/>
  <c r="BC139" i="67"/>
  <c r="BB139" i="67"/>
  <c r="BA139" i="67"/>
  <c r="AZ139" i="67"/>
  <c r="AY139" i="67"/>
  <c r="AX139" i="67"/>
  <c r="AW139" i="67"/>
  <c r="AV139" i="67"/>
  <c r="AU139" i="67"/>
  <c r="AT139" i="67"/>
  <c r="AS139" i="67"/>
  <c r="AR139" i="67"/>
  <c r="AQ139" i="67"/>
  <c r="AP139" i="67"/>
  <c r="AO139" i="67"/>
  <c r="AN139" i="67"/>
  <c r="AM139" i="67"/>
  <c r="AL139" i="67"/>
  <c r="AK139" i="67"/>
  <c r="AJ139" i="67"/>
  <c r="AI139" i="67"/>
  <c r="AH139" i="67"/>
  <c r="AG139" i="67"/>
  <c r="AF139" i="67"/>
  <c r="AE139" i="67"/>
  <c r="AD139" i="67"/>
  <c r="AC139" i="67"/>
  <c r="AB139" i="67"/>
  <c r="AA139" i="67"/>
  <c r="Z139" i="67"/>
  <c r="Y139" i="67"/>
  <c r="X139" i="67"/>
  <c r="W139" i="67"/>
  <c r="V139" i="67"/>
  <c r="U139" i="67"/>
  <c r="T139" i="67"/>
  <c r="S139" i="67"/>
  <c r="R139" i="67"/>
  <c r="Q139" i="67"/>
  <c r="P139" i="67"/>
  <c r="O139" i="67"/>
  <c r="N139" i="67"/>
  <c r="M139" i="67"/>
  <c r="L139" i="67"/>
  <c r="K139" i="67"/>
  <c r="J139" i="67"/>
  <c r="I139" i="67"/>
  <c r="H139" i="67"/>
  <c r="G139" i="67"/>
  <c r="F139" i="67"/>
  <c r="E139" i="67"/>
  <c r="BD138" i="67"/>
  <c r="BC138" i="67"/>
  <c r="BB138" i="67"/>
  <c r="BA138" i="67"/>
  <c r="AZ138" i="67"/>
  <c r="AY138" i="67"/>
  <c r="AX138" i="67"/>
  <c r="AW138" i="67"/>
  <c r="AV138" i="67"/>
  <c r="AU138" i="67"/>
  <c r="AT138" i="67"/>
  <c r="AS138" i="67"/>
  <c r="AR138" i="67"/>
  <c r="AQ138" i="67"/>
  <c r="AP138" i="67"/>
  <c r="AO138" i="67"/>
  <c r="AN138" i="67"/>
  <c r="AM138" i="67"/>
  <c r="AL138" i="67"/>
  <c r="AK138" i="67"/>
  <c r="AJ138" i="67"/>
  <c r="AI138" i="67"/>
  <c r="AH138" i="67"/>
  <c r="AG138" i="67"/>
  <c r="AF138" i="67"/>
  <c r="AE138" i="67"/>
  <c r="AD138" i="67"/>
  <c r="AC138" i="67"/>
  <c r="AB138" i="67"/>
  <c r="AA138" i="67"/>
  <c r="Z138" i="67"/>
  <c r="Y138" i="67"/>
  <c r="X138" i="67"/>
  <c r="W138" i="67"/>
  <c r="V138" i="67"/>
  <c r="U138" i="67"/>
  <c r="T138" i="67"/>
  <c r="S138" i="67"/>
  <c r="R138" i="67"/>
  <c r="Q138" i="67"/>
  <c r="P138" i="67"/>
  <c r="O138" i="67"/>
  <c r="N138" i="67"/>
  <c r="M138" i="67"/>
  <c r="L138" i="67"/>
  <c r="K138" i="67"/>
  <c r="J138" i="67"/>
  <c r="I138" i="67"/>
  <c r="H138" i="67"/>
  <c r="G138" i="67"/>
  <c r="F138" i="67"/>
  <c r="E138" i="67"/>
  <c r="BD137" i="67"/>
  <c r="BC137" i="67"/>
  <c r="BB137" i="67"/>
  <c r="BA137" i="67"/>
  <c r="AZ137" i="67"/>
  <c r="AY137" i="67"/>
  <c r="AX137" i="67"/>
  <c r="AW137" i="67"/>
  <c r="AV137" i="67"/>
  <c r="AU137" i="67"/>
  <c r="AT137" i="67"/>
  <c r="AS137" i="67"/>
  <c r="AR137" i="67"/>
  <c r="AQ137" i="67"/>
  <c r="AP137" i="67"/>
  <c r="AO137" i="67"/>
  <c r="AN137" i="67"/>
  <c r="AM137" i="67"/>
  <c r="AL137" i="67"/>
  <c r="AK137" i="67"/>
  <c r="AJ137" i="67"/>
  <c r="AI137" i="67"/>
  <c r="AH137" i="67"/>
  <c r="AG137" i="67"/>
  <c r="AF137" i="67"/>
  <c r="AE137" i="67"/>
  <c r="AD137" i="67"/>
  <c r="AC137" i="67"/>
  <c r="AB137" i="67"/>
  <c r="AA137" i="67"/>
  <c r="Z137" i="67"/>
  <c r="Y137" i="67"/>
  <c r="X137" i="67"/>
  <c r="W137" i="67"/>
  <c r="V137" i="67"/>
  <c r="U137" i="67"/>
  <c r="T137" i="67"/>
  <c r="S137" i="67"/>
  <c r="R137" i="67"/>
  <c r="Q137" i="67"/>
  <c r="P137" i="67"/>
  <c r="O137" i="67"/>
  <c r="N137" i="67"/>
  <c r="M137" i="67"/>
  <c r="L137" i="67"/>
  <c r="K137" i="67"/>
  <c r="J137" i="67"/>
  <c r="I137" i="67"/>
  <c r="H137" i="67"/>
  <c r="G137" i="67"/>
  <c r="F137" i="67"/>
  <c r="E137" i="67"/>
  <c r="BD136" i="67"/>
  <c r="BC136" i="67"/>
  <c r="BB136" i="67"/>
  <c r="BA136" i="67"/>
  <c r="AZ136" i="67"/>
  <c r="AY136" i="67"/>
  <c r="AX136" i="67"/>
  <c r="AW136" i="67"/>
  <c r="AV136" i="67"/>
  <c r="AU136" i="67"/>
  <c r="AT136" i="67"/>
  <c r="AS136" i="67"/>
  <c r="AR136" i="67"/>
  <c r="AQ136" i="67"/>
  <c r="AP136" i="67"/>
  <c r="AO136" i="67"/>
  <c r="AN136" i="67"/>
  <c r="AM136" i="67"/>
  <c r="AL136" i="67"/>
  <c r="AK136" i="67"/>
  <c r="AJ136" i="67"/>
  <c r="AI136" i="67"/>
  <c r="AH136" i="67"/>
  <c r="AG136" i="67"/>
  <c r="AF136" i="67"/>
  <c r="AE136" i="67"/>
  <c r="AD136" i="67"/>
  <c r="AC136" i="67"/>
  <c r="AB136" i="67"/>
  <c r="AA136" i="67"/>
  <c r="Z136" i="67"/>
  <c r="Y136" i="67"/>
  <c r="X136" i="67"/>
  <c r="W136" i="67"/>
  <c r="V136" i="67"/>
  <c r="U136" i="67"/>
  <c r="T136" i="67"/>
  <c r="S136" i="67"/>
  <c r="R136" i="67"/>
  <c r="Q136" i="67"/>
  <c r="P136" i="67"/>
  <c r="O136" i="67"/>
  <c r="N136" i="67"/>
  <c r="M136" i="67"/>
  <c r="L136" i="67"/>
  <c r="K136" i="67"/>
  <c r="J136" i="67"/>
  <c r="I136" i="67"/>
  <c r="H136" i="67"/>
  <c r="G136" i="67"/>
  <c r="F136" i="67"/>
  <c r="E136" i="67"/>
  <c r="D131" i="67"/>
  <c r="D130" i="67"/>
  <c r="D129" i="67"/>
  <c r="D128" i="67"/>
  <c r="D127" i="67"/>
  <c r="D126" i="67"/>
  <c r="D125" i="67"/>
  <c r="E123" i="67"/>
  <c r="BD116" i="67"/>
  <c r="BD119" i="67" s="1"/>
  <c r="BC116" i="67"/>
  <c r="BC119" i="67" s="1"/>
  <c r="BB116" i="67"/>
  <c r="BB119" i="67" s="1"/>
  <c r="BA116" i="67"/>
  <c r="BA119" i="67" s="1"/>
  <c r="AZ116" i="67"/>
  <c r="AZ119" i="67" s="1"/>
  <c r="AY116" i="67"/>
  <c r="AY119" i="67" s="1"/>
  <c r="AX116" i="67"/>
  <c r="AX119" i="67" s="1"/>
  <c r="AW116" i="67"/>
  <c r="AW119" i="67" s="1"/>
  <c r="AV116" i="67"/>
  <c r="AV119" i="67" s="1"/>
  <c r="AU116" i="67"/>
  <c r="AU119" i="67" s="1"/>
  <c r="AT116" i="67"/>
  <c r="AT119" i="67" s="1"/>
  <c r="AS116" i="67"/>
  <c r="AS119" i="67" s="1"/>
  <c r="AR116" i="67"/>
  <c r="AR119" i="67" s="1"/>
  <c r="AQ116" i="67"/>
  <c r="AQ119" i="67" s="1"/>
  <c r="AP116" i="67"/>
  <c r="AP119" i="67" s="1"/>
  <c r="AO116" i="67"/>
  <c r="AO119" i="67" s="1"/>
  <c r="AN116" i="67"/>
  <c r="AN119" i="67" s="1"/>
  <c r="AM116" i="67"/>
  <c r="AM119" i="67" s="1"/>
  <c r="AL116" i="67"/>
  <c r="AL119" i="67" s="1"/>
  <c r="AK116" i="67"/>
  <c r="AK119" i="67" s="1"/>
  <c r="AJ116" i="67"/>
  <c r="AJ119" i="67" s="1"/>
  <c r="AI116" i="67"/>
  <c r="AI119" i="67" s="1"/>
  <c r="AH116" i="67"/>
  <c r="AH119" i="67" s="1"/>
  <c r="AG116" i="67"/>
  <c r="AG119" i="67" s="1"/>
  <c r="AF116" i="67"/>
  <c r="AF119" i="67" s="1"/>
  <c r="AE116" i="67"/>
  <c r="AE119" i="67" s="1"/>
  <c r="AD116" i="67"/>
  <c r="AD119" i="67" s="1"/>
  <c r="AC116" i="67"/>
  <c r="AC119" i="67" s="1"/>
  <c r="AB116" i="67"/>
  <c r="AB119" i="67" s="1"/>
  <c r="AA116" i="67"/>
  <c r="AA119" i="67" s="1"/>
  <c r="Z116" i="67"/>
  <c r="Z119" i="67" s="1"/>
  <c r="Y116" i="67"/>
  <c r="Y119" i="67" s="1"/>
  <c r="X116" i="67"/>
  <c r="X119" i="67" s="1"/>
  <c r="W116" i="67"/>
  <c r="W119" i="67" s="1"/>
  <c r="V116" i="67"/>
  <c r="V119" i="67" s="1"/>
  <c r="U116" i="67"/>
  <c r="U119" i="67" s="1"/>
  <c r="T116" i="67"/>
  <c r="T119" i="67" s="1"/>
  <c r="S116" i="67"/>
  <c r="S119" i="67" s="1"/>
  <c r="R116" i="67"/>
  <c r="R119" i="67" s="1"/>
  <c r="Q116" i="67"/>
  <c r="Q119" i="67" s="1"/>
  <c r="P116" i="67"/>
  <c r="P119" i="67" s="1"/>
  <c r="O116" i="67"/>
  <c r="O119" i="67" s="1"/>
  <c r="N116" i="67"/>
  <c r="N119" i="67" s="1"/>
  <c r="M116" i="67"/>
  <c r="M119" i="67" s="1"/>
  <c r="L116" i="67"/>
  <c r="L119" i="67" s="1"/>
  <c r="K116" i="67"/>
  <c r="K119" i="67" s="1"/>
  <c r="J116" i="67"/>
  <c r="J119" i="67" s="1"/>
  <c r="I116" i="67"/>
  <c r="I119" i="67" s="1"/>
  <c r="H116" i="67"/>
  <c r="H119" i="67" s="1"/>
  <c r="G116" i="67"/>
  <c r="G119" i="67" s="1"/>
  <c r="F116" i="67"/>
  <c r="F119" i="67" s="1"/>
  <c r="E116" i="67"/>
  <c r="E119" i="67" s="1"/>
  <c r="BD107" i="67"/>
  <c r="BD107" i="68" s="1"/>
  <c r="BD7" i="71" s="1"/>
  <c r="BC107" i="67"/>
  <c r="BC107" i="68" s="1"/>
  <c r="BC7" i="71" s="1"/>
  <c r="BB107" i="67"/>
  <c r="BB107" i="68" s="1"/>
  <c r="BB7" i="71" s="1"/>
  <c r="BA107" i="67"/>
  <c r="BA107" i="68" s="1"/>
  <c r="AZ107" i="67"/>
  <c r="AZ107" i="68" s="1"/>
  <c r="AZ7" i="71" s="1"/>
  <c r="AY107" i="67"/>
  <c r="AY107" i="68" s="1"/>
  <c r="AY7" i="71" s="1"/>
  <c r="AX107" i="67"/>
  <c r="AX107" i="68" s="1"/>
  <c r="AX7" i="71" s="1"/>
  <c r="AW107" i="67"/>
  <c r="AW107" i="68" s="1"/>
  <c r="AV107" i="67"/>
  <c r="AV107" i="68" s="1"/>
  <c r="AV7" i="71" s="1"/>
  <c r="AU107" i="67"/>
  <c r="AU107" i="68" s="1"/>
  <c r="AU7" i="71" s="1"/>
  <c r="AT107" i="67"/>
  <c r="AT107" i="68" s="1"/>
  <c r="AT7" i="71" s="1"/>
  <c r="AS107" i="67"/>
  <c r="AS107" i="68" s="1"/>
  <c r="AR107" i="67"/>
  <c r="AR107" i="68" s="1"/>
  <c r="AR7" i="71" s="1"/>
  <c r="AQ107" i="67"/>
  <c r="AQ107" i="68" s="1"/>
  <c r="AQ7" i="71" s="1"/>
  <c r="AP107" i="67"/>
  <c r="AP107" i="68" s="1"/>
  <c r="AP7" i="71" s="1"/>
  <c r="AO107" i="67"/>
  <c r="AO107" i="68" s="1"/>
  <c r="AN107" i="67"/>
  <c r="AN107" i="68" s="1"/>
  <c r="AN7" i="71" s="1"/>
  <c r="AM107" i="67"/>
  <c r="AM107" i="68" s="1"/>
  <c r="AM7" i="71" s="1"/>
  <c r="AL107" i="67"/>
  <c r="AL107" i="68" s="1"/>
  <c r="AL7" i="71" s="1"/>
  <c r="AK107" i="67"/>
  <c r="AK107" i="68" s="1"/>
  <c r="AJ107" i="67"/>
  <c r="AJ107" i="68" s="1"/>
  <c r="AJ7" i="71" s="1"/>
  <c r="AI107" i="67"/>
  <c r="AI107" i="68" s="1"/>
  <c r="AI7" i="71" s="1"/>
  <c r="AH107" i="67"/>
  <c r="AH107" i="68" s="1"/>
  <c r="AH7" i="71" s="1"/>
  <c r="AG107" i="67"/>
  <c r="AG107" i="68" s="1"/>
  <c r="AF107" i="67"/>
  <c r="AF107" i="68" s="1"/>
  <c r="AF7" i="71" s="1"/>
  <c r="AE107" i="67"/>
  <c r="AE107" i="68" s="1"/>
  <c r="AE7" i="71" s="1"/>
  <c r="AD107" i="67"/>
  <c r="AD107" i="68" s="1"/>
  <c r="AD7" i="71" s="1"/>
  <c r="AC107" i="67"/>
  <c r="AC107" i="68" s="1"/>
  <c r="AB107" i="67"/>
  <c r="AB107" i="68" s="1"/>
  <c r="AB7" i="71" s="1"/>
  <c r="AA107" i="67"/>
  <c r="AA107" i="68" s="1"/>
  <c r="AA7" i="71" s="1"/>
  <c r="Z107" i="67"/>
  <c r="Z107" i="68" s="1"/>
  <c r="Z7" i="71" s="1"/>
  <c r="Y107" i="67"/>
  <c r="Y107" i="68" s="1"/>
  <c r="X107" i="67"/>
  <c r="X107" i="68" s="1"/>
  <c r="X7" i="71" s="1"/>
  <c r="W107" i="67"/>
  <c r="W107" i="68" s="1"/>
  <c r="W7" i="71" s="1"/>
  <c r="V107" i="67"/>
  <c r="V107" i="68" s="1"/>
  <c r="V7" i="71" s="1"/>
  <c r="U107" i="67"/>
  <c r="U107" i="68" s="1"/>
  <c r="T107" i="67"/>
  <c r="T107" i="68" s="1"/>
  <c r="T7" i="71" s="1"/>
  <c r="S107" i="67"/>
  <c r="S107" i="68" s="1"/>
  <c r="S7" i="71" s="1"/>
  <c r="R107" i="67"/>
  <c r="R107" i="68" s="1"/>
  <c r="R7" i="71" s="1"/>
  <c r="Q107" i="67"/>
  <c r="Q107" i="68" s="1"/>
  <c r="P107" i="67"/>
  <c r="P107" i="68" s="1"/>
  <c r="P7" i="71" s="1"/>
  <c r="O107" i="67"/>
  <c r="O107" i="68" s="1"/>
  <c r="O7" i="71" s="1"/>
  <c r="N107" i="67"/>
  <c r="N107" i="68" s="1"/>
  <c r="N7" i="71" s="1"/>
  <c r="M107" i="67"/>
  <c r="M107" i="68" s="1"/>
  <c r="L107" i="67"/>
  <c r="L107" i="68" s="1"/>
  <c r="L7" i="71" s="1"/>
  <c r="K107" i="67"/>
  <c r="K107" i="68" s="1"/>
  <c r="K7" i="71" s="1"/>
  <c r="J107" i="67"/>
  <c r="J107" i="68" s="1"/>
  <c r="J7" i="71" s="1"/>
  <c r="I107" i="67"/>
  <c r="I107" i="68" s="1"/>
  <c r="H107" i="67"/>
  <c r="H107" i="68" s="1"/>
  <c r="H7" i="71" s="1"/>
  <c r="G107" i="67"/>
  <c r="G107" i="68" s="1"/>
  <c r="G7" i="71" s="1"/>
  <c r="F107" i="67"/>
  <c r="F107" i="68" s="1"/>
  <c r="F7" i="71" s="1"/>
  <c r="E107" i="67"/>
  <c r="E107" i="68" s="1"/>
  <c r="BD94" i="67"/>
  <c r="BD97" i="67" s="1"/>
  <c r="BC94" i="67"/>
  <c r="BC97" i="67" s="1"/>
  <c r="BB94" i="67"/>
  <c r="BB97" i="67" s="1"/>
  <c r="BA94" i="67"/>
  <c r="BA97" i="67" s="1"/>
  <c r="AZ94" i="67"/>
  <c r="AZ97" i="67" s="1"/>
  <c r="AY94" i="67"/>
  <c r="AY97" i="67" s="1"/>
  <c r="AX94" i="67"/>
  <c r="AX97" i="67" s="1"/>
  <c r="AW94" i="67"/>
  <c r="AW97" i="67" s="1"/>
  <c r="AV94" i="67"/>
  <c r="AV97" i="67" s="1"/>
  <c r="AU94" i="67"/>
  <c r="AU97" i="67" s="1"/>
  <c r="AT94" i="67"/>
  <c r="AT97" i="67" s="1"/>
  <c r="AS94" i="67"/>
  <c r="AS97" i="67" s="1"/>
  <c r="AR94" i="67"/>
  <c r="AR97" i="67" s="1"/>
  <c r="AQ94" i="67"/>
  <c r="AQ97" i="67" s="1"/>
  <c r="AP94" i="67"/>
  <c r="AP97" i="67" s="1"/>
  <c r="AO94" i="67"/>
  <c r="AO97" i="67" s="1"/>
  <c r="AN94" i="67"/>
  <c r="AN97" i="67" s="1"/>
  <c r="AM94" i="67"/>
  <c r="AM97" i="67" s="1"/>
  <c r="AL94" i="67"/>
  <c r="AL97" i="67" s="1"/>
  <c r="AK94" i="67"/>
  <c r="AK97" i="67" s="1"/>
  <c r="AJ94" i="67"/>
  <c r="AJ97" i="67" s="1"/>
  <c r="AI94" i="67"/>
  <c r="AI97" i="67" s="1"/>
  <c r="AH94" i="67"/>
  <c r="AH97" i="67" s="1"/>
  <c r="AG94" i="67"/>
  <c r="AG97" i="67" s="1"/>
  <c r="AF94" i="67"/>
  <c r="AF97" i="67" s="1"/>
  <c r="AE94" i="67"/>
  <c r="AE97" i="67" s="1"/>
  <c r="AD94" i="67"/>
  <c r="AD97" i="67" s="1"/>
  <c r="AC94" i="67"/>
  <c r="AC97" i="67" s="1"/>
  <c r="AB94" i="67"/>
  <c r="AB97" i="67" s="1"/>
  <c r="AA94" i="67"/>
  <c r="AA97" i="67" s="1"/>
  <c r="Z94" i="67"/>
  <c r="Z97" i="67" s="1"/>
  <c r="Y94" i="67"/>
  <c r="Y97" i="67" s="1"/>
  <c r="X94" i="67"/>
  <c r="X97" i="67" s="1"/>
  <c r="W94" i="67"/>
  <c r="W97" i="67" s="1"/>
  <c r="V94" i="67"/>
  <c r="V97" i="67" s="1"/>
  <c r="U94" i="67"/>
  <c r="U97" i="67" s="1"/>
  <c r="T94" i="67"/>
  <c r="T97" i="67" s="1"/>
  <c r="S94" i="67"/>
  <c r="S97" i="67" s="1"/>
  <c r="R94" i="67"/>
  <c r="R97" i="67" s="1"/>
  <c r="Q94" i="67"/>
  <c r="Q97" i="67" s="1"/>
  <c r="P94" i="67"/>
  <c r="P97" i="67" s="1"/>
  <c r="O94" i="67"/>
  <c r="O97" i="67" s="1"/>
  <c r="N94" i="67"/>
  <c r="N97" i="67" s="1"/>
  <c r="M94" i="67"/>
  <c r="M97" i="67" s="1"/>
  <c r="L94" i="67"/>
  <c r="L97" i="67" s="1"/>
  <c r="K94" i="67"/>
  <c r="K97" i="67" s="1"/>
  <c r="J94" i="67"/>
  <c r="J97" i="67" s="1"/>
  <c r="I94" i="67"/>
  <c r="I97" i="67" s="1"/>
  <c r="H94" i="67"/>
  <c r="H97" i="67" s="1"/>
  <c r="G94" i="67"/>
  <c r="G97" i="67" s="1"/>
  <c r="F94" i="67"/>
  <c r="F97" i="67" s="1"/>
  <c r="E94" i="67"/>
  <c r="E97" i="67" s="1"/>
  <c r="BD85" i="67"/>
  <c r="BD85" i="68" s="1"/>
  <c r="BC85" i="67"/>
  <c r="BC85" i="68" s="1"/>
  <c r="BB85" i="67"/>
  <c r="BB85" i="68" s="1"/>
  <c r="BA85" i="67"/>
  <c r="BA85" i="68" s="1"/>
  <c r="AZ85" i="67"/>
  <c r="AZ85" i="68" s="1"/>
  <c r="AY85" i="67"/>
  <c r="AY85" i="68" s="1"/>
  <c r="AX85" i="67"/>
  <c r="AX85" i="68" s="1"/>
  <c r="AW85" i="67"/>
  <c r="AW85" i="68" s="1"/>
  <c r="AV85" i="67"/>
  <c r="AV85" i="68" s="1"/>
  <c r="AU85" i="67"/>
  <c r="AU85" i="68" s="1"/>
  <c r="AT85" i="67"/>
  <c r="AT85" i="68" s="1"/>
  <c r="AS85" i="67"/>
  <c r="AS85" i="68" s="1"/>
  <c r="AR85" i="67"/>
  <c r="AR85" i="68" s="1"/>
  <c r="AQ85" i="67"/>
  <c r="AQ85" i="68" s="1"/>
  <c r="AP85" i="67"/>
  <c r="AP85" i="68" s="1"/>
  <c r="AO85" i="67"/>
  <c r="AO85" i="68" s="1"/>
  <c r="AN85" i="67"/>
  <c r="AN85" i="68" s="1"/>
  <c r="AM85" i="67"/>
  <c r="AM85" i="68" s="1"/>
  <c r="AL85" i="67"/>
  <c r="AL85" i="68" s="1"/>
  <c r="AK85" i="67"/>
  <c r="AK85" i="68" s="1"/>
  <c r="AJ85" i="67"/>
  <c r="AJ85" i="68" s="1"/>
  <c r="AI85" i="67"/>
  <c r="AI85" i="68" s="1"/>
  <c r="AH85" i="67"/>
  <c r="AH85" i="68" s="1"/>
  <c r="AG85" i="67"/>
  <c r="AG85" i="68" s="1"/>
  <c r="AF85" i="67"/>
  <c r="AF85" i="68" s="1"/>
  <c r="AE85" i="67"/>
  <c r="AE85" i="68" s="1"/>
  <c r="AD85" i="67"/>
  <c r="AD85" i="68" s="1"/>
  <c r="AC85" i="67"/>
  <c r="AC85" i="68" s="1"/>
  <c r="AB85" i="67"/>
  <c r="AB85" i="68" s="1"/>
  <c r="AA85" i="67"/>
  <c r="AA85" i="68" s="1"/>
  <c r="Z85" i="67"/>
  <c r="Z85" i="68" s="1"/>
  <c r="Y85" i="67"/>
  <c r="Y85" i="68" s="1"/>
  <c r="X85" i="67"/>
  <c r="X85" i="68" s="1"/>
  <c r="W85" i="67"/>
  <c r="W85" i="68" s="1"/>
  <c r="V85" i="67"/>
  <c r="V85" i="68" s="1"/>
  <c r="U85" i="67"/>
  <c r="U85" i="68" s="1"/>
  <c r="T85" i="67"/>
  <c r="T85" i="68" s="1"/>
  <c r="S85" i="67"/>
  <c r="S85" i="68" s="1"/>
  <c r="R85" i="67"/>
  <c r="R85" i="68" s="1"/>
  <c r="Q85" i="67"/>
  <c r="Q85" i="68" s="1"/>
  <c r="P85" i="67"/>
  <c r="P85" i="68" s="1"/>
  <c r="O85" i="67"/>
  <c r="O85" i="68" s="1"/>
  <c r="N85" i="67"/>
  <c r="N85" i="68" s="1"/>
  <c r="M85" i="67"/>
  <c r="M85" i="68" s="1"/>
  <c r="L85" i="67"/>
  <c r="L85" i="68" s="1"/>
  <c r="K85" i="67"/>
  <c r="K85" i="68" s="1"/>
  <c r="J85" i="67"/>
  <c r="J85" i="68" s="1"/>
  <c r="I85" i="67"/>
  <c r="I85" i="68" s="1"/>
  <c r="H85" i="67"/>
  <c r="H85" i="68" s="1"/>
  <c r="G85" i="67"/>
  <c r="G85" i="68" s="1"/>
  <c r="F85" i="67"/>
  <c r="F85" i="68" s="1"/>
  <c r="E85" i="67"/>
  <c r="E85" i="68" s="1"/>
  <c r="E78" i="67"/>
  <c r="E102" i="67" s="1"/>
  <c r="BD71" i="67"/>
  <c r="BD74" i="67" s="1"/>
  <c r="BC71" i="67"/>
  <c r="BC74" i="67" s="1"/>
  <c r="BB71" i="67"/>
  <c r="BB74" i="67" s="1"/>
  <c r="BA71" i="67"/>
  <c r="BA74" i="67" s="1"/>
  <c r="AZ71" i="67"/>
  <c r="AZ74" i="67" s="1"/>
  <c r="AY71" i="67"/>
  <c r="AY74" i="67" s="1"/>
  <c r="AX71" i="67"/>
  <c r="AX74" i="67" s="1"/>
  <c r="AW71" i="67"/>
  <c r="AW74" i="67" s="1"/>
  <c r="AV71" i="67"/>
  <c r="AV74" i="67" s="1"/>
  <c r="AU71" i="67"/>
  <c r="AU74" i="67" s="1"/>
  <c r="AT71" i="67"/>
  <c r="AT74" i="67" s="1"/>
  <c r="AS71" i="67"/>
  <c r="AS74" i="67" s="1"/>
  <c r="AR71" i="67"/>
  <c r="AR74" i="67" s="1"/>
  <c r="AQ71" i="67"/>
  <c r="AQ74" i="67" s="1"/>
  <c r="AP71" i="67"/>
  <c r="AP74" i="67" s="1"/>
  <c r="AO71" i="67"/>
  <c r="AO74" i="67" s="1"/>
  <c r="AN71" i="67"/>
  <c r="AN74" i="67" s="1"/>
  <c r="AM71" i="67"/>
  <c r="AM74" i="67" s="1"/>
  <c r="AL71" i="67"/>
  <c r="AL74" i="67" s="1"/>
  <c r="AK71" i="67"/>
  <c r="AK74" i="67" s="1"/>
  <c r="AJ71" i="67"/>
  <c r="AJ74" i="67" s="1"/>
  <c r="AI71" i="67"/>
  <c r="AI74" i="67" s="1"/>
  <c r="AH71" i="67"/>
  <c r="AH74" i="67" s="1"/>
  <c r="AG71" i="67"/>
  <c r="AG74" i="67" s="1"/>
  <c r="AF71" i="67"/>
  <c r="AF74" i="67" s="1"/>
  <c r="AE71" i="67"/>
  <c r="AE74" i="67" s="1"/>
  <c r="AD71" i="67"/>
  <c r="AD74" i="67" s="1"/>
  <c r="AC71" i="67"/>
  <c r="AC74" i="67" s="1"/>
  <c r="AB71" i="67"/>
  <c r="AB74" i="67" s="1"/>
  <c r="AA71" i="67"/>
  <c r="AA74" i="67" s="1"/>
  <c r="Z71" i="67"/>
  <c r="Z74" i="67" s="1"/>
  <c r="Y71" i="67"/>
  <c r="Y74" i="67" s="1"/>
  <c r="X71" i="67"/>
  <c r="X74" i="67" s="1"/>
  <c r="W71" i="67"/>
  <c r="W74" i="67" s="1"/>
  <c r="V71" i="67"/>
  <c r="V74" i="67" s="1"/>
  <c r="U71" i="67"/>
  <c r="U74" i="67" s="1"/>
  <c r="T71" i="67"/>
  <c r="T74" i="67" s="1"/>
  <c r="S71" i="67"/>
  <c r="S74" i="67" s="1"/>
  <c r="R71" i="67"/>
  <c r="R74" i="67" s="1"/>
  <c r="Q71" i="67"/>
  <c r="Q74" i="67" s="1"/>
  <c r="P71" i="67"/>
  <c r="P74" i="67" s="1"/>
  <c r="O71" i="67"/>
  <c r="O74" i="67" s="1"/>
  <c r="N71" i="67"/>
  <c r="N74" i="67" s="1"/>
  <c r="M71" i="67"/>
  <c r="M74" i="67" s="1"/>
  <c r="L71" i="67"/>
  <c r="L74" i="67" s="1"/>
  <c r="K71" i="67"/>
  <c r="K74" i="67" s="1"/>
  <c r="J71" i="67"/>
  <c r="J74" i="67" s="1"/>
  <c r="I71" i="67"/>
  <c r="I74" i="67" s="1"/>
  <c r="H71" i="67"/>
  <c r="H74" i="67" s="1"/>
  <c r="G71" i="67"/>
  <c r="G74" i="67" s="1"/>
  <c r="F71" i="67"/>
  <c r="F74" i="67" s="1"/>
  <c r="E71" i="67"/>
  <c r="E74" i="67" s="1"/>
  <c r="BD62" i="67"/>
  <c r="BC62" i="67"/>
  <c r="BB62" i="67"/>
  <c r="BA62" i="67"/>
  <c r="AZ62" i="67"/>
  <c r="AY62" i="67"/>
  <c r="AX62" i="67"/>
  <c r="AW62" i="67"/>
  <c r="AV62" i="67"/>
  <c r="AU62" i="67"/>
  <c r="AT62" i="67"/>
  <c r="AS62" i="67"/>
  <c r="AR62" i="67"/>
  <c r="AQ62" i="67"/>
  <c r="AP62" i="67"/>
  <c r="AO62" i="67"/>
  <c r="AN62" i="67"/>
  <c r="AM62" i="67"/>
  <c r="AL62" i="67"/>
  <c r="AK62" i="67"/>
  <c r="AJ62" i="67"/>
  <c r="AI62" i="67"/>
  <c r="AH62" i="67"/>
  <c r="AG62" i="67"/>
  <c r="AF62" i="67"/>
  <c r="AE62" i="67"/>
  <c r="AD62" i="67"/>
  <c r="AC62" i="67"/>
  <c r="AB62" i="67"/>
  <c r="AA62" i="67"/>
  <c r="Z62" i="67"/>
  <c r="Y62" i="67"/>
  <c r="X62" i="67"/>
  <c r="W62" i="67"/>
  <c r="V62" i="67"/>
  <c r="U62" i="67"/>
  <c r="T62" i="67"/>
  <c r="S62" i="67"/>
  <c r="R62" i="67"/>
  <c r="Q62" i="67"/>
  <c r="P62" i="67"/>
  <c r="O62" i="67"/>
  <c r="N62" i="67"/>
  <c r="M62" i="67"/>
  <c r="L62" i="67"/>
  <c r="K62" i="67"/>
  <c r="J62" i="67"/>
  <c r="I62" i="67"/>
  <c r="H62" i="67"/>
  <c r="G62" i="67"/>
  <c r="F62" i="67"/>
  <c r="E62" i="67"/>
  <c r="F56" i="67"/>
  <c r="E56" i="67"/>
  <c r="BD49" i="67"/>
  <c r="BD52" i="67" s="1"/>
  <c r="BC49" i="67"/>
  <c r="BC52" i="67" s="1"/>
  <c r="BB49" i="67"/>
  <c r="BB52" i="67" s="1"/>
  <c r="BA49" i="67"/>
  <c r="BA52" i="67" s="1"/>
  <c r="AZ49" i="67"/>
  <c r="AZ52" i="67" s="1"/>
  <c r="AY49" i="67"/>
  <c r="AY52" i="67" s="1"/>
  <c r="AX49" i="67"/>
  <c r="AX52" i="67" s="1"/>
  <c r="AW49" i="67"/>
  <c r="AW52" i="67" s="1"/>
  <c r="AV49" i="67"/>
  <c r="AV52" i="67" s="1"/>
  <c r="AU49" i="67"/>
  <c r="AU52" i="67" s="1"/>
  <c r="AT49" i="67"/>
  <c r="AT52" i="67" s="1"/>
  <c r="AS49" i="67"/>
  <c r="AS52" i="67" s="1"/>
  <c r="AR49" i="67"/>
  <c r="AR52" i="67" s="1"/>
  <c r="AQ49" i="67"/>
  <c r="AQ52" i="67" s="1"/>
  <c r="AP49" i="67"/>
  <c r="AP52" i="67" s="1"/>
  <c r="AO49" i="67"/>
  <c r="AO52" i="67" s="1"/>
  <c r="AN49" i="67"/>
  <c r="AN52" i="67" s="1"/>
  <c r="AM49" i="67"/>
  <c r="AM52" i="67" s="1"/>
  <c r="AL49" i="67"/>
  <c r="AL52" i="67" s="1"/>
  <c r="AK49" i="67"/>
  <c r="AK52" i="67" s="1"/>
  <c r="AJ49" i="67"/>
  <c r="AJ52" i="67" s="1"/>
  <c r="AI49" i="67"/>
  <c r="AI52" i="67" s="1"/>
  <c r="AH49" i="67"/>
  <c r="AH52" i="67" s="1"/>
  <c r="AG49" i="67"/>
  <c r="AG52" i="67" s="1"/>
  <c r="AF49" i="67"/>
  <c r="AF52" i="67" s="1"/>
  <c r="AE49" i="67"/>
  <c r="AE52" i="67" s="1"/>
  <c r="AD49" i="67"/>
  <c r="AD52" i="67" s="1"/>
  <c r="AC49" i="67"/>
  <c r="AC52" i="67" s="1"/>
  <c r="AB49" i="67"/>
  <c r="AB52" i="67" s="1"/>
  <c r="AA49" i="67"/>
  <c r="AA52" i="67" s="1"/>
  <c r="Z49" i="67"/>
  <c r="Z52" i="67" s="1"/>
  <c r="Y49" i="67"/>
  <c r="Y52" i="67" s="1"/>
  <c r="X49" i="67"/>
  <c r="X52" i="67" s="1"/>
  <c r="W49" i="67"/>
  <c r="W52" i="67" s="1"/>
  <c r="V49" i="67"/>
  <c r="V52" i="67" s="1"/>
  <c r="U49" i="67"/>
  <c r="U52" i="67" s="1"/>
  <c r="T49" i="67"/>
  <c r="T52" i="67" s="1"/>
  <c r="S49" i="67"/>
  <c r="S52" i="67" s="1"/>
  <c r="R49" i="67"/>
  <c r="R52" i="67" s="1"/>
  <c r="Q49" i="67"/>
  <c r="Q52" i="67" s="1"/>
  <c r="P49" i="67"/>
  <c r="P52" i="67" s="1"/>
  <c r="O49" i="67"/>
  <c r="O52" i="67" s="1"/>
  <c r="N49" i="67"/>
  <c r="N52" i="67" s="1"/>
  <c r="M49" i="67"/>
  <c r="M52" i="67" s="1"/>
  <c r="L49" i="67"/>
  <c r="L52" i="67" s="1"/>
  <c r="K49" i="67"/>
  <c r="K52" i="67" s="1"/>
  <c r="J49" i="67"/>
  <c r="J52" i="67" s="1"/>
  <c r="I49" i="67"/>
  <c r="I52" i="67" s="1"/>
  <c r="H49" i="67"/>
  <c r="H52" i="67" s="1"/>
  <c r="G49" i="67"/>
  <c r="G52" i="67" s="1"/>
  <c r="F49" i="67"/>
  <c r="F52" i="67" s="1"/>
  <c r="E49" i="67"/>
  <c r="E52" i="67" s="1"/>
  <c r="BD40" i="67"/>
  <c r="BC40" i="67"/>
  <c r="BB40" i="67"/>
  <c r="BA40" i="67"/>
  <c r="AZ40" i="67"/>
  <c r="AY40" i="67"/>
  <c r="AX40" i="67"/>
  <c r="AW40" i="67"/>
  <c r="AV40" i="67"/>
  <c r="AU40" i="67"/>
  <c r="AT40" i="67"/>
  <c r="AS40" i="67"/>
  <c r="AR40" i="67"/>
  <c r="AQ40" i="67"/>
  <c r="AP40" i="67"/>
  <c r="AO40" i="67"/>
  <c r="AN40" i="67"/>
  <c r="AM40" i="67"/>
  <c r="AL40" i="67"/>
  <c r="AK40" i="67"/>
  <c r="AJ40" i="67"/>
  <c r="AI40" i="67"/>
  <c r="AH40" i="67"/>
  <c r="AG40" i="67"/>
  <c r="AF40" i="67"/>
  <c r="AE40" i="67"/>
  <c r="AD40" i="67"/>
  <c r="AC40" i="67"/>
  <c r="AB40" i="67"/>
  <c r="AA40" i="67"/>
  <c r="Z40" i="67"/>
  <c r="Y40" i="67"/>
  <c r="X40" i="67"/>
  <c r="W40" i="67"/>
  <c r="V40" i="67"/>
  <c r="U40" i="67"/>
  <c r="T40" i="67"/>
  <c r="S40" i="67"/>
  <c r="R40" i="67"/>
  <c r="Q40" i="67"/>
  <c r="P40" i="67"/>
  <c r="O40" i="67"/>
  <c r="N40" i="67"/>
  <c r="M40" i="67"/>
  <c r="L40" i="67"/>
  <c r="K40" i="67"/>
  <c r="J40" i="67"/>
  <c r="I40" i="67"/>
  <c r="H40" i="67"/>
  <c r="G40" i="67"/>
  <c r="F40" i="67"/>
  <c r="E40" i="67"/>
  <c r="F35" i="67"/>
  <c r="E35" i="67"/>
  <c r="BD33" i="67"/>
  <c r="BC33" i="67"/>
  <c r="BB33" i="67"/>
  <c r="BA33" i="67"/>
  <c r="AZ33" i="67"/>
  <c r="AY33" i="67"/>
  <c r="AX33" i="67"/>
  <c r="AW33" i="67"/>
  <c r="AV33" i="67"/>
  <c r="AU33" i="67"/>
  <c r="AT33" i="67"/>
  <c r="AS33" i="67"/>
  <c r="AR33" i="67"/>
  <c r="AQ33" i="67"/>
  <c r="AP33" i="67"/>
  <c r="AO33" i="67"/>
  <c r="AN33" i="67"/>
  <c r="AM33" i="67"/>
  <c r="AL33" i="67"/>
  <c r="AK33" i="67"/>
  <c r="AJ33" i="67"/>
  <c r="AI33" i="67"/>
  <c r="AH33" i="67"/>
  <c r="AG33" i="67"/>
  <c r="AF33" i="67"/>
  <c r="AE33" i="67"/>
  <c r="AD33" i="67"/>
  <c r="AC33" i="67"/>
  <c r="AB33" i="67"/>
  <c r="AA33" i="67"/>
  <c r="Z33" i="67"/>
  <c r="Y33" i="67"/>
  <c r="X33" i="67"/>
  <c r="W33" i="67"/>
  <c r="V33" i="67"/>
  <c r="U33" i="67"/>
  <c r="T33" i="67"/>
  <c r="S33" i="67"/>
  <c r="R33" i="67"/>
  <c r="Q33" i="67"/>
  <c r="P33" i="67"/>
  <c r="O33" i="67"/>
  <c r="N33" i="67"/>
  <c r="M33" i="67"/>
  <c r="L33" i="67"/>
  <c r="K33" i="67"/>
  <c r="J33" i="67"/>
  <c r="I33" i="67"/>
  <c r="H33" i="67"/>
  <c r="G33" i="67"/>
  <c r="F33" i="67"/>
  <c r="E33" i="67"/>
  <c r="BD25" i="67"/>
  <c r="BD28" i="67" s="1"/>
  <c r="BC25" i="67"/>
  <c r="BC28" i="67" s="1"/>
  <c r="BB25" i="67"/>
  <c r="BB28" i="67" s="1"/>
  <c r="BA25" i="67"/>
  <c r="BA28" i="67" s="1"/>
  <c r="AZ25" i="67"/>
  <c r="AZ28" i="67" s="1"/>
  <c r="AY25" i="67"/>
  <c r="AY28" i="67" s="1"/>
  <c r="AX25" i="67"/>
  <c r="AX28" i="67" s="1"/>
  <c r="AW25" i="67"/>
  <c r="AW28" i="67" s="1"/>
  <c r="AV25" i="67"/>
  <c r="AV28" i="67" s="1"/>
  <c r="AU25" i="67"/>
  <c r="AU28" i="67" s="1"/>
  <c r="AT25" i="67"/>
  <c r="AT28" i="67" s="1"/>
  <c r="AS25" i="67"/>
  <c r="AS28" i="67" s="1"/>
  <c r="AR25" i="67"/>
  <c r="AR28" i="67" s="1"/>
  <c r="AQ25" i="67"/>
  <c r="AQ28" i="67" s="1"/>
  <c r="AP25" i="67"/>
  <c r="AP28" i="67" s="1"/>
  <c r="AO25" i="67"/>
  <c r="AO28" i="67" s="1"/>
  <c r="AN25" i="67"/>
  <c r="AN28" i="67" s="1"/>
  <c r="AM25" i="67"/>
  <c r="AM28" i="67" s="1"/>
  <c r="AL25" i="67"/>
  <c r="AL28" i="67" s="1"/>
  <c r="AK25" i="67"/>
  <c r="AK28" i="67" s="1"/>
  <c r="AJ25" i="67"/>
  <c r="AJ28" i="67" s="1"/>
  <c r="AI25" i="67"/>
  <c r="AI28" i="67" s="1"/>
  <c r="AH25" i="67"/>
  <c r="AH28" i="67" s="1"/>
  <c r="AG25" i="67"/>
  <c r="AG28" i="67" s="1"/>
  <c r="AF25" i="67"/>
  <c r="AF28" i="67" s="1"/>
  <c r="AE25" i="67"/>
  <c r="AE28" i="67" s="1"/>
  <c r="AD25" i="67"/>
  <c r="AD28" i="67" s="1"/>
  <c r="AC25" i="67"/>
  <c r="AC28" i="67" s="1"/>
  <c r="AB25" i="67"/>
  <c r="AB28" i="67" s="1"/>
  <c r="AA25" i="67"/>
  <c r="AA28" i="67" s="1"/>
  <c r="Z25" i="67"/>
  <c r="Z28" i="67" s="1"/>
  <c r="Y25" i="67"/>
  <c r="Y28" i="67" s="1"/>
  <c r="X25" i="67"/>
  <c r="X28" i="67" s="1"/>
  <c r="W25" i="67"/>
  <c r="W28" i="67" s="1"/>
  <c r="V25" i="67"/>
  <c r="V28" i="67" s="1"/>
  <c r="U25" i="67"/>
  <c r="U28" i="67" s="1"/>
  <c r="T25" i="67"/>
  <c r="T28" i="67" s="1"/>
  <c r="S25" i="67"/>
  <c r="S28" i="67" s="1"/>
  <c r="R25" i="67"/>
  <c r="R28" i="67" s="1"/>
  <c r="Q25" i="67"/>
  <c r="Q28" i="67" s="1"/>
  <c r="P25" i="67"/>
  <c r="P28" i="67" s="1"/>
  <c r="O25" i="67"/>
  <c r="O28" i="67" s="1"/>
  <c r="N25" i="67"/>
  <c r="N28" i="67" s="1"/>
  <c r="M25" i="67"/>
  <c r="M28" i="67" s="1"/>
  <c r="L25" i="67"/>
  <c r="L28" i="67" s="1"/>
  <c r="K25" i="67"/>
  <c r="K28" i="67" s="1"/>
  <c r="J25" i="67"/>
  <c r="J28" i="67" s="1"/>
  <c r="I25" i="67"/>
  <c r="I28" i="67" s="1"/>
  <c r="H25" i="67"/>
  <c r="H28" i="67" s="1"/>
  <c r="G25" i="67"/>
  <c r="G28" i="67" s="1"/>
  <c r="F25" i="67"/>
  <c r="F28" i="67" s="1"/>
  <c r="E25" i="67"/>
  <c r="E28" i="67" s="1"/>
  <c r="D16" i="67"/>
  <c r="D15" i="67"/>
  <c r="D14" i="67"/>
  <c r="BD7" i="67"/>
  <c r="BC7" i="67"/>
  <c r="BB7" i="67"/>
  <c r="BA7" i="67"/>
  <c r="AZ7" i="67"/>
  <c r="AY7" i="67"/>
  <c r="AX7" i="67"/>
  <c r="AW7" i="67"/>
  <c r="AV7" i="67"/>
  <c r="AU7" i="67"/>
  <c r="AT7" i="67"/>
  <c r="AS7" i="67"/>
  <c r="AR7" i="67"/>
  <c r="AQ7" i="67"/>
  <c r="AP7" i="67"/>
  <c r="AO7" i="67"/>
  <c r="AN7" i="67"/>
  <c r="AM7" i="67"/>
  <c r="AL7" i="67"/>
  <c r="AK7" i="67"/>
  <c r="AJ7" i="67"/>
  <c r="AI7" i="67"/>
  <c r="AH7" i="67"/>
  <c r="AG7" i="67"/>
  <c r="AF7" i="67"/>
  <c r="AE7" i="67"/>
  <c r="AD7" i="67"/>
  <c r="AC7" i="67"/>
  <c r="AB7" i="67"/>
  <c r="AA7" i="67"/>
  <c r="Z7" i="67"/>
  <c r="Y7" i="67"/>
  <c r="X7" i="67"/>
  <c r="W7" i="67"/>
  <c r="V7" i="67"/>
  <c r="U7" i="67"/>
  <c r="T7" i="67"/>
  <c r="S7" i="67"/>
  <c r="R7" i="67"/>
  <c r="Q7" i="67"/>
  <c r="P7" i="67"/>
  <c r="O7" i="67"/>
  <c r="N7" i="67"/>
  <c r="M7" i="67"/>
  <c r="L7" i="67"/>
  <c r="K7" i="67"/>
  <c r="J7" i="67"/>
  <c r="I7" i="67"/>
  <c r="H7" i="67"/>
  <c r="G7" i="67"/>
  <c r="F7" i="67"/>
  <c r="E7" i="67"/>
  <c r="F2" i="67"/>
  <c r="G2" i="67" s="1"/>
  <c r="H2" i="67" l="1"/>
  <c r="H123" i="67" s="1"/>
  <c r="G56" i="67"/>
  <c r="G35" i="67"/>
  <c r="E7" i="71"/>
  <c r="I7" i="71"/>
  <c r="M7" i="71"/>
  <c r="Q7" i="71"/>
  <c r="U7" i="71"/>
  <c r="Y7" i="71"/>
  <c r="AC7" i="71"/>
  <c r="AG7" i="71"/>
  <c r="AK7" i="71"/>
  <c r="AO7" i="71"/>
  <c r="AS7" i="71"/>
  <c r="AW7" i="71"/>
  <c r="BA7" i="71"/>
  <c r="Z6" i="71"/>
  <c r="AH6" i="71"/>
  <c r="AP6" i="71"/>
  <c r="W6" i="71"/>
  <c r="AE6" i="71"/>
  <c r="AM6" i="71"/>
  <c r="AU6" i="71"/>
  <c r="BC6" i="71"/>
  <c r="AE116" i="68"/>
  <c r="AE119" i="68" s="1"/>
  <c r="S140" i="68"/>
  <c r="AY140" i="68"/>
  <c r="K142" i="68"/>
  <c r="AI142" i="68"/>
  <c r="AX6" i="71"/>
  <c r="BC116" i="68"/>
  <c r="BC119" i="68" s="1"/>
  <c r="X6" i="71"/>
  <c r="AF6" i="71"/>
  <c r="AN6" i="71"/>
  <c r="AV6" i="71"/>
  <c r="BD6" i="71"/>
  <c r="L38" i="70"/>
  <c r="T38" i="70"/>
  <c r="V6" i="71"/>
  <c r="AD6" i="71"/>
  <c r="AL6" i="71"/>
  <c r="AT6" i="71"/>
  <c r="BB6" i="71"/>
  <c r="J38" i="70"/>
  <c r="Y6" i="71"/>
  <c r="AG6" i="71"/>
  <c r="AO6" i="71"/>
  <c r="AW6" i="71"/>
  <c r="AR6" i="71"/>
  <c r="AZ6" i="71"/>
  <c r="U6" i="71"/>
  <c r="AC6" i="71"/>
  <c r="AK6" i="71"/>
  <c r="AS6" i="71"/>
  <c r="BA6" i="71"/>
  <c r="AB6" i="71"/>
  <c r="AJ6" i="71"/>
  <c r="AA6" i="71"/>
  <c r="AI6" i="71"/>
  <c r="AQ6" i="71"/>
  <c r="AY6" i="71"/>
  <c r="E6" i="71"/>
  <c r="M6" i="71"/>
  <c r="L7" i="70"/>
  <c r="T7" i="70"/>
  <c r="AR33" i="68"/>
  <c r="L33" i="68"/>
  <c r="S136" i="68"/>
  <c r="G137" i="68"/>
  <c r="S138" i="68"/>
  <c r="AQ138" i="68"/>
  <c r="I139" i="68"/>
  <c r="M142" i="68"/>
  <c r="AS88" i="70"/>
  <c r="AK88" i="70"/>
  <c r="AK91" i="70" s="1"/>
  <c r="AK92" i="70" s="1"/>
  <c r="BA88" i="70"/>
  <c r="BA91" i="70" s="1"/>
  <c r="BA92" i="70" s="1"/>
  <c r="Y68" i="70"/>
  <c r="AO68" i="70"/>
  <c r="AW68" i="70"/>
  <c r="Y47" i="70"/>
  <c r="Y50" i="70" s="1"/>
  <c r="AW31" i="70"/>
  <c r="H7" i="70"/>
  <c r="P7" i="70"/>
  <c r="BC71" i="68"/>
  <c r="BC74" i="68" s="1"/>
  <c r="O33" i="68"/>
  <c r="AE33" i="68"/>
  <c r="BC33" i="68"/>
  <c r="G71" i="68"/>
  <c r="G74" i="68" s="1"/>
  <c r="O71" i="68"/>
  <c r="O74" i="68" s="1"/>
  <c r="W71" i="68"/>
  <c r="W74" i="68" s="1"/>
  <c r="AE71" i="68"/>
  <c r="AE74" i="68" s="1"/>
  <c r="AM71" i="68"/>
  <c r="AM74" i="68" s="1"/>
  <c r="AU71" i="68"/>
  <c r="AU74" i="68" s="1"/>
  <c r="F79" i="70"/>
  <c r="F6" i="71" s="1"/>
  <c r="H38" i="70"/>
  <c r="P38" i="70"/>
  <c r="V127" i="70"/>
  <c r="AR31" i="70"/>
  <c r="J94" i="68"/>
  <c r="J97" i="68" s="1"/>
  <c r="J98" i="68" s="1"/>
  <c r="Z94" i="68"/>
  <c r="Z97" i="68" s="1"/>
  <c r="Z98" i="68" s="1"/>
  <c r="AP94" i="68"/>
  <c r="AP97" i="68" s="1"/>
  <c r="AP98" i="68" s="1"/>
  <c r="H79" i="70"/>
  <c r="H6" i="71" s="1"/>
  <c r="E105" i="70"/>
  <c r="M105" i="70"/>
  <c r="M108" i="70" s="1"/>
  <c r="M109" i="70" s="1"/>
  <c r="U105" i="70"/>
  <c r="U108" i="70" s="1"/>
  <c r="U109" i="70" s="1"/>
  <c r="AC105" i="70"/>
  <c r="AK105" i="70"/>
  <c r="AK108" i="70" s="1"/>
  <c r="AK109" i="70" s="1"/>
  <c r="AS105" i="70"/>
  <c r="AS108" i="70" s="1"/>
  <c r="AS109" i="70" s="1"/>
  <c r="BA105" i="70"/>
  <c r="BA108" i="70" s="1"/>
  <c r="BA109" i="70" s="1"/>
  <c r="E88" i="70"/>
  <c r="E91" i="70" s="1"/>
  <c r="E92" i="70" s="1"/>
  <c r="M88" i="70"/>
  <c r="M91" i="70" s="1"/>
  <c r="M92" i="70" s="1"/>
  <c r="U88" i="70"/>
  <c r="U91" i="70" s="1"/>
  <c r="U92" i="70" s="1"/>
  <c r="K88" i="70"/>
  <c r="K91" i="70" s="1"/>
  <c r="S88" i="70"/>
  <c r="S91" i="70" s="1"/>
  <c r="AA88" i="70"/>
  <c r="AA91" i="70" s="1"/>
  <c r="AA92" i="70" s="1"/>
  <c r="AI88" i="70"/>
  <c r="AI91" i="70" s="1"/>
  <c r="AI92" i="70" s="1"/>
  <c r="AQ88" i="70"/>
  <c r="AQ91" i="70" s="1"/>
  <c r="AQ92" i="70" s="1"/>
  <c r="AY88" i="70"/>
  <c r="AY91" i="70" s="1"/>
  <c r="AY92" i="70" s="1"/>
  <c r="AP47" i="70"/>
  <c r="AP50" i="70" s="1"/>
  <c r="AX47" i="70"/>
  <c r="AX50" i="70" s="1"/>
  <c r="I38" i="70"/>
  <c r="Q38" i="70"/>
  <c r="G38" i="70"/>
  <c r="O38" i="70"/>
  <c r="P79" i="70"/>
  <c r="P6" i="71" s="1"/>
  <c r="AX126" i="70"/>
  <c r="AH47" i="70"/>
  <c r="AH50" i="70" s="1"/>
  <c r="F125" i="70"/>
  <c r="N125" i="70"/>
  <c r="V125" i="70"/>
  <c r="AD125" i="70"/>
  <c r="AL125" i="70"/>
  <c r="AT125" i="70"/>
  <c r="BB125" i="70"/>
  <c r="J126" i="70"/>
  <c r="R126" i="70"/>
  <c r="AH126" i="70"/>
  <c r="AP126" i="70"/>
  <c r="F127" i="70"/>
  <c r="N127" i="70"/>
  <c r="AD127" i="70"/>
  <c r="AL127" i="70"/>
  <c r="AT127" i="70"/>
  <c r="BB127" i="70"/>
  <c r="J128" i="70"/>
  <c r="R128" i="70"/>
  <c r="Z128" i="70"/>
  <c r="AH128" i="70"/>
  <c r="AP128" i="70"/>
  <c r="AX128" i="70"/>
  <c r="F129" i="70"/>
  <c r="N129" i="70"/>
  <c r="V129" i="70"/>
  <c r="AD129" i="70"/>
  <c r="AL129" i="70"/>
  <c r="AT129" i="70"/>
  <c r="BB129" i="70"/>
  <c r="J130" i="70"/>
  <c r="R130" i="70"/>
  <c r="Z130" i="70"/>
  <c r="AH130" i="70"/>
  <c r="AP130" i="70"/>
  <c r="AX130" i="70"/>
  <c r="AO137" i="68"/>
  <c r="Y139" i="68"/>
  <c r="AC140" i="68"/>
  <c r="Z126" i="70"/>
  <c r="H31" i="70"/>
  <c r="BD94" i="68"/>
  <c r="BD97" i="68" s="1"/>
  <c r="AH136" i="68"/>
  <c r="AX136" i="68"/>
  <c r="F137" i="68"/>
  <c r="AD137" i="68"/>
  <c r="AL137" i="68"/>
  <c r="AT137" i="68"/>
  <c r="BB137" i="68"/>
  <c r="J138" i="68"/>
  <c r="R138" i="68"/>
  <c r="Z138" i="68"/>
  <c r="AH138" i="68"/>
  <c r="AP138" i="68"/>
  <c r="AX138" i="68"/>
  <c r="F139" i="68"/>
  <c r="N139" i="68"/>
  <c r="V139" i="68"/>
  <c r="AD139" i="68"/>
  <c r="AL139" i="68"/>
  <c r="AT139" i="68"/>
  <c r="BB139" i="68"/>
  <c r="J140" i="68"/>
  <c r="R140" i="68"/>
  <c r="Z140" i="68"/>
  <c r="AH140" i="68"/>
  <c r="AP140" i="68"/>
  <c r="AX140" i="68"/>
  <c r="F141" i="68"/>
  <c r="N141" i="68"/>
  <c r="V141" i="68"/>
  <c r="AD141" i="68"/>
  <c r="AL141" i="68"/>
  <c r="AT141" i="68"/>
  <c r="BB141" i="68"/>
  <c r="J142" i="68"/>
  <c r="R142" i="68"/>
  <c r="Z142" i="68"/>
  <c r="AH142" i="68"/>
  <c r="AP142" i="68"/>
  <c r="AX142" i="68"/>
  <c r="F105" i="70"/>
  <c r="F108" i="70" s="1"/>
  <c r="F109" i="70" s="1"/>
  <c r="N105" i="70"/>
  <c r="N108" i="70" s="1"/>
  <c r="V105" i="70"/>
  <c r="V108" i="70" s="1"/>
  <c r="V109" i="70" s="1"/>
  <c r="AD105" i="70"/>
  <c r="AD108" i="70" s="1"/>
  <c r="AD109" i="70" s="1"/>
  <c r="AL105" i="70"/>
  <c r="AL108" i="70" s="1"/>
  <c r="AL109" i="70" s="1"/>
  <c r="AT105" i="70"/>
  <c r="AT108" i="70" s="1"/>
  <c r="AT109" i="70" s="1"/>
  <c r="BB105" i="70"/>
  <c r="BB108" i="70" s="1"/>
  <c r="K79" i="70"/>
  <c r="K6" i="71" s="1"/>
  <c r="L128" i="70"/>
  <c r="T128" i="70"/>
  <c r="AB128" i="70"/>
  <c r="AJ128" i="70"/>
  <c r="AR128" i="70"/>
  <c r="AZ128" i="70"/>
  <c r="H129" i="70"/>
  <c r="X129" i="70"/>
  <c r="AF129" i="70"/>
  <c r="AN129" i="70"/>
  <c r="AV129" i="70"/>
  <c r="BD129" i="70"/>
  <c r="L130" i="70"/>
  <c r="AB130" i="70"/>
  <c r="AJ130" i="70"/>
  <c r="AR130" i="70"/>
  <c r="L124" i="70"/>
  <c r="T124" i="70"/>
  <c r="AB124" i="70"/>
  <c r="AJ124" i="70"/>
  <c r="AR124" i="70"/>
  <c r="AZ124" i="70"/>
  <c r="H125" i="70"/>
  <c r="X125" i="70"/>
  <c r="AF125" i="70"/>
  <c r="AN125" i="70"/>
  <c r="AV125" i="70"/>
  <c r="BD125" i="70"/>
  <c r="L126" i="70"/>
  <c r="T126" i="70"/>
  <c r="AB126" i="70"/>
  <c r="AR126" i="70"/>
  <c r="AZ126" i="70"/>
  <c r="H127" i="70"/>
  <c r="P127" i="70"/>
  <c r="X127" i="70"/>
  <c r="AF127" i="70"/>
  <c r="AN127" i="70"/>
  <c r="BD127" i="70"/>
  <c r="AZ130" i="70"/>
  <c r="AG31" i="70"/>
  <c r="Q31" i="70"/>
  <c r="AO31" i="70"/>
  <c r="Y31" i="70"/>
  <c r="J7" i="70"/>
  <c r="R7" i="70"/>
  <c r="T33" i="68"/>
  <c r="AB33" i="68"/>
  <c r="AJ33" i="68"/>
  <c r="AZ33" i="68"/>
  <c r="N79" i="70"/>
  <c r="N6" i="71" s="1"/>
  <c r="E59" i="70"/>
  <c r="M59" i="70"/>
  <c r="G7" i="70"/>
  <c r="O7" i="70"/>
  <c r="AZ105" i="70"/>
  <c r="AZ108" i="70" s="1"/>
  <c r="AZ109" i="70" s="1"/>
  <c r="K105" i="70"/>
  <c r="K108" i="70" s="1"/>
  <c r="K109" i="70" s="1"/>
  <c r="S105" i="70"/>
  <c r="S108" i="70" s="1"/>
  <c r="AA105" i="70"/>
  <c r="AA108" i="70" s="1"/>
  <c r="AA109" i="70" s="1"/>
  <c r="AI105" i="70"/>
  <c r="AI108" i="70" s="1"/>
  <c r="AI109" i="70" s="1"/>
  <c r="AQ105" i="70"/>
  <c r="AQ108" i="70" s="1"/>
  <c r="AQ109" i="70" s="1"/>
  <c r="AY105" i="70"/>
  <c r="AY108" i="70" s="1"/>
  <c r="AY109" i="70" s="1"/>
  <c r="F68" i="70"/>
  <c r="F71" i="70" s="1"/>
  <c r="N68" i="70"/>
  <c r="N71" i="70" s="1"/>
  <c r="V68" i="70"/>
  <c r="V71" i="70" s="1"/>
  <c r="AD68" i="70"/>
  <c r="AD71" i="70" s="1"/>
  <c r="AL68" i="70"/>
  <c r="AL71" i="70" s="1"/>
  <c r="AT68" i="70"/>
  <c r="AT71" i="70" s="1"/>
  <c r="BB68" i="70"/>
  <c r="BB71" i="70" s="1"/>
  <c r="F116" i="68"/>
  <c r="F119" i="68" s="1"/>
  <c r="F120" i="68" s="1"/>
  <c r="N116" i="68"/>
  <c r="N119" i="68" s="1"/>
  <c r="V116" i="68"/>
  <c r="V119" i="68" s="1"/>
  <c r="V120" i="68" s="1"/>
  <c r="AL116" i="68"/>
  <c r="AL119" i="68" s="1"/>
  <c r="BB116" i="68"/>
  <c r="BB119" i="68" s="1"/>
  <c r="L94" i="68"/>
  <c r="L97" i="68" s="1"/>
  <c r="L98" i="68" s="1"/>
  <c r="T94" i="68"/>
  <c r="T97" i="68" s="1"/>
  <c r="T98" i="68" s="1"/>
  <c r="AJ94" i="68"/>
  <c r="AJ97" i="68" s="1"/>
  <c r="AR94" i="68"/>
  <c r="AZ94" i="68"/>
  <c r="AZ97" i="68" s="1"/>
  <c r="AZ98" i="68" s="1"/>
  <c r="AT71" i="68"/>
  <c r="AT74" i="68" s="1"/>
  <c r="S71" i="68"/>
  <c r="S74" i="68" s="1"/>
  <c r="AA71" i="68"/>
  <c r="AA74" i="68" s="1"/>
  <c r="AI71" i="68"/>
  <c r="AI74" i="68" s="1"/>
  <c r="AY71" i="68"/>
  <c r="AY74" i="68" s="1"/>
  <c r="BD140" i="68"/>
  <c r="BD142" i="68"/>
  <c r="J47" i="70"/>
  <c r="J50" i="70" s="1"/>
  <c r="R47" i="70"/>
  <c r="R50" i="70" s="1"/>
  <c r="R51" i="70" s="1"/>
  <c r="Z47" i="70"/>
  <c r="Z50" i="70" s="1"/>
  <c r="E47" i="70"/>
  <c r="M47" i="70"/>
  <c r="M50" i="70" s="1"/>
  <c r="U47" i="70"/>
  <c r="U50" i="70" s="1"/>
  <c r="AC47" i="70"/>
  <c r="AC50" i="70" s="1"/>
  <c r="AK47" i="70"/>
  <c r="AK50" i="70" s="1"/>
  <c r="AS47" i="70"/>
  <c r="AS50" i="70" s="1"/>
  <c r="BA47" i="70"/>
  <c r="BA50" i="70" s="1"/>
  <c r="J79" i="70"/>
  <c r="J6" i="71" s="1"/>
  <c r="R79" i="70"/>
  <c r="R6" i="71" s="1"/>
  <c r="AV88" i="70"/>
  <c r="AV91" i="70" s="1"/>
  <c r="AV92" i="70" s="1"/>
  <c r="BD88" i="70"/>
  <c r="BD91" i="70" s="1"/>
  <c r="BD92" i="70" s="1"/>
  <c r="U31" i="70"/>
  <c r="AK31" i="70"/>
  <c r="J31" i="70"/>
  <c r="AH124" i="70"/>
  <c r="R31" i="70"/>
  <c r="BB33" i="68"/>
  <c r="AZ25" i="68"/>
  <c r="AZ28" i="68" s="1"/>
  <c r="Z31" i="70"/>
  <c r="AH31" i="70"/>
  <c r="AP31" i="70"/>
  <c r="AX31" i="70"/>
  <c r="K7" i="70"/>
  <c r="S7" i="70"/>
  <c r="L31" i="70"/>
  <c r="T31" i="70"/>
  <c r="AB31" i="70"/>
  <c r="AJ31" i="70"/>
  <c r="AZ31" i="70"/>
  <c r="K59" i="70"/>
  <c r="S59" i="70"/>
  <c r="K71" i="68"/>
  <c r="K74" i="68" s="1"/>
  <c r="AZ139" i="68"/>
  <c r="BD138" i="68"/>
  <c r="AF140" i="68"/>
  <c r="AZ141" i="68"/>
  <c r="X142" i="68"/>
  <c r="F59" i="70"/>
  <c r="N59" i="70"/>
  <c r="N72" i="70" s="1"/>
  <c r="G59" i="70"/>
  <c r="O59" i="70"/>
  <c r="AI51" i="69"/>
  <c r="AQ51" i="69"/>
  <c r="AP124" i="70"/>
  <c r="I125" i="70"/>
  <c r="Q125" i="70"/>
  <c r="AG125" i="70"/>
  <c r="AO125" i="70"/>
  <c r="AW125" i="70"/>
  <c r="E126" i="70"/>
  <c r="M126" i="70"/>
  <c r="U126" i="70"/>
  <c r="AC126" i="70"/>
  <c r="AK126" i="70"/>
  <c r="AS126" i="70"/>
  <c r="BA126" i="70"/>
  <c r="Q127" i="70"/>
  <c r="AG127" i="70"/>
  <c r="AW127" i="70"/>
  <c r="M128" i="70"/>
  <c r="U128" i="70"/>
  <c r="AC128" i="70"/>
  <c r="AK128" i="70"/>
  <c r="AS128" i="70"/>
  <c r="BA128" i="70"/>
  <c r="I129" i="70"/>
  <c r="Q129" i="70"/>
  <c r="Y129" i="70"/>
  <c r="AG129" i="70"/>
  <c r="AO129" i="70"/>
  <c r="AW129" i="70"/>
  <c r="E130" i="70"/>
  <c r="U130" i="70"/>
  <c r="AK130" i="70"/>
  <c r="AS130" i="70"/>
  <c r="BA130" i="70"/>
  <c r="Y125" i="70"/>
  <c r="I127" i="70"/>
  <c r="Y127" i="70"/>
  <c r="AO127" i="70"/>
  <c r="E128" i="70"/>
  <c r="M130" i="70"/>
  <c r="AC130" i="70"/>
  <c r="Z124" i="70"/>
  <c r="AX25" i="70"/>
  <c r="AX124" i="70"/>
  <c r="J124" i="70"/>
  <c r="R124" i="70"/>
  <c r="E31" i="70"/>
  <c r="M31" i="70"/>
  <c r="AC31" i="70"/>
  <c r="AS31" i="70"/>
  <c r="BA31" i="70"/>
  <c r="H116" i="68"/>
  <c r="H119" i="68" s="1"/>
  <c r="H120" i="68" s="1"/>
  <c r="AI116" i="68"/>
  <c r="AI119" i="68" s="1"/>
  <c r="H94" i="68"/>
  <c r="H97" i="68" s="1"/>
  <c r="H98" i="68" s="1"/>
  <c r="P94" i="68"/>
  <c r="P97" i="68" s="1"/>
  <c r="X94" i="68"/>
  <c r="X97" i="68" s="1"/>
  <c r="X98" i="68" s="1"/>
  <c r="AF94" i="68"/>
  <c r="AF97" i="68" s="1"/>
  <c r="AF98" i="68" s="1"/>
  <c r="AN94" i="68"/>
  <c r="AN97" i="68" s="1"/>
  <c r="AV94" i="68"/>
  <c r="AV97" i="68" s="1"/>
  <c r="AB94" i="68"/>
  <c r="AB97" i="68" s="1"/>
  <c r="AJ139" i="68"/>
  <c r="H136" i="68"/>
  <c r="AN136" i="68"/>
  <c r="BD136" i="68"/>
  <c r="L137" i="68"/>
  <c r="T137" i="68"/>
  <c r="AB137" i="68"/>
  <c r="AJ137" i="68"/>
  <c r="AZ137" i="68"/>
  <c r="H138" i="68"/>
  <c r="P138" i="68"/>
  <c r="X138" i="68"/>
  <c r="AF138" i="68"/>
  <c r="AN138" i="68"/>
  <c r="AV138" i="68"/>
  <c r="L139" i="68"/>
  <c r="T139" i="68"/>
  <c r="AB139" i="68"/>
  <c r="AR139" i="68"/>
  <c r="H140" i="68"/>
  <c r="P140" i="68"/>
  <c r="X140" i="68"/>
  <c r="AN140" i="68"/>
  <c r="AV140" i="68"/>
  <c r="L141" i="68"/>
  <c r="T141" i="68"/>
  <c r="AB141" i="68"/>
  <c r="AJ141" i="68"/>
  <c r="AR141" i="68"/>
  <c r="H142" i="68"/>
  <c r="P142" i="68"/>
  <c r="AF142" i="68"/>
  <c r="AN142" i="68"/>
  <c r="AV142" i="68"/>
  <c r="T138" i="68"/>
  <c r="T140" i="68"/>
  <c r="P25" i="68"/>
  <c r="P28" i="68" s="1"/>
  <c r="X25" i="68"/>
  <c r="X28" i="68" s="1"/>
  <c r="AF25" i="68"/>
  <c r="AF28" i="68" s="1"/>
  <c r="AV25" i="68"/>
  <c r="AV28" i="68" s="1"/>
  <c r="AR25" i="68"/>
  <c r="AR28" i="68" s="1"/>
  <c r="AV141" i="68"/>
  <c r="F136" i="68"/>
  <c r="N136" i="68"/>
  <c r="V136" i="68"/>
  <c r="AD136" i="68"/>
  <c r="AT136" i="68"/>
  <c r="BB136" i="68"/>
  <c r="J137" i="68"/>
  <c r="R137" i="68"/>
  <c r="Z137" i="68"/>
  <c r="AP137" i="68"/>
  <c r="AX137" i="68"/>
  <c r="F138" i="68"/>
  <c r="N138" i="68"/>
  <c r="V138" i="68"/>
  <c r="AD138" i="68"/>
  <c r="AL138" i="68"/>
  <c r="AT138" i="68"/>
  <c r="BB138" i="68"/>
  <c r="J139" i="68"/>
  <c r="R139" i="68"/>
  <c r="Z139" i="68"/>
  <c r="AH139" i="68"/>
  <c r="AP139" i="68"/>
  <c r="F140" i="68"/>
  <c r="N140" i="68"/>
  <c r="V140" i="68"/>
  <c r="AL140" i="68"/>
  <c r="AT140" i="68"/>
  <c r="BB140" i="68"/>
  <c r="J141" i="68"/>
  <c r="R141" i="68"/>
  <c r="Z141" i="68"/>
  <c r="AH141" i="68"/>
  <c r="AP141" i="68"/>
  <c r="AX141" i="68"/>
  <c r="F142" i="68"/>
  <c r="N142" i="68"/>
  <c r="V142" i="68"/>
  <c r="AD142" i="68"/>
  <c r="AL142" i="68"/>
  <c r="BB142" i="68"/>
  <c r="AE136" i="68"/>
  <c r="Z33" i="68"/>
  <c r="H105" i="70"/>
  <c r="H108" i="70" s="1"/>
  <c r="H109" i="70" s="1"/>
  <c r="P105" i="70"/>
  <c r="P108" i="70" s="1"/>
  <c r="P109" i="70" s="1"/>
  <c r="X105" i="70"/>
  <c r="X108" i="70" s="1"/>
  <c r="X109" i="70" s="1"/>
  <c r="AF105" i="70"/>
  <c r="AF108" i="70" s="1"/>
  <c r="AF109" i="70" s="1"/>
  <c r="AN105" i="70"/>
  <c r="AN108" i="70" s="1"/>
  <c r="AN109" i="70" s="1"/>
  <c r="AV105" i="70"/>
  <c r="AV108" i="70" s="1"/>
  <c r="AV109" i="70" s="1"/>
  <c r="BD105" i="70"/>
  <c r="BD108" i="70" s="1"/>
  <c r="BD109" i="70" s="1"/>
  <c r="I105" i="70"/>
  <c r="I108" i="70" s="1"/>
  <c r="I109" i="70" s="1"/>
  <c r="Q105" i="70"/>
  <c r="Q108" i="70" s="1"/>
  <c r="Q109" i="70" s="1"/>
  <c r="Y105" i="70"/>
  <c r="Y108" i="70" s="1"/>
  <c r="Y109" i="70" s="1"/>
  <c r="AG105" i="70"/>
  <c r="AG108" i="70" s="1"/>
  <c r="AG109" i="70" s="1"/>
  <c r="AO105" i="70"/>
  <c r="AO108" i="70" s="1"/>
  <c r="AO109" i="70" s="1"/>
  <c r="AW105" i="70"/>
  <c r="AW108" i="70" s="1"/>
  <c r="AW109" i="70" s="1"/>
  <c r="M124" i="70"/>
  <c r="AC124" i="70"/>
  <c r="AS124" i="70"/>
  <c r="I88" i="70"/>
  <c r="Q88" i="70"/>
  <c r="Q91" i="70" s="1"/>
  <c r="Y88" i="70"/>
  <c r="Y91" i="70" s="1"/>
  <c r="AG88" i="70"/>
  <c r="AG91" i="70" s="1"/>
  <c r="AG92" i="70" s="1"/>
  <c r="AO88" i="70"/>
  <c r="AW88" i="70"/>
  <c r="E124" i="70"/>
  <c r="U124" i="70"/>
  <c r="AK124" i="70"/>
  <c r="BA124" i="70"/>
  <c r="I79" i="70"/>
  <c r="I6" i="71" s="1"/>
  <c r="Q79" i="70"/>
  <c r="Q6" i="71" s="1"/>
  <c r="E68" i="70"/>
  <c r="E71" i="70" s="1"/>
  <c r="AU68" i="70"/>
  <c r="AU71" i="70" s="1"/>
  <c r="BC68" i="70"/>
  <c r="BC71" i="70" s="1"/>
  <c r="AG68" i="70"/>
  <c r="AG71" i="70" s="1"/>
  <c r="I68" i="70"/>
  <c r="I71" i="70" s="1"/>
  <c r="Q68" i="70"/>
  <c r="Q71" i="70" s="1"/>
  <c r="H47" i="70"/>
  <c r="H50" i="70" s="1"/>
  <c r="P47" i="70"/>
  <c r="P50" i="70" s="1"/>
  <c r="X47" i="70"/>
  <c r="X50" i="70" s="1"/>
  <c r="AF47" i="70"/>
  <c r="AF50" i="70" s="1"/>
  <c r="AN47" i="70"/>
  <c r="AN50" i="70" s="1"/>
  <c r="AV47" i="70"/>
  <c r="AV50" i="70" s="1"/>
  <c r="BD47" i="70"/>
  <c r="BD50" i="70" s="1"/>
  <c r="P124" i="70"/>
  <c r="L47" i="70"/>
  <c r="L50" i="70" s="1"/>
  <c r="T47" i="70"/>
  <c r="T50" i="70" s="1"/>
  <c r="AB47" i="70"/>
  <c r="AB50" i="70" s="1"/>
  <c r="AJ47" i="70"/>
  <c r="AJ50" i="70" s="1"/>
  <c r="AR47" i="70"/>
  <c r="AR50" i="70" s="1"/>
  <c r="AZ47" i="70"/>
  <c r="AZ50" i="70" s="1"/>
  <c r="G47" i="70"/>
  <c r="G50" i="70" s="1"/>
  <c r="O47" i="70"/>
  <c r="O50" i="70" s="1"/>
  <c r="W47" i="70"/>
  <c r="W50" i="70" s="1"/>
  <c r="AE47" i="70"/>
  <c r="AE50" i="70" s="1"/>
  <c r="AM47" i="70"/>
  <c r="AM50" i="70" s="1"/>
  <c r="AU47" i="70"/>
  <c r="AU50" i="70" s="1"/>
  <c r="BC47" i="70"/>
  <c r="BC50" i="70" s="1"/>
  <c r="E38" i="70"/>
  <c r="M38" i="70"/>
  <c r="F38" i="70"/>
  <c r="N38" i="70"/>
  <c r="L25" i="70"/>
  <c r="L28" i="70" s="1"/>
  <c r="T25" i="70"/>
  <c r="AB25" i="70"/>
  <c r="AB28" i="70" s="1"/>
  <c r="AJ25" i="70"/>
  <c r="AR25" i="70"/>
  <c r="AR28" i="70" s="1"/>
  <c r="AZ25" i="70"/>
  <c r="AZ28" i="70" s="1"/>
  <c r="E25" i="70"/>
  <c r="M25" i="70"/>
  <c r="U25" i="70"/>
  <c r="U28" i="70" s="1"/>
  <c r="AC25" i="70"/>
  <c r="AK25" i="70"/>
  <c r="AK28" i="70" s="1"/>
  <c r="AS25" i="70"/>
  <c r="BA25" i="70"/>
  <c r="BA28" i="70" s="1"/>
  <c r="V124" i="70"/>
  <c r="J125" i="70"/>
  <c r="R125" i="70"/>
  <c r="Z125" i="70"/>
  <c r="AH125" i="70"/>
  <c r="AP125" i="70"/>
  <c r="AL126" i="70"/>
  <c r="BB126" i="70"/>
  <c r="J127" i="70"/>
  <c r="F128" i="70"/>
  <c r="V128" i="70"/>
  <c r="AL128" i="70"/>
  <c r="X126" i="70"/>
  <c r="AR127" i="70"/>
  <c r="L129" i="70"/>
  <c r="K25" i="70"/>
  <c r="K28" i="70" s="1"/>
  <c r="S25" i="70"/>
  <c r="S28" i="70" s="1"/>
  <c r="AA25" i="70"/>
  <c r="AA28" i="70" s="1"/>
  <c r="AI25" i="70"/>
  <c r="AI28" i="70" s="1"/>
  <c r="AQ25" i="70"/>
  <c r="AQ28" i="70" s="1"/>
  <c r="AY25" i="70"/>
  <c r="G124" i="70"/>
  <c r="O124" i="70"/>
  <c r="W124" i="70"/>
  <c r="AE124" i="70"/>
  <c r="AM124" i="70"/>
  <c r="K125" i="70"/>
  <c r="S125" i="70"/>
  <c r="AA125" i="70"/>
  <c r="AI125" i="70"/>
  <c r="AQ125" i="70"/>
  <c r="AY125" i="70"/>
  <c r="G126" i="70"/>
  <c r="O126" i="70"/>
  <c r="W126" i="70"/>
  <c r="AE126" i="70"/>
  <c r="AM126" i="70"/>
  <c r="AU126" i="70"/>
  <c r="K127" i="70"/>
  <c r="S127" i="70"/>
  <c r="AA127" i="70"/>
  <c r="AI127" i="70"/>
  <c r="AQ127" i="70"/>
  <c r="AY127" i="70"/>
  <c r="G128" i="70"/>
  <c r="O128" i="70"/>
  <c r="AE128" i="70"/>
  <c r="AM128" i="70"/>
  <c r="BC128" i="70"/>
  <c r="K129" i="70"/>
  <c r="AA129" i="70"/>
  <c r="AI129" i="70"/>
  <c r="AY129" i="70"/>
  <c r="G130" i="70"/>
  <c r="W130" i="70"/>
  <c r="AE130" i="70"/>
  <c r="AM130" i="70"/>
  <c r="AU130" i="70"/>
  <c r="BC130" i="70"/>
  <c r="G127" i="70"/>
  <c r="I7" i="70"/>
  <c r="Q7" i="70"/>
  <c r="J116" i="68"/>
  <c r="J119" i="68" s="1"/>
  <c r="R116" i="68"/>
  <c r="R119" i="68" s="1"/>
  <c r="Z116" i="68"/>
  <c r="Z119" i="68" s="1"/>
  <c r="AP116" i="68"/>
  <c r="AP119" i="68" s="1"/>
  <c r="AP120" i="68" s="1"/>
  <c r="AX116" i="68"/>
  <c r="AX119" i="68" s="1"/>
  <c r="AT116" i="68"/>
  <c r="AT119" i="68" s="1"/>
  <c r="F94" i="68"/>
  <c r="F97" i="68" s="1"/>
  <c r="N94" i="68"/>
  <c r="N97" i="68" s="1"/>
  <c r="V94" i="68"/>
  <c r="V97" i="68" s="1"/>
  <c r="V98" i="68" s="1"/>
  <c r="AD94" i="68"/>
  <c r="AD97" i="68" s="1"/>
  <c r="AL94" i="68"/>
  <c r="AL97" i="68" s="1"/>
  <c r="AT94" i="68"/>
  <c r="AT97" i="68" s="1"/>
  <c r="AT98" i="68" s="1"/>
  <c r="BB94" i="68"/>
  <c r="BB97" i="68" s="1"/>
  <c r="BB98" i="68" s="1"/>
  <c r="R94" i="68"/>
  <c r="R97" i="68" s="1"/>
  <c r="R98" i="68" s="1"/>
  <c r="AH94" i="68"/>
  <c r="AH97" i="68" s="1"/>
  <c r="AH98" i="68" s="1"/>
  <c r="AX94" i="68"/>
  <c r="AX97" i="68" s="1"/>
  <c r="AX98" i="68" s="1"/>
  <c r="L71" i="68"/>
  <c r="L74" i="68" s="1"/>
  <c r="T71" i="68"/>
  <c r="T74" i="68" s="1"/>
  <c r="AZ71" i="68"/>
  <c r="AZ74" i="68" s="1"/>
  <c r="N71" i="68"/>
  <c r="N74" i="68" s="1"/>
  <c r="AX139" i="68"/>
  <c r="AH137" i="68"/>
  <c r="AD140" i="68"/>
  <c r="AT142" i="68"/>
  <c r="P136" i="68"/>
  <c r="J33" i="68"/>
  <c r="R33" i="68"/>
  <c r="AH33" i="68"/>
  <c r="AP33" i="68"/>
  <c r="AX33" i="68"/>
  <c r="BD124" i="70"/>
  <c r="J88" i="70"/>
  <c r="J91" i="70" s="1"/>
  <c r="R88" i="70"/>
  <c r="R91" i="70" s="1"/>
  <c r="Z88" i="70"/>
  <c r="Z91" i="70" s="1"/>
  <c r="Z92" i="70" s="1"/>
  <c r="AH88" i="70"/>
  <c r="AH91" i="70" s="1"/>
  <c r="AH92" i="70" s="1"/>
  <c r="AP88" i="70"/>
  <c r="AP91" i="70" s="1"/>
  <c r="AX88" i="70"/>
  <c r="AX91" i="70" s="1"/>
  <c r="AX92" i="70" s="1"/>
  <c r="F88" i="70"/>
  <c r="F91" i="70" s="1"/>
  <c r="N88" i="70"/>
  <c r="N91" i="70" s="1"/>
  <c r="V88" i="70"/>
  <c r="V91" i="70" s="1"/>
  <c r="V92" i="70" s="1"/>
  <c r="AD88" i="70"/>
  <c r="AD91" i="70" s="1"/>
  <c r="AD92" i="70" s="1"/>
  <c r="AL88" i="70"/>
  <c r="AL91" i="70" s="1"/>
  <c r="AL92" i="70" s="1"/>
  <c r="AT88" i="70"/>
  <c r="AT91" i="70" s="1"/>
  <c r="AT92" i="70" s="1"/>
  <c r="AW92" i="69"/>
  <c r="L79" i="70"/>
  <c r="L6" i="71" s="1"/>
  <c r="T79" i="70"/>
  <c r="T6" i="71" s="1"/>
  <c r="M68" i="70"/>
  <c r="M71" i="70" s="1"/>
  <c r="U68" i="70"/>
  <c r="U71" i="70" s="1"/>
  <c r="AC68" i="70"/>
  <c r="AC71" i="70" s="1"/>
  <c r="AK68" i="70"/>
  <c r="AK71" i="70" s="1"/>
  <c r="AS68" i="70"/>
  <c r="AS71" i="70" s="1"/>
  <c r="AK72" i="69"/>
  <c r="AS72" i="69"/>
  <c r="BC124" i="70"/>
  <c r="AU124" i="70"/>
  <c r="AC72" i="69"/>
  <c r="J112" i="69"/>
  <c r="J115" i="69" s="1"/>
  <c r="R112" i="69"/>
  <c r="R118" i="69" s="1"/>
  <c r="Z112" i="69"/>
  <c r="Z119" i="69" s="1"/>
  <c r="AH112" i="69"/>
  <c r="AH115" i="69" s="1"/>
  <c r="AP112" i="69"/>
  <c r="AP119" i="69" s="1"/>
  <c r="AX112" i="69"/>
  <c r="AX113" i="69" s="1"/>
  <c r="K51" i="69"/>
  <c r="S51" i="69"/>
  <c r="AA51" i="69"/>
  <c r="AY51" i="69"/>
  <c r="F25" i="70"/>
  <c r="F28" i="70" s="1"/>
  <c r="N25" i="70"/>
  <c r="N28" i="70" s="1"/>
  <c r="V25" i="70"/>
  <c r="V28" i="70" s="1"/>
  <c r="AD25" i="70"/>
  <c r="AD28" i="70" s="1"/>
  <c r="AL25" i="70"/>
  <c r="AL28" i="70" s="1"/>
  <c r="AT25" i="70"/>
  <c r="AT28" i="70" s="1"/>
  <c r="BB25" i="70"/>
  <c r="BB28" i="70" s="1"/>
  <c r="G25" i="70"/>
  <c r="G28" i="70" s="1"/>
  <c r="O25" i="70"/>
  <c r="O28" i="70" s="1"/>
  <c r="W25" i="70"/>
  <c r="W28" i="70" s="1"/>
  <c r="AE25" i="70"/>
  <c r="AE28" i="70" s="1"/>
  <c r="AM25" i="70"/>
  <c r="AM28" i="70" s="1"/>
  <c r="AU25" i="70"/>
  <c r="AU28" i="70" s="1"/>
  <c r="BC25" i="70"/>
  <c r="BC28" i="70" s="1"/>
  <c r="I25" i="70"/>
  <c r="I28" i="70" s="1"/>
  <c r="Q25" i="70"/>
  <c r="Q28" i="70" s="1"/>
  <c r="AG25" i="70"/>
  <c r="AO25" i="70"/>
  <c r="AO28" i="70" s="1"/>
  <c r="AW25" i="70"/>
  <c r="AW28" i="70" s="1"/>
  <c r="AE125" i="70"/>
  <c r="AU125" i="70"/>
  <c r="AQ126" i="70"/>
  <c r="BC127" i="70"/>
  <c r="S128" i="70"/>
  <c r="O129" i="70"/>
  <c r="AE129" i="70"/>
  <c r="AA130" i="70"/>
  <c r="AQ130" i="70"/>
  <c r="K31" i="70"/>
  <c r="S31" i="70"/>
  <c r="AA31" i="70"/>
  <c r="AI31" i="70"/>
  <c r="AQ31" i="70"/>
  <c r="AY31" i="70"/>
  <c r="P31" i="70"/>
  <c r="X31" i="70"/>
  <c r="AF31" i="70"/>
  <c r="AN31" i="70"/>
  <c r="AL136" i="68"/>
  <c r="AD116" i="68"/>
  <c r="AD119" i="68" s="1"/>
  <c r="AD120" i="68" s="1"/>
  <c r="AH116" i="68"/>
  <c r="AH119" i="68" s="1"/>
  <c r="AH120" i="68" s="1"/>
  <c r="P116" i="68"/>
  <c r="P119" i="68" s="1"/>
  <c r="P120" i="68" s="1"/>
  <c r="X116" i="68"/>
  <c r="X119" i="68" s="1"/>
  <c r="AF116" i="68"/>
  <c r="AF119" i="68" s="1"/>
  <c r="AF120" i="68" s="1"/>
  <c r="AN116" i="68"/>
  <c r="AN119" i="68" s="1"/>
  <c r="AN120" i="68" s="1"/>
  <c r="AV116" i="68"/>
  <c r="AV119" i="68" s="1"/>
  <c r="AV120" i="68" s="1"/>
  <c r="BD116" i="68"/>
  <c r="BD119" i="68" s="1"/>
  <c r="BD120" i="68" s="1"/>
  <c r="L116" i="68"/>
  <c r="L119" i="68" s="1"/>
  <c r="L120" i="68" s="1"/>
  <c r="T116" i="68"/>
  <c r="T119" i="68" s="1"/>
  <c r="AB116" i="68"/>
  <c r="AB119" i="68" s="1"/>
  <c r="AB120" i="68" s="1"/>
  <c r="AJ116" i="68"/>
  <c r="AJ119" i="68" s="1"/>
  <c r="AR116" i="68"/>
  <c r="AR119" i="68" s="1"/>
  <c r="AZ116" i="68"/>
  <c r="AZ119" i="68" s="1"/>
  <c r="J98" i="67"/>
  <c r="R98" i="67"/>
  <c r="Z98" i="67"/>
  <c r="AH98" i="67"/>
  <c r="AP98" i="67"/>
  <c r="AX98" i="67"/>
  <c r="AU98" i="67"/>
  <c r="H71" i="68"/>
  <c r="H74" i="68" s="1"/>
  <c r="X71" i="68"/>
  <c r="X74" i="68" s="1"/>
  <c r="AF71" i="68"/>
  <c r="AF74" i="68" s="1"/>
  <c r="AN71" i="68"/>
  <c r="AN74" i="68" s="1"/>
  <c r="BD71" i="68"/>
  <c r="BD74" i="68" s="1"/>
  <c r="AB71" i="68"/>
  <c r="AB74" i="68" s="1"/>
  <c r="AR71" i="68"/>
  <c r="AR74" i="68" s="1"/>
  <c r="O138" i="68"/>
  <c r="O140" i="68"/>
  <c r="AQ141" i="68"/>
  <c r="G142" i="68"/>
  <c r="AF136" i="68"/>
  <c r="AN25" i="68"/>
  <c r="AN28" i="68" s="1"/>
  <c r="K136" i="68"/>
  <c r="AA136" i="68"/>
  <c r="AI136" i="68"/>
  <c r="AY136" i="68"/>
  <c r="O137" i="68"/>
  <c r="W137" i="68"/>
  <c r="AE137" i="68"/>
  <c r="AM137" i="68"/>
  <c r="BC137" i="68"/>
  <c r="K138" i="68"/>
  <c r="AA138" i="68"/>
  <c r="AI138" i="68"/>
  <c r="AY138" i="68"/>
  <c r="G139" i="68"/>
  <c r="O139" i="68"/>
  <c r="W139" i="68"/>
  <c r="AE139" i="68"/>
  <c r="AM139" i="68"/>
  <c r="AU139" i="68"/>
  <c r="BC139" i="68"/>
  <c r="K140" i="68"/>
  <c r="AA140" i="68"/>
  <c r="AI140" i="68"/>
  <c r="AQ140" i="68"/>
  <c r="G141" i="68"/>
  <c r="O141" i="68"/>
  <c r="W141" i="68"/>
  <c r="AE141" i="68"/>
  <c r="AM141" i="68"/>
  <c r="AU141" i="68"/>
  <c r="BC141" i="68"/>
  <c r="S142" i="68"/>
  <c r="AA142" i="68"/>
  <c r="AQ142" i="68"/>
  <c r="AY142" i="68"/>
  <c r="L136" i="68"/>
  <c r="T136" i="68"/>
  <c r="AB136" i="68"/>
  <c r="AJ136" i="68"/>
  <c r="AR136" i="68"/>
  <c r="AZ136" i="68"/>
  <c r="H137" i="68"/>
  <c r="P137" i="68"/>
  <c r="X137" i="68"/>
  <c r="AF137" i="68"/>
  <c r="AN137" i="68"/>
  <c r="BD137" i="68"/>
  <c r="L138" i="68"/>
  <c r="AR138" i="68"/>
  <c r="AV139" i="68"/>
  <c r="AR140" i="68"/>
  <c r="AR142" i="68"/>
  <c r="AI33" i="68"/>
  <c r="F33" i="68"/>
  <c r="N33" i="68"/>
  <c r="V33" i="68"/>
  <c r="AD33" i="68"/>
  <c r="AL33" i="68"/>
  <c r="L105" i="70"/>
  <c r="L108" i="70" s="1"/>
  <c r="L109" i="70" s="1"/>
  <c r="T105" i="70"/>
  <c r="T108" i="70" s="1"/>
  <c r="T109" i="70" s="1"/>
  <c r="AB105" i="70"/>
  <c r="AB108" i="70" s="1"/>
  <c r="AB109" i="70" s="1"/>
  <c r="AJ105" i="70"/>
  <c r="AJ108" i="70" s="1"/>
  <c r="AJ109" i="70" s="1"/>
  <c r="AR105" i="70"/>
  <c r="AR108" i="70" s="1"/>
  <c r="AR109" i="70" s="1"/>
  <c r="AI124" i="70"/>
  <c r="G105" i="70"/>
  <c r="G108" i="70" s="1"/>
  <c r="G109" i="70" s="1"/>
  <c r="O105" i="70"/>
  <c r="O108" i="70" s="1"/>
  <c r="O109" i="70" s="1"/>
  <c r="W105" i="70"/>
  <c r="W108" i="70" s="1"/>
  <c r="W109" i="70" s="1"/>
  <c r="AE105" i="70"/>
  <c r="AE108" i="70" s="1"/>
  <c r="AE109" i="70" s="1"/>
  <c r="AM105" i="70"/>
  <c r="AM108" i="70" s="1"/>
  <c r="AM109" i="70" s="1"/>
  <c r="AU105" i="70"/>
  <c r="AU108" i="70" s="1"/>
  <c r="AU109" i="70" s="1"/>
  <c r="BC105" i="70"/>
  <c r="S124" i="70"/>
  <c r="J105" i="70"/>
  <c r="J108" i="70" s="1"/>
  <c r="J109" i="70" s="1"/>
  <c r="R105" i="70"/>
  <c r="R108" i="70" s="1"/>
  <c r="R109" i="70" s="1"/>
  <c r="Z105" i="70"/>
  <c r="Z108" i="70" s="1"/>
  <c r="Z109" i="70" s="1"/>
  <c r="AH105" i="70"/>
  <c r="AH108" i="70" s="1"/>
  <c r="AH109" i="70" s="1"/>
  <c r="AP105" i="70"/>
  <c r="AP108" i="70" s="1"/>
  <c r="AP109" i="70" s="1"/>
  <c r="AX105" i="70"/>
  <c r="AX108" i="70" s="1"/>
  <c r="AX109" i="70" s="1"/>
  <c r="I92" i="69"/>
  <c r="Q92" i="69"/>
  <c r="Y92" i="69"/>
  <c r="AO92" i="69"/>
  <c r="H88" i="70"/>
  <c r="H91" i="70" s="1"/>
  <c r="X88" i="70"/>
  <c r="X91" i="70" s="1"/>
  <c r="X92" i="70" s="1"/>
  <c r="AF88" i="70"/>
  <c r="AF91" i="70" s="1"/>
  <c r="AF92" i="70" s="1"/>
  <c r="BB88" i="70"/>
  <c r="BB91" i="70" s="1"/>
  <c r="BB92" i="70" s="1"/>
  <c r="J92" i="69"/>
  <c r="R92" i="69"/>
  <c r="Z92" i="69"/>
  <c r="AH92" i="69"/>
  <c r="AP92" i="69"/>
  <c r="AX92" i="69"/>
  <c r="K92" i="69"/>
  <c r="S92" i="69"/>
  <c r="AQ92" i="69"/>
  <c r="AY92" i="69"/>
  <c r="L92" i="69"/>
  <c r="T92" i="69"/>
  <c r="AB92" i="69"/>
  <c r="AJ92" i="69"/>
  <c r="AR92" i="69"/>
  <c r="AZ92" i="69"/>
  <c r="G79" i="70"/>
  <c r="G6" i="71" s="1"/>
  <c r="O79" i="70"/>
  <c r="O6" i="71" s="1"/>
  <c r="S79" i="70"/>
  <c r="S6" i="71" s="1"/>
  <c r="BA68" i="70"/>
  <c r="K68" i="70"/>
  <c r="K71" i="70" s="1"/>
  <c r="S68" i="70"/>
  <c r="S71" i="70" s="1"/>
  <c r="AA68" i="70"/>
  <c r="AA71" i="70" s="1"/>
  <c r="AI68" i="70"/>
  <c r="AI71" i="70" s="1"/>
  <c r="AQ68" i="70"/>
  <c r="AQ71" i="70" s="1"/>
  <c r="AY68" i="70"/>
  <c r="AY71" i="70" s="1"/>
  <c r="G68" i="70"/>
  <c r="G71" i="70" s="1"/>
  <c r="O68" i="70"/>
  <c r="O71" i="70" s="1"/>
  <c r="W68" i="70"/>
  <c r="W71" i="70" s="1"/>
  <c r="AE68" i="70"/>
  <c r="AE71" i="70" s="1"/>
  <c r="AM68" i="70"/>
  <c r="AM71" i="70" s="1"/>
  <c r="K72" i="69"/>
  <c r="S72" i="69"/>
  <c r="AA72" i="69"/>
  <c r="AI72" i="69"/>
  <c r="AQ72" i="69"/>
  <c r="AY72" i="69"/>
  <c r="L59" i="70"/>
  <c r="T59" i="70"/>
  <c r="H59" i="70"/>
  <c r="P59" i="70"/>
  <c r="H72" i="69"/>
  <c r="P72" i="69"/>
  <c r="X72" i="69"/>
  <c r="AF72" i="69"/>
  <c r="AN72" i="69"/>
  <c r="AV72" i="69"/>
  <c r="BD72" i="69"/>
  <c r="I59" i="70"/>
  <c r="Q59" i="70"/>
  <c r="K112" i="69"/>
  <c r="K118" i="69" s="1"/>
  <c r="S112" i="69"/>
  <c r="S115" i="69" s="1"/>
  <c r="AA112" i="69"/>
  <c r="AA113" i="69" s="1"/>
  <c r="AI112" i="69"/>
  <c r="AI118" i="69" s="1"/>
  <c r="AQ112" i="69"/>
  <c r="AQ113" i="69" s="1"/>
  <c r="AY112" i="69"/>
  <c r="AY113" i="69" s="1"/>
  <c r="J59" i="70"/>
  <c r="R59" i="70"/>
  <c r="R72" i="70" s="1"/>
  <c r="K47" i="70"/>
  <c r="K50" i="70" s="1"/>
  <c r="S47" i="70"/>
  <c r="AA47" i="70"/>
  <c r="AA50" i="70" s="1"/>
  <c r="AI47" i="70"/>
  <c r="AI50" i="70" s="1"/>
  <c r="AQ47" i="70"/>
  <c r="AQ50" i="70" s="1"/>
  <c r="AY47" i="70"/>
  <c r="AY50" i="70" s="1"/>
  <c r="F51" i="69"/>
  <c r="N51" i="69"/>
  <c r="V51" i="69"/>
  <c r="AD51" i="69"/>
  <c r="AL51" i="69"/>
  <c r="AT51" i="69"/>
  <c r="BB51" i="69"/>
  <c r="G51" i="69"/>
  <c r="K38" i="70"/>
  <c r="S38" i="70"/>
  <c r="X51" i="69"/>
  <c r="AN51" i="69"/>
  <c r="I51" i="69"/>
  <c r="Q51" i="69"/>
  <c r="AG51" i="69"/>
  <c r="AW51" i="69"/>
  <c r="Z51" i="69"/>
  <c r="AF124" i="70"/>
  <c r="AN124" i="70"/>
  <c r="L125" i="70"/>
  <c r="T125" i="70"/>
  <c r="AZ125" i="70"/>
  <c r="H126" i="70"/>
  <c r="P126" i="70"/>
  <c r="AF126" i="70"/>
  <c r="AN126" i="70"/>
  <c r="AV126" i="70"/>
  <c r="BD126" i="70"/>
  <c r="T127" i="70"/>
  <c r="AB127" i="70"/>
  <c r="AJ127" i="70"/>
  <c r="AZ127" i="70"/>
  <c r="H128" i="70"/>
  <c r="P128" i="70"/>
  <c r="X128" i="70"/>
  <c r="AN128" i="70"/>
  <c r="AV128" i="70"/>
  <c r="BD128" i="70"/>
  <c r="AB129" i="70"/>
  <c r="AJ129" i="70"/>
  <c r="AR129" i="70"/>
  <c r="H130" i="70"/>
  <c r="P130" i="70"/>
  <c r="X130" i="70"/>
  <c r="AF130" i="70"/>
  <c r="AV130" i="70"/>
  <c r="BD130" i="70"/>
  <c r="H25" i="70"/>
  <c r="H28" i="70" s="1"/>
  <c r="H29" i="70" s="1"/>
  <c r="P25" i="70"/>
  <c r="P28" i="70" s="1"/>
  <c r="X25" i="70"/>
  <c r="X28" i="70" s="1"/>
  <c r="AF25" i="70"/>
  <c r="AF28" i="70" s="1"/>
  <c r="AN25" i="70"/>
  <c r="AN28" i="70" s="1"/>
  <c r="AV25" i="70"/>
  <c r="AV28" i="70" s="1"/>
  <c r="BD25" i="70"/>
  <c r="BD28" i="70" s="1"/>
  <c r="G31" i="70"/>
  <c r="O31" i="70"/>
  <c r="W31" i="70"/>
  <c r="AE31" i="70"/>
  <c r="AM31" i="70"/>
  <c r="AU31" i="70"/>
  <c r="AV31" i="70"/>
  <c r="BD31" i="70"/>
  <c r="E7" i="70"/>
  <c r="M7" i="70"/>
  <c r="F7" i="70"/>
  <c r="N7" i="70"/>
  <c r="K29" i="69"/>
  <c r="G116" i="68"/>
  <c r="G119" i="68" s="1"/>
  <c r="O116" i="68"/>
  <c r="O119" i="68" s="1"/>
  <c r="AM116" i="68"/>
  <c r="AM119" i="68" s="1"/>
  <c r="AU116" i="68"/>
  <c r="AU119" i="68" s="1"/>
  <c r="K116" i="68"/>
  <c r="K119" i="68" s="1"/>
  <c r="S116" i="68"/>
  <c r="S119" i="68" s="1"/>
  <c r="AA116" i="68"/>
  <c r="AA119" i="68" s="1"/>
  <c r="AQ116" i="68"/>
  <c r="AQ119" i="68" s="1"/>
  <c r="AY116" i="68"/>
  <c r="AY119" i="68" s="1"/>
  <c r="Q124" i="67"/>
  <c r="Q130" i="67" s="1"/>
  <c r="Y124" i="67"/>
  <c r="Y128" i="67" s="1"/>
  <c r="AG124" i="67"/>
  <c r="AG129" i="67" s="1"/>
  <c r="AO124" i="67"/>
  <c r="AO126" i="67" s="1"/>
  <c r="AW124" i="67"/>
  <c r="AW129" i="67" s="1"/>
  <c r="AU120" i="67"/>
  <c r="I124" i="67"/>
  <c r="I125" i="67" s="1"/>
  <c r="W120" i="68"/>
  <c r="AE120" i="68"/>
  <c r="W94" i="68"/>
  <c r="W97" i="68" s="1"/>
  <c r="AA94" i="68"/>
  <c r="AA97" i="68" s="1"/>
  <c r="AA98" i="68" s="1"/>
  <c r="AV137" i="68"/>
  <c r="P71" i="68"/>
  <c r="P74" i="68" s="1"/>
  <c r="J71" i="68"/>
  <c r="J74" i="68" s="1"/>
  <c r="Z71" i="68"/>
  <c r="Z74" i="68" s="1"/>
  <c r="AH71" i="68"/>
  <c r="AH74" i="68" s="1"/>
  <c r="AP71" i="68"/>
  <c r="AP74" i="68" s="1"/>
  <c r="F71" i="68"/>
  <c r="F74" i="68" s="1"/>
  <c r="V71" i="68"/>
  <c r="V74" i="68" s="1"/>
  <c r="AD71" i="68"/>
  <c r="AD74" i="68" s="1"/>
  <c r="AL71" i="68"/>
  <c r="AL74" i="68" s="1"/>
  <c r="BB71" i="68"/>
  <c r="BB74" i="68" s="1"/>
  <c r="AV71" i="68"/>
  <c r="AV74" i="68" s="1"/>
  <c r="AJ71" i="68"/>
  <c r="AJ74" i="68" s="1"/>
  <c r="R71" i="68"/>
  <c r="R74" i="68" s="1"/>
  <c r="AX71" i="68"/>
  <c r="AX74" i="68" s="1"/>
  <c r="K75" i="67"/>
  <c r="S75" i="67"/>
  <c r="AI75" i="67"/>
  <c r="AQ75" i="67"/>
  <c r="AY75" i="67"/>
  <c r="F75" i="67"/>
  <c r="V75" i="67"/>
  <c r="AD75" i="67"/>
  <c r="BB75" i="67"/>
  <c r="G140" i="68"/>
  <c r="M124" i="67"/>
  <c r="M128" i="67" s="1"/>
  <c r="AC124" i="67"/>
  <c r="AC128" i="67" s="1"/>
  <c r="AK124" i="67"/>
  <c r="AK131" i="67" s="1"/>
  <c r="BA124" i="67"/>
  <c r="BA127" i="67" s="1"/>
  <c r="E124" i="67"/>
  <c r="E131" i="67" s="1"/>
  <c r="U124" i="67"/>
  <c r="U125" i="67" s="1"/>
  <c r="AS124" i="67"/>
  <c r="AS125" i="67" s="1"/>
  <c r="R136" i="68"/>
  <c r="BD25" i="68"/>
  <c r="BD28" i="68" s="1"/>
  <c r="H25" i="68"/>
  <c r="H28" i="68" s="1"/>
  <c r="L25" i="68"/>
  <c r="L28" i="68" s="1"/>
  <c r="T25" i="68"/>
  <c r="T28" i="68" s="1"/>
  <c r="AB25" i="68"/>
  <c r="AB28" i="68" s="1"/>
  <c r="AJ25" i="68"/>
  <c r="AJ28" i="68" s="1"/>
  <c r="AR137" i="68"/>
  <c r="X136" i="68"/>
  <c r="AP136" i="68"/>
  <c r="AD25" i="68"/>
  <c r="AD28" i="68" s="1"/>
  <c r="AT25" i="68"/>
  <c r="AT28" i="68" s="1"/>
  <c r="BB25" i="68"/>
  <c r="BB28" i="68" s="1"/>
  <c r="G136" i="68"/>
  <c r="AM136" i="68"/>
  <c r="AU136" i="68"/>
  <c r="BC136" i="68"/>
  <c r="K137" i="68"/>
  <c r="S137" i="68"/>
  <c r="AA137" i="68"/>
  <c r="AI137" i="68"/>
  <c r="AQ137" i="68"/>
  <c r="AY137" i="68"/>
  <c r="G138" i="68"/>
  <c r="W138" i="68"/>
  <c r="AE138" i="68"/>
  <c r="AM138" i="68"/>
  <c r="AU138" i="68"/>
  <c r="BC138" i="68"/>
  <c r="K139" i="68"/>
  <c r="S139" i="68"/>
  <c r="AA139" i="68"/>
  <c r="AI139" i="68"/>
  <c r="AQ139" i="68"/>
  <c r="AY139" i="68"/>
  <c r="W140" i="68"/>
  <c r="AE140" i="68"/>
  <c r="AM140" i="68"/>
  <c r="AU140" i="68"/>
  <c r="BC140" i="68"/>
  <c r="K141" i="68"/>
  <c r="S141" i="68"/>
  <c r="AA141" i="68"/>
  <c r="AI141" i="68"/>
  <c r="AY141" i="68"/>
  <c r="O142" i="68"/>
  <c r="W142" i="68"/>
  <c r="AE142" i="68"/>
  <c r="AM142" i="68"/>
  <c r="AU142" i="68"/>
  <c r="BC142" i="68"/>
  <c r="AB138" i="68"/>
  <c r="AJ138" i="68"/>
  <c r="AZ138" i="68"/>
  <c r="H139" i="68"/>
  <c r="P139" i="68"/>
  <c r="X139" i="68"/>
  <c r="AF139" i="68"/>
  <c r="AN139" i="68"/>
  <c r="BD139" i="68"/>
  <c r="L140" i="68"/>
  <c r="AB140" i="68"/>
  <c r="AJ140" i="68"/>
  <c r="AZ140" i="68"/>
  <c r="H141" i="68"/>
  <c r="P141" i="68"/>
  <c r="X141" i="68"/>
  <c r="AF141" i="68"/>
  <c r="AN141" i="68"/>
  <c r="BD141" i="68"/>
  <c r="L142" i="68"/>
  <c r="T142" i="68"/>
  <c r="AB142" i="68"/>
  <c r="AJ142" i="68"/>
  <c r="AZ142" i="68"/>
  <c r="AV136" i="68"/>
  <c r="M136" i="68"/>
  <c r="U136" i="68"/>
  <c r="AC136" i="68"/>
  <c r="AK136" i="68"/>
  <c r="AS136" i="68"/>
  <c r="BA136" i="68"/>
  <c r="I137" i="68"/>
  <c r="Q137" i="68"/>
  <c r="Y137" i="68"/>
  <c r="AG137" i="68"/>
  <c r="AW137" i="68"/>
  <c r="E138" i="68"/>
  <c r="M138" i="68"/>
  <c r="U138" i="68"/>
  <c r="AC138" i="68"/>
  <c r="AK138" i="68"/>
  <c r="AS138" i="68"/>
  <c r="BA138" i="68"/>
  <c r="Q139" i="68"/>
  <c r="AG139" i="68"/>
  <c r="AO139" i="68"/>
  <c r="AW139" i="68"/>
  <c r="E140" i="68"/>
  <c r="M140" i="68"/>
  <c r="U140" i="68"/>
  <c r="AK140" i="68"/>
  <c r="AS140" i="68"/>
  <c r="BA140" i="68"/>
  <c r="I141" i="68"/>
  <c r="Q141" i="68"/>
  <c r="Y141" i="68"/>
  <c r="AG141" i="68"/>
  <c r="AO141" i="68"/>
  <c r="AW141" i="68"/>
  <c r="U142" i="68"/>
  <c r="AC142" i="68"/>
  <c r="AK142" i="68"/>
  <c r="AS142" i="68"/>
  <c r="BA142" i="68"/>
  <c r="AG33" i="68"/>
  <c r="AO33" i="68"/>
  <c r="AW33" i="68"/>
  <c r="M33" i="68"/>
  <c r="U33" i="68"/>
  <c r="AC33" i="68"/>
  <c r="AK33" i="68"/>
  <c r="AS33" i="68"/>
  <c r="BA33" i="68"/>
  <c r="AT33" i="68"/>
  <c r="K33" i="68"/>
  <c r="S33" i="68"/>
  <c r="AA33" i="68"/>
  <c r="AQ33" i="68"/>
  <c r="AY33" i="68"/>
  <c r="G33" i="68"/>
  <c r="W33" i="68"/>
  <c r="AM33" i="68"/>
  <c r="M25" i="68"/>
  <c r="M28" i="68" s="1"/>
  <c r="U25" i="68"/>
  <c r="U28" i="68" s="1"/>
  <c r="AC25" i="68"/>
  <c r="AC28" i="68" s="1"/>
  <c r="E108" i="70"/>
  <c r="E109" i="70" s="1"/>
  <c r="N109" i="70"/>
  <c r="BB109" i="70"/>
  <c r="L131" i="69"/>
  <c r="L133" i="69" s="1"/>
  <c r="T131" i="69"/>
  <c r="T133" i="69" s="1"/>
  <c r="AB131" i="69"/>
  <c r="AB133" i="69" s="1"/>
  <c r="AJ131" i="69"/>
  <c r="AJ133" i="69" s="1"/>
  <c r="AR131" i="69"/>
  <c r="AR134" i="69" s="1"/>
  <c r="AZ131" i="69"/>
  <c r="AZ133" i="69" s="1"/>
  <c r="S109" i="70"/>
  <c r="G88" i="70"/>
  <c r="G91" i="70" s="1"/>
  <c r="O88" i="70"/>
  <c r="O91" i="70" s="1"/>
  <c r="W88" i="70"/>
  <c r="W91" i="70" s="1"/>
  <c r="AE88" i="70"/>
  <c r="AE91" i="70" s="1"/>
  <c r="AE92" i="70" s="1"/>
  <c r="AM88" i="70"/>
  <c r="AM91" i="70" s="1"/>
  <c r="AU88" i="70"/>
  <c r="AU91" i="70" s="1"/>
  <c r="BC88" i="70"/>
  <c r="BC91" i="70" s="1"/>
  <c r="U131" i="69"/>
  <c r="U133" i="69" s="1"/>
  <c r="P88" i="70"/>
  <c r="P91" i="70" s="1"/>
  <c r="AN88" i="70"/>
  <c r="AN91" i="70" s="1"/>
  <c r="AN92" i="70" s="1"/>
  <c r="L88" i="70"/>
  <c r="L91" i="70" s="1"/>
  <c r="T88" i="70"/>
  <c r="T91" i="70" s="1"/>
  <c r="AB88" i="70"/>
  <c r="AB91" i="70" s="1"/>
  <c r="AB92" i="70" s="1"/>
  <c r="AJ88" i="70"/>
  <c r="AJ91" i="70" s="1"/>
  <c r="AR88" i="70"/>
  <c r="AR91" i="70" s="1"/>
  <c r="AZ88" i="70"/>
  <c r="AZ91" i="70" s="1"/>
  <c r="AC91" i="70"/>
  <c r="AC92" i="70" s="1"/>
  <c r="AS91" i="70"/>
  <c r="AS92" i="70" s="1"/>
  <c r="H112" i="69"/>
  <c r="H113" i="69" s="1"/>
  <c r="P112" i="69"/>
  <c r="P118" i="69" s="1"/>
  <c r="X112" i="69"/>
  <c r="X113" i="69" s="1"/>
  <c r="AF112" i="69"/>
  <c r="AF118" i="69" s="1"/>
  <c r="AN112" i="69"/>
  <c r="AN114" i="69" s="1"/>
  <c r="AV112" i="69"/>
  <c r="AV118" i="69" s="1"/>
  <c r="BD112" i="69"/>
  <c r="BD116" i="69" s="1"/>
  <c r="F92" i="69"/>
  <c r="N92" i="69"/>
  <c r="V92" i="69"/>
  <c r="AD92" i="69"/>
  <c r="AL92" i="69"/>
  <c r="AT92" i="69"/>
  <c r="BB92" i="69"/>
  <c r="AA92" i="69"/>
  <c r="G92" i="69"/>
  <c r="O92" i="69"/>
  <c r="W92" i="69"/>
  <c r="AE92" i="69"/>
  <c r="AM92" i="69"/>
  <c r="AU92" i="69"/>
  <c r="BC92" i="69"/>
  <c r="AC92" i="69"/>
  <c r="H92" i="69"/>
  <c r="P92" i="69"/>
  <c r="X92" i="69"/>
  <c r="AF92" i="69"/>
  <c r="AN92" i="69"/>
  <c r="AV92" i="69"/>
  <c r="BD92" i="69"/>
  <c r="AI92" i="69"/>
  <c r="AG92" i="69"/>
  <c r="F112" i="69"/>
  <c r="F117" i="69" s="1"/>
  <c r="N112" i="69"/>
  <c r="N113" i="69" s="1"/>
  <c r="V112" i="69"/>
  <c r="V119" i="69" s="1"/>
  <c r="AD112" i="69"/>
  <c r="AD117" i="69" s="1"/>
  <c r="AL112" i="69"/>
  <c r="AL119" i="69" s="1"/>
  <c r="AT112" i="69"/>
  <c r="AT117" i="69" s="1"/>
  <c r="BB112" i="69"/>
  <c r="BB116" i="69" s="1"/>
  <c r="M92" i="69"/>
  <c r="AS92" i="69"/>
  <c r="H68" i="70"/>
  <c r="H71" i="70" s="1"/>
  <c r="P68" i="70"/>
  <c r="P71" i="70" s="1"/>
  <c r="AV68" i="70"/>
  <c r="AV71" i="70" s="1"/>
  <c r="F131" i="69"/>
  <c r="F133" i="69" s="1"/>
  <c r="N131" i="69"/>
  <c r="N133" i="69" s="1"/>
  <c r="V131" i="69"/>
  <c r="V133" i="69" s="1"/>
  <c r="AD131" i="69"/>
  <c r="AD133" i="69" s="1"/>
  <c r="AL131" i="69"/>
  <c r="AL133" i="69" s="1"/>
  <c r="AT131" i="69"/>
  <c r="AT133" i="69" s="1"/>
  <c r="BB131" i="69"/>
  <c r="BB133" i="69" s="1"/>
  <c r="L68" i="70"/>
  <c r="L71" i="70" s="1"/>
  <c r="T68" i="70"/>
  <c r="T71" i="70" s="1"/>
  <c r="AB68" i="70"/>
  <c r="AB71" i="70" s="1"/>
  <c r="AJ68" i="70"/>
  <c r="AJ71" i="70" s="1"/>
  <c r="AR68" i="70"/>
  <c r="AR71" i="70" s="1"/>
  <c r="AZ68" i="70"/>
  <c r="AZ71" i="70" s="1"/>
  <c r="G131" i="69"/>
  <c r="G133" i="69" s="1"/>
  <c r="O131" i="69"/>
  <c r="O133" i="69" s="1"/>
  <c r="W131" i="69"/>
  <c r="W133" i="69" s="1"/>
  <c r="AE131" i="69"/>
  <c r="AE133" i="69" s="1"/>
  <c r="AM131" i="69"/>
  <c r="AM133" i="69" s="1"/>
  <c r="AU131" i="69"/>
  <c r="AU133" i="69" s="1"/>
  <c r="BC131" i="69"/>
  <c r="BC133" i="69" s="1"/>
  <c r="E72" i="69"/>
  <c r="M72" i="69"/>
  <c r="AJ125" i="70"/>
  <c r="H131" i="69"/>
  <c r="H133" i="69" s="1"/>
  <c r="P131" i="69"/>
  <c r="P133" i="69" s="1"/>
  <c r="X131" i="69"/>
  <c r="X133" i="69" s="1"/>
  <c r="AF131" i="69"/>
  <c r="AF133" i="69" s="1"/>
  <c r="AN131" i="69"/>
  <c r="AN133" i="69" s="1"/>
  <c r="AV131" i="69"/>
  <c r="AV134" i="69" s="1"/>
  <c r="BD131" i="69"/>
  <c r="BD133" i="69" s="1"/>
  <c r="H124" i="70"/>
  <c r="AV124" i="70"/>
  <c r="AB125" i="70"/>
  <c r="X68" i="70"/>
  <c r="X71" i="70" s="1"/>
  <c r="AF68" i="70"/>
  <c r="AF71" i="70" s="1"/>
  <c r="AN68" i="70"/>
  <c r="AN71" i="70" s="1"/>
  <c r="BD68" i="70"/>
  <c r="BD71" i="70" s="1"/>
  <c r="J131" i="69"/>
  <c r="J133" i="69" s="1"/>
  <c r="R131" i="69"/>
  <c r="R133" i="69" s="1"/>
  <c r="Z131" i="69"/>
  <c r="Z133" i="69" s="1"/>
  <c r="AH131" i="69"/>
  <c r="AH133" i="69" s="1"/>
  <c r="AP131" i="69"/>
  <c r="AP133" i="69" s="1"/>
  <c r="AX131" i="69"/>
  <c r="AX133" i="69" s="1"/>
  <c r="BA71" i="70"/>
  <c r="L72" i="69"/>
  <c r="T72" i="69"/>
  <c r="AB72" i="69"/>
  <c r="AJ72" i="69"/>
  <c r="AR72" i="69"/>
  <c r="AZ72" i="69"/>
  <c r="U72" i="69"/>
  <c r="BA72" i="69"/>
  <c r="F72" i="69"/>
  <c r="N72" i="69"/>
  <c r="V72" i="69"/>
  <c r="AD72" i="69"/>
  <c r="AL72" i="69"/>
  <c r="AT72" i="69"/>
  <c r="BB72" i="69"/>
  <c r="Y72" i="69"/>
  <c r="L112" i="69"/>
  <c r="L119" i="69" s="1"/>
  <c r="T112" i="69"/>
  <c r="T117" i="69" s="1"/>
  <c r="AB112" i="69"/>
  <c r="AB117" i="69" s="1"/>
  <c r="AJ112" i="69"/>
  <c r="AJ116" i="69" s="1"/>
  <c r="AR112" i="69"/>
  <c r="AR114" i="69" s="1"/>
  <c r="AZ112" i="69"/>
  <c r="AZ117" i="69" s="1"/>
  <c r="J72" i="69"/>
  <c r="R72" i="69"/>
  <c r="Z72" i="69"/>
  <c r="AH72" i="69"/>
  <c r="AP72" i="69"/>
  <c r="AX72" i="69"/>
  <c r="I72" i="69"/>
  <c r="AO72" i="69"/>
  <c r="I131" i="69"/>
  <c r="I133" i="69" s="1"/>
  <c r="Q131" i="69"/>
  <c r="Q133" i="69" s="1"/>
  <c r="Y131" i="69"/>
  <c r="Y133" i="69" s="1"/>
  <c r="AG131" i="69"/>
  <c r="AG133" i="69" s="1"/>
  <c r="AO131" i="69"/>
  <c r="AO133" i="69" s="1"/>
  <c r="AW131" i="69"/>
  <c r="AW133" i="69" s="1"/>
  <c r="I47" i="70"/>
  <c r="I50" i="70" s="1"/>
  <c r="Q47" i="70"/>
  <c r="Q50" i="70" s="1"/>
  <c r="F47" i="70"/>
  <c r="F50" i="70" s="1"/>
  <c r="N47" i="70"/>
  <c r="N50" i="70" s="1"/>
  <c r="V47" i="70"/>
  <c r="V50" i="70" s="1"/>
  <c r="AD47" i="70"/>
  <c r="AD50" i="70" s="1"/>
  <c r="AL47" i="70"/>
  <c r="AL50" i="70" s="1"/>
  <c r="AT47" i="70"/>
  <c r="AT50" i="70" s="1"/>
  <c r="BB47" i="70"/>
  <c r="BB50" i="70" s="1"/>
  <c r="BC51" i="69"/>
  <c r="E50" i="70"/>
  <c r="E112" i="69"/>
  <c r="E114" i="69" s="1"/>
  <c r="M112" i="69"/>
  <c r="M117" i="69" s="1"/>
  <c r="U112" i="69"/>
  <c r="U113" i="69" s="1"/>
  <c r="AC112" i="69"/>
  <c r="AC113" i="69" s="1"/>
  <c r="AK112" i="69"/>
  <c r="AK114" i="69" s="1"/>
  <c r="AS112" i="69"/>
  <c r="AS119" i="69" s="1"/>
  <c r="BA112" i="69"/>
  <c r="BA116" i="69" s="1"/>
  <c r="L51" i="69"/>
  <c r="T51" i="69"/>
  <c r="AB51" i="69"/>
  <c r="AJ51" i="69"/>
  <c r="AR51" i="69"/>
  <c r="AZ51" i="69"/>
  <c r="O51" i="69"/>
  <c r="AE51" i="69"/>
  <c r="AU51" i="69"/>
  <c r="E51" i="69"/>
  <c r="M51" i="69"/>
  <c r="U51" i="69"/>
  <c r="AC51" i="69"/>
  <c r="AK51" i="69"/>
  <c r="AS51" i="69"/>
  <c r="BA51" i="69"/>
  <c r="P51" i="69"/>
  <c r="AF51" i="69"/>
  <c r="R51" i="69"/>
  <c r="AH51" i="69"/>
  <c r="W51" i="69"/>
  <c r="AM51" i="69"/>
  <c r="J51" i="69"/>
  <c r="H51" i="69"/>
  <c r="Y51" i="69"/>
  <c r="AO51" i="69"/>
  <c r="Y25" i="70"/>
  <c r="AJ29" i="69"/>
  <c r="AZ29" i="69"/>
  <c r="AQ124" i="70"/>
  <c r="AY124" i="70"/>
  <c r="G125" i="70"/>
  <c r="O125" i="70"/>
  <c r="W125" i="70"/>
  <c r="AM125" i="70"/>
  <c r="BC125" i="70"/>
  <c r="K126" i="70"/>
  <c r="S126" i="70"/>
  <c r="AA126" i="70"/>
  <c r="AI126" i="70"/>
  <c r="AY126" i="70"/>
  <c r="O127" i="70"/>
  <c r="W127" i="70"/>
  <c r="AE127" i="70"/>
  <c r="AM127" i="70"/>
  <c r="AU127" i="70"/>
  <c r="K128" i="70"/>
  <c r="AA128" i="70"/>
  <c r="AI128" i="70"/>
  <c r="AQ128" i="70"/>
  <c r="AY128" i="70"/>
  <c r="G129" i="70"/>
  <c r="W129" i="70"/>
  <c r="AM129" i="70"/>
  <c r="AU129" i="70"/>
  <c r="BC129" i="70"/>
  <c r="K130" i="70"/>
  <c r="S130" i="70"/>
  <c r="AI130" i="70"/>
  <c r="AY130" i="70"/>
  <c r="BC31" i="70"/>
  <c r="M29" i="69"/>
  <c r="AQ29" i="69"/>
  <c r="S29" i="69"/>
  <c r="AR29" i="69"/>
  <c r="E29" i="69"/>
  <c r="AK29" i="69"/>
  <c r="U29" i="69"/>
  <c r="AS29" i="69"/>
  <c r="AA29" i="69"/>
  <c r="AY29" i="69"/>
  <c r="AC29" i="69"/>
  <c r="AI29" i="69"/>
  <c r="BA29" i="69"/>
  <c r="I116" i="68"/>
  <c r="I119" i="68" s="1"/>
  <c r="Y116" i="68"/>
  <c r="Y119" i="68" s="1"/>
  <c r="AG116" i="68"/>
  <c r="AG119" i="68" s="1"/>
  <c r="AO116" i="68"/>
  <c r="AO119" i="68" s="1"/>
  <c r="AW116" i="68"/>
  <c r="AW119" i="68" s="1"/>
  <c r="E116" i="68"/>
  <c r="E119" i="68" s="1"/>
  <c r="E120" i="68" s="1"/>
  <c r="E120" i="67"/>
  <c r="M120" i="67"/>
  <c r="U120" i="67"/>
  <c r="AK120" i="67"/>
  <c r="AS120" i="67"/>
  <c r="BA120" i="67"/>
  <c r="W120" i="67"/>
  <c r="H124" i="67"/>
  <c r="H129" i="67" s="1"/>
  <c r="AF124" i="67"/>
  <c r="AF131" i="67" s="1"/>
  <c r="AN124" i="67"/>
  <c r="AN128" i="67" s="1"/>
  <c r="AV124" i="67"/>
  <c r="AV130" i="67" s="1"/>
  <c r="BD124" i="67"/>
  <c r="BD125" i="67" s="1"/>
  <c r="F120" i="67"/>
  <c r="N120" i="67"/>
  <c r="V120" i="67"/>
  <c r="AD120" i="67"/>
  <c r="AL120" i="67"/>
  <c r="AT120" i="67"/>
  <c r="BB120" i="67"/>
  <c r="BC120" i="67"/>
  <c r="AC120" i="67"/>
  <c r="P124" i="67"/>
  <c r="P130" i="67" s="1"/>
  <c r="H120" i="67"/>
  <c r="P120" i="67"/>
  <c r="X120" i="67"/>
  <c r="AF120" i="67"/>
  <c r="AN120" i="67"/>
  <c r="AV120" i="67"/>
  <c r="BD120" i="67"/>
  <c r="AE120" i="67"/>
  <c r="X124" i="67"/>
  <c r="X127" i="67" s="1"/>
  <c r="I120" i="67"/>
  <c r="Q120" i="67"/>
  <c r="Y120" i="67"/>
  <c r="AG120" i="67"/>
  <c r="AW120" i="67"/>
  <c r="G120" i="67"/>
  <c r="AM120" i="67"/>
  <c r="J120" i="67"/>
  <c r="R120" i="67"/>
  <c r="Z120" i="67"/>
  <c r="AH120" i="67"/>
  <c r="AP120" i="67"/>
  <c r="AX120" i="67"/>
  <c r="AO120" i="67"/>
  <c r="K120" i="67"/>
  <c r="S120" i="67"/>
  <c r="AA120" i="67"/>
  <c r="AI120" i="67"/>
  <c r="AQ120" i="67"/>
  <c r="AY120" i="67"/>
  <c r="O120" i="67"/>
  <c r="F143" i="67"/>
  <c r="F145" i="67" s="1"/>
  <c r="AD143" i="67"/>
  <c r="AD145" i="67" s="1"/>
  <c r="AL143" i="67"/>
  <c r="AL145" i="67" s="1"/>
  <c r="AT143" i="67"/>
  <c r="AT145" i="67" s="1"/>
  <c r="BB143" i="67"/>
  <c r="BB146" i="67" s="1"/>
  <c r="V143" i="67"/>
  <c r="V145" i="67" s="1"/>
  <c r="E94" i="68"/>
  <c r="M94" i="68"/>
  <c r="M97" i="68" s="1"/>
  <c r="U94" i="68"/>
  <c r="U97" i="68" s="1"/>
  <c r="BA94" i="68"/>
  <c r="BA97" i="68" s="1"/>
  <c r="G94" i="68"/>
  <c r="G97" i="68" s="1"/>
  <c r="G98" i="68" s="1"/>
  <c r="O94" i="68"/>
  <c r="O97" i="68" s="1"/>
  <c r="AE94" i="68"/>
  <c r="AE97" i="68" s="1"/>
  <c r="AM94" i="68"/>
  <c r="AM97" i="68" s="1"/>
  <c r="AU94" i="68"/>
  <c r="AU97" i="68" s="1"/>
  <c r="AU98" i="68" s="1"/>
  <c r="BC94" i="68"/>
  <c r="BC97" i="68" s="1"/>
  <c r="K94" i="68"/>
  <c r="K97" i="68" s="1"/>
  <c r="S94" i="68"/>
  <c r="S97" i="68" s="1"/>
  <c r="AQ94" i="68"/>
  <c r="AQ97" i="68" s="1"/>
  <c r="AY94" i="68"/>
  <c r="AY97" i="68" s="1"/>
  <c r="H143" i="67"/>
  <c r="H145" i="67" s="1"/>
  <c r="P143" i="67"/>
  <c r="P145" i="67" s="1"/>
  <c r="X143" i="67"/>
  <c r="X146" i="67" s="1"/>
  <c r="AF143" i="67"/>
  <c r="AF145" i="67" s="1"/>
  <c r="AN143" i="67"/>
  <c r="AN145" i="67" s="1"/>
  <c r="AV143" i="67"/>
  <c r="AV145" i="67" s="1"/>
  <c r="BD143" i="67"/>
  <c r="BD145" i="67" s="1"/>
  <c r="AI94" i="68"/>
  <c r="AI97" i="68" s="1"/>
  <c r="K98" i="67"/>
  <c r="S98" i="67"/>
  <c r="AA98" i="67"/>
  <c r="AI98" i="67"/>
  <c r="AQ98" i="67"/>
  <c r="AY98" i="67"/>
  <c r="AV98" i="67"/>
  <c r="F124" i="67"/>
  <c r="F130" i="67" s="1"/>
  <c r="N124" i="67"/>
  <c r="N130" i="67" s="1"/>
  <c r="AD124" i="67"/>
  <c r="AD131" i="67" s="1"/>
  <c r="AL124" i="67"/>
  <c r="AL131" i="67" s="1"/>
  <c r="BB124" i="67"/>
  <c r="BB126" i="67" s="1"/>
  <c r="T98" i="67"/>
  <c r="V124" i="67"/>
  <c r="V131" i="67" s="1"/>
  <c r="AT124" i="67"/>
  <c r="AT131" i="67" s="1"/>
  <c r="M98" i="67"/>
  <c r="BC98" i="67"/>
  <c r="F98" i="67"/>
  <c r="N98" i="67"/>
  <c r="V98" i="67"/>
  <c r="AD98" i="67"/>
  <c r="AL98" i="67"/>
  <c r="AT98" i="67"/>
  <c r="BB98" i="67"/>
  <c r="G98" i="67"/>
  <c r="O98" i="67"/>
  <c r="W98" i="67"/>
  <c r="AE98" i="67"/>
  <c r="H98" i="67"/>
  <c r="P98" i="67"/>
  <c r="X98" i="67"/>
  <c r="AF98" i="67"/>
  <c r="AN98" i="67"/>
  <c r="BD98" i="67"/>
  <c r="AM98" i="67"/>
  <c r="I98" i="67"/>
  <c r="Q98" i="67"/>
  <c r="Y98" i="67"/>
  <c r="AG98" i="67"/>
  <c r="AO98" i="67"/>
  <c r="AW98" i="67"/>
  <c r="E143" i="67"/>
  <c r="E145" i="67" s="1"/>
  <c r="M143" i="67"/>
  <c r="M145" i="67" s="1"/>
  <c r="U143" i="67"/>
  <c r="U146" i="67" s="1"/>
  <c r="AC143" i="67"/>
  <c r="AC145" i="67" s="1"/>
  <c r="AK143" i="67"/>
  <c r="AK145" i="67" s="1"/>
  <c r="AS143" i="67"/>
  <c r="AS145" i="67" s="1"/>
  <c r="BA143" i="67"/>
  <c r="BA145" i="67" s="1"/>
  <c r="N143" i="67"/>
  <c r="N145" i="67" s="1"/>
  <c r="AL75" i="67"/>
  <c r="G75" i="67"/>
  <c r="AM75" i="67"/>
  <c r="E71" i="68"/>
  <c r="E74" i="68" s="1"/>
  <c r="U71" i="68"/>
  <c r="U74" i="68" s="1"/>
  <c r="AC71" i="68"/>
  <c r="AC74" i="68" s="1"/>
  <c r="AK71" i="68"/>
  <c r="AK74" i="68" s="1"/>
  <c r="AS71" i="68"/>
  <c r="AS74" i="68" s="1"/>
  <c r="BA71" i="68"/>
  <c r="BA74" i="68" s="1"/>
  <c r="M71" i="68"/>
  <c r="M74" i="68" s="1"/>
  <c r="N75" i="67"/>
  <c r="AU75" i="67"/>
  <c r="AM124" i="67"/>
  <c r="AM130" i="67" s="1"/>
  <c r="O75" i="67"/>
  <c r="O124" i="67"/>
  <c r="O128" i="67" s="1"/>
  <c r="AE124" i="67"/>
  <c r="AE126" i="67" s="1"/>
  <c r="W75" i="67"/>
  <c r="AE75" i="67"/>
  <c r="BC75" i="67"/>
  <c r="W124" i="67"/>
  <c r="W130" i="67" s="1"/>
  <c r="H75" i="67"/>
  <c r="P75" i="67"/>
  <c r="X75" i="67"/>
  <c r="AF75" i="67"/>
  <c r="AN75" i="67"/>
  <c r="AV75" i="67"/>
  <c r="BD75" i="67"/>
  <c r="G124" i="67"/>
  <c r="G126" i="67" s="1"/>
  <c r="AU124" i="67"/>
  <c r="AU128" i="67" s="1"/>
  <c r="I75" i="67"/>
  <c r="Q75" i="67"/>
  <c r="Y75" i="67"/>
  <c r="AG75" i="67"/>
  <c r="AO75" i="67"/>
  <c r="AW75" i="67"/>
  <c r="AA75" i="67"/>
  <c r="BC124" i="67"/>
  <c r="BC129" i="67" s="1"/>
  <c r="J75" i="67"/>
  <c r="R75" i="67"/>
  <c r="Z75" i="67"/>
  <c r="AH75" i="67"/>
  <c r="AP75" i="67"/>
  <c r="AX75" i="67"/>
  <c r="AT75" i="67"/>
  <c r="Q143" i="67"/>
  <c r="Q145" i="67" s="1"/>
  <c r="Y143" i="67"/>
  <c r="Y145" i="67" s="1"/>
  <c r="AG143" i="67"/>
  <c r="AG145" i="67" s="1"/>
  <c r="AW143" i="67"/>
  <c r="AW145" i="67" s="1"/>
  <c r="Z53" i="67"/>
  <c r="I143" i="67"/>
  <c r="I145" i="67" s="1"/>
  <c r="AO143" i="67"/>
  <c r="AO145" i="67" s="1"/>
  <c r="AQ53" i="67"/>
  <c r="AG53" i="67"/>
  <c r="I53" i="67"/>
  <c r="Y53" i="67"/>
  <c r="AO53" i="67"/>
  <c r="AT53" i="67"/>
  <c r="F53" i="67"/>
  <c r="N53" i="67"/>
  <c r="V53" i="67"/>
  <c r="AD53" i="67"/>
  <c r="AL53" i="67"/>
  <c r="BB53" i="67"/>
  <c r="H53" i="67"/>
  <c r="X53" i="67"/>
  <c r="AF53" i="67"/>
  <c r="P53" i="67"/>
  <c r="AN53" i="67"/>
  <c r="AV53" i="67"/>
  <c r="G143" i="67"/>
  <c r="G145" i="67" s="1"/>
  <c r="O143" i="67"/>
  <c r="O145" i="67" s="1"/>
  <c r="W143" i="67"/>
  <c r="W145" i="67" s="1"/>
  <c r="AE143" i="67"/>
  <c r="AE145" i="67" s="1"/>
  <c r="AM143" i="67"/>
  <c r="AM145" i="67" s="1"/>
  <c r="AU143" i="67"/>
  <c r="AU145" i="67" s="1"/>
  <c r="BC143" i="67"/>
  <c r="BC145" i="67" s="1"/>
  <c r="J143" i="67"/>
  <c r="J145" i="67" s="1"/>
  <c r="R143" i="67"/>
  <c r="R145" i="67" s="1"/>
  <c r="Z143" i="67"/>
  <c r="Z145" i="67" s="1"/>
  <c r="AH143" i="67"/>
  <c r="AH145" i="67" s="1"/>
  <c r="AP143" i="67"/>
  <c r="AP145" i="67" s="1"/>
  <c r="AX143" i="67"/>
  <c r="AX145" i="67" s="1"/>
  <c r="L143" i="67"/>
  <c r="L145" i="67" s="1"/>
  <c r="T143" i="67"/>
  <c r="T145" i="67" s="1"/>
  <c r="AB143" i="67"/>
  <c r="AB145" i="67" s="1"/>
  <c r="AJ143" i="67"/>
  <c r="AJ145" i="67" s="1"/>
  <c r="AR143" i="67"/>
  <c r="AR145" i="67" s="1"/>
  <c r="AZ143" i="67"/>
  <c r="AZ145" i="67" s="1"/>
  <c r="R53" i="67"/>
  <c r="AX53" i="67"/>
  <c r="J53" i="67"/>
  <c r="AC53" i="67"/>
  <c r="AS53" i="67"/>
  <c r="BD53" i="67"/>
  <c r="S53" i="67"/>
  <c r="AA53" i="67"/>
  <c r="AI53" i="67"/>
  <c r="AY53" i="67"/>
  <c r="K53" i="67"/>
  <c r="AE53" i="67"/>
  <c r="L53" i="67"/>
  <c r="AH53" i="67"/>
  <c r="BA53" i="67"/>
  <c r="M53" i="67"/>
  <c r="L124" i="67"/>
  <c r="L130" i="67" s="1"/>
  <c r="AZ124" i="67"/>
  <c r="AZ126" i="67" s="1"/>
  <c r="T124" i="67"/>
  <c r="T129" i="67" s="1"/>
  <c r="AB124" i="67"/>
  <c r="AB131" i="67" s="1"/>
  <c r="AJ124" i="67"/>
  <c r="AJ127" i="67" s="1"/>
  <c r="AR124" i="67"/>
  <c r="AR129" i="67" s="1"/>
  <c r="G53" i="67"/>
  <c r="O53" i="67"/>
  <c r="W53" i="67"/>
  <c r="AM53" i="67"/>
  <c r="AU53" i="67"/>
  <c r="BC53" i="67"/>
  <c r="U53" i="67"/>
  <c r="AP53" i="67"/>
  <c r="Q53" i="67"/>
  <c r="AW53" i="67"/>
  <c r="AR53" i="67"/>
  <c r="N25" i="68"/>
  <c r="N28" i="68" s="1"/>
  <c r="V25" i="68"/>
  <c r="V28" i="68" s="1"/>
  <c r="AK25" i="68"/>
  <c r="AK28" i="68" s="1"/>
  <c r="AS25" i="68"/>
  <c r="AS28" i="68" s="1"/>
  <c r="BA25" i="68"/>
  <c r="BA28" i="68" s="1"/>
  <c r="G25" i="68"/>
  <c r="G28" i="68" s="1"/>
  <c r="O25" i="68"/>
  <c r="O28" i="68" s="1"/>
  <c r="W25" i="68"/>
  <c r="W28" i="68" s="1"/>
  <c r="AM25" i="68"/>
  <c r="AM28" i="68" s="1"/>
  <c r="AU25" i="68"/>
  <c r="AU28" i="68" s="1"/>
  <c r="I33" i="68"/>
  <c r="Q33" i="68"/>
  <c r="Y33" i="68"/>
  <c r="AU33" i="68"/>
  <c r="AR29" i="67"/>
  <c r="S29" i="67"/>
  <c r="AQ29" i="67"/>
  <c r="AA29" i="67"/>
  <c r="AX29" i="67"/>
  <c r="AB29" i="67"/>
  <c r="AY29" i="67"/>
  <c r="T29" i="67"/>
  <c r="AH29" i="67"/>
  <c r="AZ29" i="67"/>
  <c r="K29" i="67"/>
  <c r="AI29" i="67"/>
  <c r="L29" i="67"/>
  <c r="AJ29" i="67"/>
  <c r="R29" i="67"/>
  <c r="AP29" i="67"/>
  <c r="AC108" i="70"/>
  <c r="AC109" i="70" s="1"/>
  <c r="I91" i="70"/>
  <c r="AW91" i="70"/>
  <c r="AO91" i="70"/>
  <c r="AO92" i="70" s="1"/>
  <c r="Y71" i="70"/>
  <c r="AO71" i="70"/>
  <c r="AW71" i="70"/>
  <c r="I124" i="70"/>
  <c r="Q124" i="70"/>
  <c r="Y124" i="70"/>
  <c r="AG124" i="70"/>
  <c r="AO124" i="70"/>
  <c r="AW124" i="70"/>
  <c r="E125" i="70"/>
  <c r="M125" i="70"/>
  <c r="U125" i="70"/>
  <c r="AC125" i="70"/>
  <c r="AK125" i="70"/>
  <c r="AS125" i="70"/>
  <c r="BA125" i="70"/>
  <c r="I126" i="70"/>
  <c r="Q126" i="70"/>
  <c r="Y126" i="70"/>
  <c r="AG126" i="70"/>
  <c r="AO126" i="70"/>
  <c r="AW126" i="70"/>
  <c r="E127" i="70"/>
  <c r="M127" i="70"/>
  <c r="U127" i="70"/>
  <c r="AC127" i="70"/>
  <c r="AK127" i="70"/>
  <c r="AS127" i="70"/>
  <c r="BA127" i="70"/>
  <c r="I128" i="70"/>
  <c r="Q128" i="70"/>
  <c r="Y128" i="70"/>
  <c r="AG128" i="70"/>
  <c r="AO128" i="70"/>
  <c r="AW128" i="70"/>
  <c r="E129" i="70"/>
  <c r="M129" i="70"/>
  <c r="U129" i="70"/>
  <c r="AC129" i="70"/>
  <c r="AK129" i="70"/>
  <c r="AS129" i="70"/>
  <c r="BA129" i="70"/>
  <c r="I130" i="70"/>
  <c r="Q130" i="70"/>
  <c r="Y130" i="70"/>
  <c r="AG130" i="70"/>
  <c r="AO130" i="70"/>
  <c r="AW130" i="70"/>
  <c r="AG50" i="70"/>
  <c r="AW50" i="70"/>
  <c r="S50" i="70"/>
  <c r="AO50" i="70"/>
  <c r="AA124" i="70"/>
  <c r="K124" i="70"/>
  <c r="Q116" i="68"/>
  <c r="Q119" i="68" s="1"/>
  <c r="M116" i="68"/>
  <c r="M119" i="68" s="1"/>
  <c r="M120" i="68" s="1"/>
  <c r="U116" i="68"/>
  <c r="U119" i="68" s="1"/>
  <c r="U120" i="68" s="1"/>
  <c r="AC116" i="68"/>
  <c r="AC119" i="68" s="1"/>
  <c r="AC120" i="68" s="1"/>
  <c r="AK116" i="68"/>
  <c r="AK119" i="68" s="1"/>
  <c r="AK120" i="68" s="1"/>
  <c r="AS116" i="68"/>
  <c r="AS119" i="68" s="1"/>
  <c r="AS120" i="68" s="1"/>
  <c r="BA116" i="68"/>
  <c r="BA119" i="68" s="1"/>
  <c r="BA120" i="68" s="1"/>
  <c r="BC120" i="68"/>
  <c r="AJ120" i="68"/>
  <c r="BB120" i="68"/>
  <c r="X120" i="68"/>
  <c r="J120" i="68"/>
  <c r="AC94" i="68"/>
  <c r="AC97" i="68" s="1"/>
  <c r="AK94" i="68"/>
  <c r="AK97" i="68" s="1"/>
  <c r="AK98" i="68" s="1"/>
  <c r="AS94" i="68"/>
  <c r="AS97" i="68" s="1"/>
  <c r="BD98" i="68"/>
  <c r="I71" i="68"/>
  <c r="I74" i="68" s="1"/>
  <c r="Q71" i="68"/>
  <c r="Q74" i="68" s="1"/>
  <c r="Y71" i="68"/>
  <c r="Y74" i="68" s="1"/>
  <c r="AG71" i="68"/>
  <c r="AG74" i="68" s="1"/>
  <c r="AO71" i="68"/>
  <c r="AO74" i="68" s="1"/>
  <c r="AW71" i="68"/>
  <c r="AW74" i="68" s="1"/>
  <c r="AE25" i="68"/>
  <c r="AE28" i="68" s="1"/>
  <c r="BC25" i="68"/>
  <c r="BC28" i="68" s="1"/>
  <c r="V137" i="68"/>
  <c r="F25" i="68"/>
  <c r="F28" i="68" s="1"/>
  <c r="AH25" i="68"/>
  <c r="AH28" i="68" s="1"/>
  <c r="AX25" i="68"/>
  <c r="AX28" i="68" s="1"/>
  <c r="J136" i="68"/>
  <c r="N137" i="68"/>
  <c r="AL25" i="68"/>
  <c r="AL28" i="68" s="1"/>
  <c r="Z136" i="68"/>
  <c r="E142" i="68"/>
  <c r="E97" i="68"/>
  <c r="I97" i="68"/>
  <c r="Y97" i="68"/>
  <c r="AW97" i="68"/>
  <c r="Q97" i="68"/>
  <c r="AG97" i="68"/>
  <c r="AO97" i="68"/>
  <c r="AO98" i="68" s="1"/>
  <c r="AR97" i="68"/>
  <c r="W136" i="68"/>
  <c r="O136" i="68"/>
  <c r="F111" i="70"/>
  <c r="F74" i="70"/>
  <c r="F94" i="70" s="1"/>
  <c r="G2" i="70"/>
  <c r="F53" i="70"/>
  <c r="J28" i="70"/>
  <c r="R28" i="70"/>
  <c r="R29" i="70" s="1"/>
  <c r="Z28" i="70"/>
  <c r="AH28" i="70"/>
  <c r="AP28" i="70"/>
  <c r="AX28" i="70"/>
  <c r="AY28" i="70"/>
  <c r="F33" i="70"/>
  <c r="T28" i="70"/>
  <c r="T29" i="70" s="1"/>
  <c r="AJ28" i="70"/>
  <c r="AC28" i="70"/>
  <c r="AS28" i="70"/>
  <c r="E25" i="68"/>
  <c r="E28" i="68" s="1"/>
  <c r="I136" i="68"/>
  <c r="Q136" i="68"/>
  <c r="Y136" i="68"/>
  <c r="AG136" i="68"/>
  <c r="AO136" i="68"/>
  <c r="AW136" i="68"/>
  <c r="E137" i="68"/>
  <c r="U137" i="68"/>
  <c r="AC137" i="68"/>
  <c r="AS137" i="68"/>
  <c r="I138" i="68"/>
  <c r="Q138" i="68"/>
  <c r="Y138" i="68"/>
  <c r="AG138" i="68"/>
  <c r="AO138" i="68"/>
  <c r="AW138" i="68"/>
  <c r="E139" i="68"/>
  <c r="M139" i="68"/>
  <c r="U139" i="68"/>
  <c r="AC139" i="68"/>
  <c r="AK139" i="68"/>
  <c r="AS139" i="68"/>
  <c r="BA139" i="68"/>
  <c r="I140" i="68"/>
  <c r="Q140" i="68"/>
  <c r="Y140" i="68"/>
  <c r="AG140" i="68"/>
  <c r="AO140" i="68"/>
  <c r="AW140" i="68"/>
  <c r="E141" i="68"/>
  <c r="M141" i="68"/>
  <c r="U141" i="68"/>
  <c r="AC141" i="68"/>
  <c r="AK141" i="68"/>
  <c r="AS141" i="68"/>
  <c r="BA141" i="68"/>
  <c r="I142" i="68"/>
  <c r="Q142" i="68"/>
  <c r="Y142" i="68"/>
  <c r="AG142" i="68"/>
  <c r="AO142" i="68"/>
  <c r="AW142" i="68"/>
  <c r="I25" i="68"/>
  <c r="I28" i="68" s="1"/>
  <c r="Q25" i="68"/>
  <c r="Q28" i="68" s="1"/>
  <c r="Y25" i="68"/>
  <c r="Y28" i="68" s="1"/>
  <c r="AG25" i="68"/>
  <c r="AG28" i="68" s="1"/>
  <c r="AO25" i="68"/>
  <c r="AO28" i="68" s="1"/>
  <c r="AW25" i="68"/>
  <c r="AW28" i="68" s="1"/>
  <c r="K25" i="68"/>
  <c r="K28" i="68" s="1"/>
  <c r="S25" i="68"/>
  <c r="S28" i="68" s="1"/>
  <c r="AA25" i="68"/>
  <c r="AA28" i="68" s="1"/>
  <c r="AI25" i="68"/>
  <c r="AI28" i="68" s="1"/>
  <c r="AQ25" i="68"/>
  <c r="AQ28" i="68" s="1"/>
  <c r="AY25" i="68"/>
  <c r="AY28" i="68" s="1"/>
  <c r="M137" i="68"/>
  <c r="AK137" i="68"/>
  <c r="BA137" i="68"/>
  <c r="E136" i="68"/>
  <c r="E33" i="68"/>
  <c r="G123" i="68"/>
  <c r="G78" i="68"/>
  <c r="G102" i="68" s="1"/>
  <c r="G56" i="68"/>
  <c r="G35" i="68"/>
  <c r="H2" i="68"/>
  <c r="F123" i="68"/>
  <c r="F78" i="68"/>
  <c r="F102" i="68" s="1"/>
  <c r="F56" i="68"/>
  <c r="F35" i="68"/>
  <c r="O72" i="69"/>
  <c r="F29" i="69"/>
  <c r="N29" i="69"/>
  <c r="V29" i="69"/>
  <c r="AD29" i="69"/>
  <c r="AL29" i="69"/>
  <c r="AT29" i="69"/>
  <c r="BB29" i="69"/>
  <c r="AP51" i="69"/>
  <c r="AX51" i="69"/>
  <c r="Q72" i="69"/>
  <c r="AW72" i="69"/>
  <c r="E92" i="69"/>
  <c r="AK92" i="69"/>
  <c r="AU72" i="69"/>
  <c r="G112" i="69"/>
  <c r="O112" i="69"/>
  <c r="W112" i="69"/>
  <c r="AE112" i="69"/>
  <c r="AM112" i="69"/>
  <c r="AU112" i="69"/>
  <c r="BC112" i="69"/>
  <c r="K131" i="69"/>
  <c r="K133" i="69" s="1"/>
  <c r="S131" i="69"/>
  <c r="S133" i="69" s="1"/>
  <c r="AA131" i="69"/>
  <c r="AA133" i="69" s="1"/>
  <c r="AI131" i="69"/>
  <c r="AI133" i="69" s="1"/>
  <c r="AQ131" i="69"/>
  <c r="AQ133" i="69" s="1"/>
  <c r="AY131" i="69"/>
  <c r="AY133" i="69" s="1"/>
  <c r="G29" i="69"/>
  <c r="O29" i="69"/>
  <c r="W29" i="69"/>
  <c r="AE29" i="69"/>
  <c r="AM29" i="69"/>
  <c r="AU29" i="69"/>
  <c r="BC29" i="69"/>
  <c r="G33" i="69"/>
  <c r="W72" i="69"/>
  <c r="BC72" i="69"/>
  <c r="H29" i="69"/>
  <c r="P29" i="69"/>
  <c r="X29" i="69"/>
  <c r="AF29" i="69"/>
  <c r="AN29" i="69"/>
  <c r="AV29" i="69"/>
  <c r="BD29" i="69"/>
  <c r="I112" i="69"/>
  <c r="Y112" i="69"/>
  <c r="AO112" i="69"/>
  <c r="M131" i="69"/>
  <c r="M133" i="69" s="1"/>
  <c r="BA131" i="69"/>
  <c r="BA133" i="69" s="1"/>
  <c r="I29" i="69"/>
  <c r="Y29" i="69"/>
  <c r="AG29" i="69"/>
  <c r="AW29" i="69"/>
  <c r="AE72" i="69"/>
  <c r="Q112" i="69"/>
  <c r="AG112" i="69"/>
  <c r="AW112" i="69"/>
  <c r="E131" i="69"/>
  <c r="E133" i="69" s="1"/>
  <c r="AC131" i="69"/>
  <c r="AC133" i="69" s="1"/>
  <c r="AK131" i="69"/>
  <c r="AK133" i="69" s="1"/>
  <c r="AS131" i="69"/>
  <c r="Q29" i="69"/>
  <c r="AO29" i="69"/>
  <c r="F111" i="69"/>
  <c r="F74" i="69"/>
  <c r="F94" i="69" s="1"/>
  <c r="F53" i="69"/>
  <c r="J29" i="69"/>
  <c r="R29" i="69"/>
  <c r="Z29" i="69"/>
  <c r="AH29" i="69"/>
  <c r="AP29" i="69"/>
  <c r="AX29" i="69"/>
  <c r="AG72" i="69"/>
  <c r="U92" i="69"/>
  <c r="BA92" i="69"/>
  <c r="G74" i="69"/>
  <c r="G94" i="69" s="1"/>
  <c r="G53" i="69"/>
  <c r="K115" i="69"/>
  <c r="AQ114" i="69"/>
  <c r="AQ115" i="69"/>
  <c r="G72" i="69"/>
  <c r="AM72" i="69"/>
  <c r="H2" i="69"/>
  <c r="L29" i="69"/>
  <c r="T29" i="69"/>
  <c r="AB29" i="69"/>
  <c r="AV51" i="69"/>
  <c r="BD51" i="69"/>
  <c r="M29" i="67"/>
  <c r="AS29" i="67"/>
  <c r="N29" i="67"/>
  <c r="AD29" i="67"/>
  <c r="BB29" i="67"/>
  <c r="F123" i="67"/>
  <c r="F78" i="67"/>
  <c r="F102" i="67" s="1"/>
  <c r="J124" i="67"/>
  <c r="R124" i="67"/>
  <c r="Z124" i="67"/>
  <c r="AH124" i="67"/>
  <c r="AP124" i="67"/>
  <c r="AX124" i="67"/>
  <c r="K143" i="67"/>
  <c r="K145" i="67" s="1"/>
  <c r="S143" i="67"/>
  <c r="S145" i="67" s="1"/>
  <c r="AA143" i="67"/>
  <c r="AA145" i="67" s="1"/>
  <c r="AI143" i="67"/>
  <c r="AI145" i="67" s="1"/>
  <c r="AQ143" i="67"/>
  <c r="AQ145" i="67" s="1"/>
  <c r="AY143" i="67"/>
  <c r="AY145" i="67" s="1"/>
  <c r="G29" i="67"/>
  <c r="O29" i="67"/>
  <c r="W29" i="67"/>
  <c r="AE29" i="67"/>
  <c r="AM29" i="67"/>
  <c r="AU29" i="67"/>
  <c r="BC29" i="67"/>
  <c r="E53" i="67"/>
  <c r="AK53" i="67"/>
  <c r="H56" i="67"/>
  <c r="T75" i="67"/>
  <c r="AZ75" i="67"/>
  <c r="AZ98" i="67"/>
  <c r="AR120" i="67"/>
  <c r="E29" i="67"/>
  <c r="AK29" i="67"/>
  <c r="F29" i="67"/>
  <c r="V29" i="67"/>
  <c r="AT29" i="67"/>
  <c r="G123" i="67"/>
  <c r="G78" i="67"/>
  <c r="G102" i="67" s="1"/>
  <c r="K124" i="67"/>
  <c r="S124" i="67"/>
  <c r="AA124" i="67"/>
  <c r="AI124" i="67"/>
  <c r="AQ124" i="67"/>
  <c r="AY124" i="67"/>
  <c r="H29" i="67"/>
  <c r="P29" i="67"/>
  <c r="X29" i="67"/>
  <c r="AF29" i="67"/>
  <c r="AN29" i="67"/>
  <c r="AV29" i="67"/>
  <c r="BD29" i="67"/>
  <c r="AB53" i="67"/>
  <c r="U75" i="67"/>
  <c r="BA75" i="67"/>
  <c r="AS98" i="67"/>
  <c r="AJ120" i="67"/>
  <c r="T120" i="67"/>
  <c r="I29" i="67"/>
  <c r="Q29" i="67"/>
  <c r="Y29" i="67"/>
  <c r="AG29" i="67"/>
  <c r="AO29" i="67"/>
  <c r="AW29" i="67"/>
  <c r="L75" i="67"/>
  <c r="AR75" i="67"/>
  <c r="U98" i="67"/>
  <c r="AZ120" i="67"/>
  <c r="I2" i="67"/>
  <c r="J29" i="67"/>
  <c r="Z29" i="67"/>
  <c r="T53" i="67"/>
  <c r="AZ53" i="67"/>
  <c r="M75" i="67"/>
  <c r="AS75" i="67"/>
  <c r="AR98" i="67"/>
  <c r="AB120" i="67"/>
  <c r="AJ75" i="67"/>
  <c r="AB98" i="67"/>
  <c r="H35" i="67"/>
  <c r="E75" i="67"/>
  <c r="AK75" i="67"/>
  <c r="E98" i="67"/>
  <c r="AC98" i="67"/>
  <c r="AC29" i="67"/>
  <c r="BA29" i="67"/>
  <c r="AB75" i="67"/>
  <c r="H78" i="67"/>
  <c r="H102" i="67" s="1"/>
  <c r="AJ98" i="67"/>
  <c r="BA98" i="67"/>
  <c r="U29" i="67"/>
  <c r="Y125" i="67"/>
  <c r="AL29" i="67"/>
  <c r="AJ53" i="67"/>
  <c r="AC75" i="67"/>
  <c r="L98" i="67"/>
  <c r="AK98" i="67"/>
  <c r="L120" i="67"/>
  <c r="AX118" i="69" l="1"/>
  <c r="J51" i="70"/>
  <c r="L29" i="70"/>
  <c r="E127" i="67"/>
  <c r="T51" i="70"/>
  <c r="L51" i="70"/>
  <c r="Y131" i="70"/>
  <c r="Y134" i="70" s="1"/>
  <c r="I92" i="70"/>
  <c r="Q51" i="70"/>
  <c r="O72" i="70"/>
  <c r="I128" i="67"/>
  <c r="I130" i="67"/>
  <c r="H112" i="70"/>
  <c r="H119" i="70" s="1"/>
  <c r="H92" i="70"/>
  <c r="F92" i="70"/>
  <c r="G29" i="70"/>
  <c r="K29" i="70"/>
  <c r="G51" i="70"/>
  <c r="N92" i="70"/>
  <c r="Z115" i="69"/>
  <c r="Z114" i="69"/>
  <c r="P51" i="70"/>
  <c r="AQ117" i="69"/>
  <c r="Z118" i="69"/>
  <c r="H115" i="69"/>
  <c r="AQ116" i="69"/>
  <c r="Z117" i="69"/>
  <c r="Z116" i="69"/>
  <c r="Z113" i="69"/>
  <c r="AM126" i="67"/>
  <c r="AU125" i="67"/>
  <c r="Y130" i="67"/>
  <c r="Y129" i="67"/>
  <c r="Y126" i="67"/>
  <c r="Y131" i="67"/>
  <c r="Y127" i="67"/>
  <c r="E128" i="67"/>
  <c r="F72" i="70"/>
  <c r="AW131" i="70"/>
  <c r="AW134" i="70" s="1"/>
  <c r="F51" i="70"/>
  <c r="H51" i="70"/>
  <c r="O29" i="70"/>
  <c r="K112" i="70"/>
  <c r="K119" i="70" s="1"/>
  <c r="R117" i="69"/>
  <c r="AX115" i="69"/>
  <c r="AX114" i="69"/>
  <c r="AX117" i="69"/>
  <c r="AX119" i="69"/>
  <c r="AX116" i="69"/>
  <c r="Q129" i="67"/>
  <c r="BA129" i="67"/>
  <c r="K92" i="70"/>
  <c r="P92" i="70"/>
  <c r="I51" i="70"/>
  <c r="S51" i="70"/>
  <c r="O51" i="70"/>
  <c r="AS131" i="70"/>
  <c r="AS134" i="70" s="1"/>
  <c r="AA117" i="69"/>
  <c r="J114" i="69"/>
  <c r="J131" i="70"/>
  <c r="J134" i="70" s="1"/>
  <c r="P112" i="70"/>
  <c r="P113" i="70" s="1"/>
  <c r="N119" i="69"/>
  <c r="AG131" i="70"/>
  <c r="AG134" i="70" s="1"/>
  <c r="U129" i="67"/>
  <c r="U131" i="67"/>
  <c r="U128" i="67"/>
  <c r="U127" i="67"/>
  <c r="P125" i="67"/>
  <c r="T128" i="67"/>
  <c r="BC130" i="67"/>
  <c r="Q131" i="67"/>
  <c r="AF126" i="67"/>
  <c r="W129" i="67"/>
  <c r="U126" i="67"/>
  <c r="AG126" i="67"/>
  <c r="U147" i="67"/>
  <c r="U31" i="67" s="1"/>
  <c r="AF128" i="67"/>
  <c r="U130" i="67"/>
  <c r="AK128" i="67"/>
  <c r="AK125" i="67"/>
  <c r="AF127" i="67"/>
  <c r="H131" i="67"/>
  <c r="E72" i="70"/>
  <c r="J29" i="70"/>
  <c r="G131" i="67"/>
  <c r="M72" i="70"/>
  <c r="K51" i="70"/>
  <c r="S114" i="69"/>
  <c r="U134" i="69"/>
  <c r="U135" i="69" s="1"/>
  <c r="U30" i="69" s="1"/>
  <c r="R115" i="69"/>
  <c r="H118" i="69"/>
  <c r="R114" i="69"/>
  <c r="H117" i="69"/>
  <c r="R116" i="69"/>
  <c r="H114" i="69"/>
  <c r="R113" i="69"/>
  <c r="H119" i="69"/>
  <c r="R119" i="69"/>
  <c r="H116" i="69"/>
  <c r="AB116" i="69"/>
  <c r="AB113" i="69"/>
  <c r="S72" i="70"/>
  <c r="AI117" i="69"/>
  <c r="AG28" i="70"/>
  <c r="AN130" i="67"/>
  <c r="L127" i="67"/>
  <c r="AL128" i="67"/>
  <c r="AN127" i="67"/>
  <c r="AN125" i="67"/>
  <c r="AS126" i="67"/>
  <c r="AN129" i="67"/>
  <c r="AS130" i="67"/>
  <c r="AN126" i="67"/>
  <c r="AN131" i="67"/>
  <c r="L92" i="70"/>
  <c r="L99" i="68" s="1"/>
  <c r="R92" i="70"/>
  <c r="R99" i="68" s="1"/>
  <c r="L112" i="70"/>
  <c r="L118" i="70" s="1"/>
  <c r="I72" i="70"/>
  <c r="H72" i="70"/>
  <c r="AA118" i="69"/>
  <c r="AA115" i="69"/>
  <c r="AA114" i="69"/>
  <c r="AH113" i="69"/>
  <c r="AA119" i="69"/>
  <c r="BB114" i="69"/>
  <c r="AA116" i="69"/>
  <c r="AR133" i="69"/>
  <c r="AI115" i="69"/>
  <c r="J117" i="69"/>
  <c r="AI114" i="69"/>
  <c r="J119" i="69"/>
  <c r="AI119" i="69"/>
  <c r="J116" i="69"/>
  <c r="AI116" i="69"/>
  <c r="J113" i="69"/>
  <c r="AZ92" i="70"/>
  <c r="AZ99" i="68" s="1"/>
  <c r="AI113" i="69"/>
  <c r="J118" i="69"/>
  <c r="J112" i="70"/>
  <c r="J119" i="70" s="1"/>
  <c r="G112" i="70"/>
  <c r="G114" i="70" s="1"/>
  <c r="AP113" i="69"/>
  <c r="AP118" i="69"/>
  <c r="G72" i="70"/>
  <c r="O112" i="70"/>
  <c r="O116" i="70" s="1"/>
  <c r="AP116" i="69"/>
  <c r="T72" i="70"/>
  <c r="F112" i="70"/>
  <c r="F116" i="70" s="1"/>
  <c r="AP115" i="69"/>
  <c r="AH117" i="69"/>
  <c r="AP117" i="69"/>
  <c r="AH114" i="69"/>
  <c r="AP114" i="69"/>
  <c r="AH119" i="69"/>
  <c r="AH116" i="69"/>
  <c r="E51" i="70"/>
  <c r="N51" i="70"/>
  <c r="AH118" i="69"/>
  <c r="AC117" i="69"/>
  <c r="L116" i="69"/>
  <c r="BB115" i="69"/>
  <c r="AR115" i="69"/>
  <c r="P119" i="69"/>
  <c r="AR119" i="69"/>
  <c r="T120" i="68"/>
  <c r="AN98" i="68"/>
  <c r="AN99" i="68" s="1"/>
  <c r="AW126" i="67"/>
  <c r="AW131" i="67"/>
  <c r="AC98" i="68"/>
  <c r="AC99" i="68" s="1"/>
  <c r="AD128" i="67"/>
  <c r="AJ98" i="68"/>
  <c r="AO146" i="67"/>
  <c r="AO147" i="67" s="1"/>
  <c r="AO31" i="67" s="1"/>
  <c r="P127" i="67"/>
  <c r="AL125" i="67"/>
  <c r="P126" i="67"/>
  <c r="AL130" i="67"/>
  <c r="P129" i="67"/>
  <c r="P131" i="67"/>
  <c r="AL126" i="67"/>
  <c r="P128" i="67"/>
  <c r="AC131" i="67"/>
  <c r="AL127" i="67"/>
  <c r="AC130" i="67"/>
  <c r="AL129" i="67"/>
  <c r="AC129" i="67"/>
  <c r="AB125" i="67"/>
  <c r="AB127" i="67"/>
  <c r="AG120" i="68"/>
  <c r="E131" i="70"/>
  <c r="E134" i="70" s="1"/>
  <c r="U131" i="70"/>
  <c r="U134" i="70" s="1"/>
  <c r="X131" i="70"/>
  <c r="X134" i="70" s="1"/>
  <c r="E28" i="70"/>
  <c r="E29" i="70" s="1"/>
  <c r="R112" i="70"/>
  <c r="R116" i="70" s="1"/>
  <c r="K72" i="70"/>
  <c r="Q92" i="70"/>
  <c r="Z131" i="70"/>
  <c r="Z134" i="70" s="1"/>
  <c r="AC131" i="70"/>
  <c r="AC134" i="70" s="1"/>
  <c r="AJ92" i="70"/>
  <c r="G92" i="70"/>
  <c r="G99" i="68" s="1"/>
  <c r="AD98" i="68"/>
  <c r="AD99" i="68" s="1"/>
  <c r="AS98" i="68"/>
  <c r="AS99" i="68" s="1"/>
  <c r="M98" i="68"/>
  <c r="M99" i="68" s="1"/>
  <c r="BA98" i="68"/>
  <c r="BA99" i="68" s="1"/>
  <c r="AP92" i="70"/>
  <c r="AP99" i="68" s="1"/>
  <c r="J72" i="70"/>
  <c r="J92" i="70"/>
  <c r="J99" i="68" s="1"/>
  <c r="M112" i="70"/>
  <c r="M114" i="70" s="1"/>
  <c r="M51" i="70"/>
  <c r="S29" i="70"/>
  <c r="G128" i="67"/>
  <c r="W131" i="67"/>
  <c r="G125" i="67"/>
  <c r="W126" i="67"/>
  <c r="W128" i="67"/>
  <c r="G127" i="67"/>
  <c r="W125" i="67"/>
  <c r="G130" i="67"/>
  <c r="G129" i="67"/>
  <c r="W127" i="67"/>
  <c r="Q72" i="70"/>
  <c r="N120" i="68"/>
  <c r="AR120" i="68"/>
  <c r="AT120" i="68"/>
  <c r="T112" i="70"/>
  <c r="T114" i="70" s="1"/>
  <c r="Z99" i="68"/>
  <c r="O92" i="70"/>
  <c r="AM131" i="70"/>
  <c r="AM134" i="70" s="1"/>
  <c r="T92" i="70"/>
  <c r="T99" i="68" s="1"/>
  <c r="AQ98" i="68"/>
  <c r="AQ99" i="68" s="1"/>
  <c r="AB98" i="68"/>
  <c r="AB99" i="68" s="1"/>
  <c r="U98" i="68"/>
  <c r="U99" i="68" s="1"/>
  <c r="N98" i="68"/>
  <c r="AW98" i="68"/>
  <c r="AY98" i="68"/>
  <c r="AY99" i="68" s="1"/>
  <c r="AL120" i="68"/>
  <c r="Q112" i="70"/>
  <c r="Q118" i="70" s="1"/>
  <c r="E112" i="70"/>
  <c r="E114" i="70" s="1"/>
  <c r="W98" i="68"/>
  <c r="AU131" i="70"/>
  <c r="AU134" i="70" s="1"/>
  <c r="Q29" i="70"/>
  <c r="AM120" i="68"/>
  <c r="AA120" i="68"/>
  <c r="AX120" i="68"/>
  <c r="Z120" i="68"/>
  <c r="AZ120" i="68"/>
  <c r="Y120" i="68"/>
  <c r="AO120" i="68"/>
  <c r="G120" i="68"/>
  <c r="R120" i="68"/>
  <c r="S120" i="68"/>
  <c r="K120" i="68"/>
  <c r="F98" i="68"/>
  <c r="AV98" i="68"/>
  <c r="AV99" i="68" s="1"/>
  <c r="X134" i="69"/>
  <c r="X135" i="69" s="1"/>
  <c r="X30" i="69" s="1"/>
  <c r="AP131" i="70"/>
  <c r="AP134" i="70" s="1"/>
  <c r="AX131" i="70"/>
  <c r="AX134" i="70" s="1"/>
  <c r="BB118" i="69"/>
  <c r="BB117" i="69"/>
  <c r="AQ118" i="69"/>
  <c r="BB113" i="69"/>
  <c r="P115" i="69"/>
  <c r="BB119" i="69"/>
  <c r="AQ119" i="69"/>
  <c r="AM92" i="70"/>
  <c r="AM134" i="69"/>
  <c r="AM135" i="69" s="1"/>
  <c r="AM30" i="69" s="1"/>
  <c r="W131" i="70"/>
  <c r="W134" i="70" s="1"/>
  <c r="L131" i="70"/>
  <c r="L134" i="70" s="1"/>
  <c r="AF131" i="70"/>
  <c r="AF134" i="70" s="1"/>
  <c r="AU92" i="70"/>
  <c r="AU99" i="68" s="1"/>
  <c r="AF115" i="69"/>
  <c r="AW92" i="70"/>
  <c r="W92" i="70"/>
  <c r="AH134" i="69"/>
  <c r="AH135" i="69" s="1"/>
  <c r="AH30" i="69" s="1"/>
  <c r="AA131" i="70"/>
  <c r="AA134" i="70" s="1"/>
  <c r="S131" i="70"/>
  <c r="S134" i="70" s="1"/>
  <c r="AY131" i="70"/>
  <c r="AY134" i="70" s="1"/>
  <c r="I112" i="70"/>
  <c r="I114" i="70" s="1"/>
  <c r="AR131" i="70"/>
  <c r="AR134" i="70" s="1"/>
  <c r="AN131" i="70"/>
  <c r="AN134" i="70" s="1"/>
  <c r="AV131" i="70"/>
  <c r="AV134" i="70" s="1"/>
  <c r="AL131" i="70"/>
  <c r="AL134" i="70" s="1"/>
  <c r="N29" i="70"/>
  <c r="F29" i="70"/>
  <c r="P117" i="69"/>
  <c r="P114" i="69"/>
  <c r="P116" i="69"/>
  <c r="AD116" i="69"/>
  <c r="P113" i="69"/>
  <c r="AU146" i="67"/>
  <c r="AU147" i="67" s="1"/>
  <c r="AU31" i="67" s="1"/>
  <c r="I120" i="68"/>
  <c r="P98" i="68"/>
  <c r="O131" i="67"/>
  <c r="AJ126" i="67"/>
  <c r="X129" i="67"/>
  <c r="V128" i="67"/>
  <c r="S98" i="68"/>
  <c r="O130" i="67"/>
  <c r="AR98" i="68"/>
  <c r="Y98" i="68"/>
  <c r="AL146" i="67"/>
  <c r="AL147" i="67" s="1"/>
  <c r="AL31" i="67" s="1"/>
  <c r="AS146" i="67"/>
  <c r="AS147" i="67" s="1"/>
  <c r="AS31" i="67" s="1"/>
  <c r="BD146" i="67"/>
  <c r="BD147" i="67" s="1"/>
  <c r="Y92" i="70"/>
  <c r="AR92" i="70"/>
  <c r="P72" i="70"/>
  <c r="I29" i="70"/>
  <c r="AQ120" i="68"/>
  <c r="AM98" i="68"/>
  <c r="AL98" i="68"/>
  <c r="AL99" i="68" s="1"/>
  <c r="AI98" i="68"/>
  <c r="AI99" i="68" s="1"/>
  <c r="O98" i="68"/>
  <c r="AX134" i="69"/>
  <c r="AX135" i="69" s="1"/>
  <c r="AX30" i="69" s="1"/>
  <c r="S117" i="69"/>
  <c r="AK115" i="69"/>
  <c r="N114" i="69"/>
  <c r="S119" i="69"/>
  <c r="N116" i="69"/>
  <c r="S116" i="69"/>
  <c r="N118" i="69"/>
  <c r="N115" i="69"/>
  <c r="S113" i="69"/>
  <c r="N117" i="69"/>
  <c r="S118" i="69"/>
  <c r="AK118" i="69"/>
  <c r="AH131" i="70"/>
  <c r="AH134" i="70" s="1"/>
  <c r="W134" i="69"/>
  <c r="W135" i="69" s="1"/>
  <c r="W30" i="69" s="1"/>
  <c r="AZ115" i="69"/>
  <c r="AK119" i="69"/>
  <c r="BC92" i="70"/>
  <c r="AK116" i="69"/>
  <c r="AK113" i="69"/>
  <c r="H99" i="68"/>
  <c r="AK117" i="69"/>
  <c r="M131" i="70"/>
  <c r="M134" i="70" s="1"/>
  <c r="K131" i="70"/>
  <c r="K134" i="70" s="1"/>
  <c r="AL115" i="69"/>
  <c r="BA113" i="69"/>
  <c r="AJ118" i="69"/>
  <c r="L72" i="70"/>
  <c r="AD131" i="70"/>
  <c r="AD134" i="70" s="1"/>
  <c r="V131" i="70"/>
  <c r="V134" i="70" s="1"/>
  <c r="AI131" i="70"/>
  <c r="AI134" i="70" s="1"/>
  <c r="AL117" i="69"/>
  <c r="AC116" i="69"/>
  <c r="AN118" i="69"/>
  <c r="AB114" i="69"/>
  <c r="AC118" i="69"/>
  <c r="U116" i="69"/>
  <c r="AL116" i="69"/>
  <c r="BD117" i="69"/>
  <c r="BD113" i="69"/>
  <c r="AB119" i="69"/>
  <c r="AC115" i="69"/>
  <c r="AL118" i="69"/>
  <c r="AB118" i="69"/>
  <c r="AC119" i="69"/>
  <c r="AV115" i="69"/>
  <c r="AL114" i="69"/>
  <c r="V113" i="69"/>
  <c r="AC114" i="69"/>
  <c r="AB115" i="69"/>
  <c r="AL113" i="69"/>
  <c r="BB131" i="70"/>
  <c r="BB134" i="70" s="1"/>
  <c r="M28" i="70"/>
  <c r="M29" i="70" s="1"/>
  <c r="BB134" i="69"/>
  <c r="BB135" i="69" s="1"/>
  <c r="BB30" i="69" s="1"/>
  <c r="AT131" i="70"/>
  <c r="AT134" i="70" s="1"/>
  <c r="AZ134" i="69"/>
  <c r="AZ135" i="69" s="1"/>
  <c r="AZ30" i="69" s="1"/>
  <c r="BC131" i="70"/>
  <c r="BC134" i="70" s="1"/>
  <c r="J134" i="69"/>
  <c r="J135" i="69" s="1"/>
  <c r="J30" i="69" s="1"/>
  <c r="T114" i="69"/>
  <c r="AN119" i="69"/>
  <c r="N112" i="70"/>
  <c r="N115" i="70" s="1"/>
  <c r="AN116" i="69"/>
  <c r="K113" i="69"/>
  <c r="AN113" i="69"/>
  <c r="AN115" i="69"/>
  <c r="AY118" i="69"/>
  <c r="AN117" i="69"/>
  <c r="T113" i="69"/>
  <c r="BB145" i="67"/>
  <c r="N146" i="67"/>
  <c r="N147" i="67" s="1"/>
  <c r="N31" i="67" s="1"/>
  <c r="AY120" i="68"/>
  <c r="Q120" i="68"/>
  <c r="O120" i="68"/>
  <c r="T146" i="67"/>
  <c r="T147" i="67" s="1"/>
  <c r="T31" i="67" s="1"/>
  <c r="P146" i="67"/>
  <c r="P147" i="67" s="1"/>
  <c r="P31" i="67" s="1"/>
  <c r="O146" i="67"/>
  <c r="O147" i="67" s="1"/>
  <c r="O31" i="67" s="1"/>
  <c r="O125" i="67"/>
  <c r="AF130" i="67"/>
  <c r="O127" i="67"/>
  <c r="AC127" i="67"/>
  <c r="BC98" i="68"/>
  <c r="AF125" i="67"/>
  <c r="O129" i="67"/>
  <c r="AC126" i="67"/>
  <c r="AO128" i="67"/>
  <c r="AE98" i="68"/>
  <c r="AE99" i="68" s="1"/>
  <c r="AF129" i="67"/>
  <c r="O126" i="67"/>
  <c r="AC125" i="67"/>
  <c r="AO131" i="67"/>
  <c r="AG98" i="68"/>
  <c r="AG99" i="68" s="1"/>
  <c r="AS128" i="67"/>
  <c r="E130" i="67"/>
  <c r="AZ131" i="67"/>
  <c r="Q126" i="67"/>
  <c r="I127" i="67"/>
  <c r="AS127" i="67"/>
  <c r="E129" i="67"/>
  <c r="AZ129" i="67"/>
  <c r="Q125" i="67"/>
  <c r="I129" i="67"/>
  <c r="AZ128" i="67"/>
  <c r="AS129" i="67"/>
  <c r="AZ125" i="67"/>
  <c r="I126" i="67"/>
  <c r="E125" i="67"/>
  <c r="AZ130" i="67"/>
  <c r="Q127" i="67"/>
  <c r="I131" i="67"/>
  <c r="AS131" i="67"/>
  <c r="E126" i="67"/>
  <c r="AZ127" i="67"/>
  <c r="Q128" i="67"/>
  <c r="BD129" i="67"/>
  <c r="H146" i="67"/>
  <c r="H147" i="67" s="1"/>
  <c r="H31" i="67" s="1"/>
  <c r="Q146" i="67"/>
  <c r="Q147" i="67" s="1"/>
  <c r="L146" i="67"/>
  <c r="L147" i="67" s="1"/>
  <c r="AE131" i="70"/>
  <c r="AE134" i="70" s="1"/>
  <c r="AU134" i="69"/>
  <c r="AU135" i="69" s="1"/>
  <c r="AU30" i="69" s="1"/>
  <c r="BC108" i="70"/>
  <c r="BC109" i="70" s="1"/>
  <c r="AL134" i="69"/>
  <c r="AL135" i="69" s="1"/>
  <c r="AL30" i="69" s="1"/>
  <c r="AG134" i="69"/>
  <c r="AG135" i="69" s="1"/>
  <c r="AG30" i="69" s="1"/>
  <c r="AO134" i="69"/>
  <c r="AO135" i="69" s="1"/>
  <c r="AO30" i="69" s="1"/>
  <c r="H134" i="69"/>
  <c r="H135" i="69" s="1"/>
  <c r="H30" i="69" s="1"/>
  <c r="AZ131" i="70"/>
  <c r="AZ134" i="70" s="1"/>
  <c r="T131" i="70"/>
  <c r="T134" i="70" s="1"/>
  <c r="V99" i="68"/>
  <c r="O131" i="70"/>
  <c r="O134" i="70" s="1"/>
  <c r="T119" i="69"/>
  <c r="BD118" i="69"/>
  <c r="AD114" i="69"/>
  <c r="BD115" i="69"/>
  <c r="AD113" i="69"/>
  <c r="T116" i="69"/>
  <c r="X118" i="69"/>
  <c r="AD119" i="69"/>
  <c r="T118" i="69"/>
  <c r="BD114" i="69"/>
  <c r="AD118" i="69"/>
  <c r="T115" i="69"/>
  <c r="BD119" i="69"/>
  <c r="AD115" i="69"/>
  <c r="H131" i="70"/>
  <c r="H134" i="70" s="1"/>
  <c r="H135" i="70" s="1"/>
  <c r="H30" i="70" s="1"/>
  <c r="BD131" i="70"/>
  <c r="BD134" i="70" s="1"/>
  <c r="AJ115" i="69"/>
  <c r="AY115" i="69"/>
  <c r="E119" i="69"/>
  <c r="AJ117" i="69"/>
  <c r="AY117" i="69"/>
  <c r="E116" i="69"/>
  <c r="AJ114" i="69"/>
  <c r="AY114" i="69"/>
  <c r="AF114" i="69"/>
  <c r="E113" i="69"/>
  <c r="AJ119" i="69"/>
  <c r="AY119" i="69"/>
  <c r="AF119" i="69"/>
  <c r="E118" i="69"/>
  <c r="F118" i="69"/>
  <c r="AY116" i="69"/>
  <c r="AF116" i="69"/>
  <c r="E115" i="69"/>
  <c r="S112" i="70"/>
  <c r="S116" i="70" s="1"/>
  <c r="AF117" i="69"/>
  <c r="AF113" i="69"/>
  <c r="E117" i="69"/>
  <c r="AJ113" i="69"/>
  <c r="P134" i="69"/>
  <c r="P135" i="69" s="1"/>
  <c r="P30" i="69" s="1"/>
  <c r="AD134" i="69"/>
  <c r="AD135" i="69" s="1"/>
  <c r="AD30" i="69" s="1"/>
  <c r="P131" i="70"/>
  <c r="P134" i="70" s="1"/>
  <c r="AP134" i="69"/>
  <c r="AP135" i="69" s="1"/>
  <c r="AP30" i="69" s="1"/>
  <c r="G131" i="70"/>
  <c r="G134" i="70" s="1"/>
  <c r="AE134" i="69"/>
  <c r="AE135" i="69" s="1"/>
  <c r="AE30" i="69" s="1"/>
  <c r="AZ114" i="69"/>
  <c r="AV117" i="69"/>
  <c r="U118" i="69"/>
  <c r="V116" i="69"/>
  <c r="AZ119" i="69"/>
  <c r="AV114" i="69"/>
  <c r="U115" i="69"/>
  <c r="V118" i="69"/>
  <c r="V114" i="69"/>
  <c r="AV119" i="69"/>
  <c r="U117" i="69"/>
  <c r="V115" i="69"/>
  <c r="AV135" i="69"/>
  <c r="AV30" i="69" s="1"/>
  <c r="AZ116" i="69"/>
  <c r="AV116" i="69"/>
  <c r="U114" i="69"/>
  <c r="V117" i="69"/>
  <c r="AZ113" i="69"/>
  <c r="AV113" i="69"/>
  <c r="AZ118" i="69"/>
  <c r="U119" i="69"/>
  <c r="AZ146" i="67"/>
  <c r="AZ147" i="67" s="1"/>
  <c r="AZ31" i="67" s="1"/>
  <c r="AG131" i="67"/>
  <c r="AG125" i="67"/>
  <c r="AE129" i="67"/>
  <c r="AR131" i="67"/>
  <c r="AU120" i="68"/>
  <c r="AI120" i="68"/>
  <c r="AV125" i="67"/>
  <c r="AE131" i="67"/>
  <c r="AR130" i="67"/>
  <c r="AG127" i="67"/>
  <c r="AV131" i="67"/>
  <c r="AE125" i="67"/>
  <c r="M125" i="67"/>
  <c r="AG128" i="67"/>
  <c r="M130" i="67"/>
  <c r="AG130" i="67"/>
  <c r="M129" i="67"/>
  <c r="R146" i="67"/>
  <c r="R147" i="67" s="1"/>
  <c r="AJ146" i="67"/>
  <c r="AJ147" i="67" s="1"/>
  <c r="AJ31" i="67" s="1"/>
  <c r="AN146" i="67"/>
  <c r="AN147" i="67" s="1"/>
  <c r="K146" i="67"/>
  <c r="K147" i="67" s="1"/>
  <c r="BA126" i="67"/>
  <c r="AK129" i="67"/>
  <c r="AW125" i="67"/>
  <c r="AD130" i="67"/>
  <c r="BA131" i="67"/>
  <c r="L129" i="67"/>
  <c r="AD125" i="67"/>
  <c r="BA125" i="67"/>
  <c r="L131" i="67"/>
  <c r="AW130" i="67"/>
  <c r="AD126" i="67"/>
  <c r="L126" i="67"/>
  <c r="AT127" i="67"/>
  <c r="N127" i="67"/>
  <c r="BA128" i="67"/>
  <c r="L128" i="67"/>
  <c r="AW128" i="67"/>
  <c r="AD127" i="67"/>
  <c r="AT128" i="67"/>
  <c r="N126" i="67"/>
  <c r="BA130" i="67"/>
  <c r="L125" i="67"/>
  <c r="AW127" i="67"/>
  <c r="AD129" i="67"/>
  <c r="K98" i="68"/>
  <c r="AT130" i="67"/>
  <c r="N125" i="67"/>
  <c r="I98" i="68"/>
  <c r="I99" i="68" s="1"/>
  <c r="AV127" i="67"/>
  <c r="AE128" i="67"/>
  <c r="AT125" i="67"/>
  <c r="N129" i="67"/>
  <c r="AK126" i="67"/>
  <c r="M127" i="67"/>
  <c r="AR125" i="67"/>
  <c r="AB130" i="67"/>
  <c r="AO125" i="67"/>
  <c r="AV129" i="67"/>
  <c r="AE127" i="67"/>
  <c r="N131" i="67"/>
  <c r="AK130" i="67"/>
  <c r="AR127" i="67"/>
  <c r="AB126" i="67"/>
  <c r="AO130" i="67"/>
  <c r="AV126" i="67"/>
  <c r="AT126" i="67"/>
  <c r="N128" i="67"/>
  <c r="AK127" i="67"/>
  <c r="M126" i="67"/>
  <c r="AR126" i="67"/>
  <c r="AO127" i="67"/>
  <c r="AV128" i="67"/>
  <c r="AE130" i="67"/>
  <c r="AT129" i="67"/>
  <c r="M131" i="67"/>
  <c r="AR128" i="67"/>
  <c r="AB129" i="67"/>
  <c r="AO129" i="67"/>
  <c r="AB128" i="67"/>
  <c r="AJ134" i="69"/>
  <c r="AJ135" i="69" s="1"/>
  <c r="AJ30" i="69" s="1"/>
  <c r="AI134" i="69"/>
  <c r="AI135" i="69" s="1"/>
  <c r="AI30" i="69" s="1"/>
  <c r="AF134" i="69"/>
  <c r="AF135" i="69" s="1"/>
  <c r="AF30" i="69" s="1"/>
  <c r="AT134" i="69"/>
  <c r="AT135" i="69" s="1"/>
  <c r="AT30" i="69" s="1"/>
  <c r="R131" i="70"/>
  <c r="R134" i="70" s="1"/>
  <c r="AA134" i="69"/>
  <c r="AA135" i="69" s="1"/>
  <c r="AA30" i="69" s="1"/>
  <c r="L113" i="69"/>
  <c r="K117" i="69"/>
  <c r="AT113" i="69"/>
  <c r="S92" i="70"/>
  <c r="L118" i="69"/>
  <c r="K114" i="69"/>
  <c r="AT115" i="69"/>
  <c r="L115" i="69"/>
  <c r="K119" i="69"/>
  <c r="L117" i="69"/>
  <c r="K116" i="69"/>
  <c r="AX99" i="68"/>
  <c r="L114" i="69"/>
  <c r="AH99" i="68"/>
  <c r="AS117" i="69"/>
  <c r="X119" i="69"/>
  <c r="AB131" i="70"/>
  <c r="AB134" i="70" s="1"/>
  <c r="F134" i="69"/>
  <c r="F135" i="69" s="1"/>
  <c r="F30" i="69" s="1"/>
  <c r="Q134" i="69"/>
  <c r="Q135" i="69" s="1"/>
  <c r="Q30" i="69" s="1"/>
  <c r="I134" i="69"/>
  <c r="I135" i="69" s="1"/>
  <c r="I30" i="69" s="1"/>
  <c r="AV133" i="69"/>
  <c r="T134" i="69"/>
  <c r="T135" i="69" s="1"/>
  <c r="T30" i="69" s="1"/>
  <c r="N134" i="69"/>
  <c r="N135" i="69" s="1"/>
  <c r="N30" i="69" s="1"/>
  <c r="N131" i="70"/>
  <c r="N134" i="70" s="1"/>
  <c r="BD134" i="69"/>
  <c r="BD135" i="69" s="1"/>
  <c r="BD30" i="69" s="1"/>
  <c r="R134" i="69"/>
  <c r="R135" i="69" s="1"/>
  <c r="R30" i="69" s="1"/>
  <c r="G134" i="69"/>
  <c r="G135" i="69" s="1"/>
  <c r="G30" i="69" s="1"/>
  <c r="AB134" i="69"/>
  <c r="AB135" i="69" s="1"/>
  <c r="AB30" i="69" s="1"/>
  <c r="Z134" i="69"/>
  <c r="Z135" i="69" s="1"/>
  <c r="Z30" i="69" s="1"/>
  <c r="V134" i="69"/>
  <c r="V135" i="69" s="1"/>
  <c r="V30" i="69" s="1"/>
  <c r="O134" i="69"/>
  <c r="O135" i="69" s="1"/>
  <c r="O30" i="69" s="1"/>
  <c r="Y134" i="69"/>
  <c r="Y135" i="69" s="1"/>
  <c r="Y30" i="69" s="1"/>
  <c r="AW120" i="68"/>
  <c r="J146" i="67"/>
  <c r="J147" i="67" s="1"/>
  <c r="J31" i="67" s="1"/>
  <c r="U145" i="67"/>
  <c r="AF146" i="67"/>
  <c r="AF147" i="67" s="1"/>
  <c r="AF31" i="67" s="1"/>
  <c r="AB146" i="67"/>
  <c r="AB147" i="67" s="1"/>
  <c r="AW146" i="67"/>
  <c r="AW147" i="67" s="1"/>
  <c r="AW31" i="67" s="1"/>
  <c r="Z146" i="67"/>
  <c r="Z147" i="67" s="1"/>
  <c r="AM146" i="67"/>
  <c r="AM147" i="67" s="1"/>
  <c r="AR146" i="67"/>
  <c r="AR147" i="67" s="1"/>
  <c r="BC126" i="67"/>
  <c r="AM131" i="67"/>
  <c r="BB128" i="67"/>
  <c r="T131" i="67"/>
  <c r="H128" i="67"/>
  <c r="AU127" i="67"/>
  <c r="X126" i="67"/>
  <c r="BC131" i="67"/>
  <c r="AM128" i="67"/>
  <c r="BB125" i="67"/>
  <c r="T125" i="67"/>
  <c r="H130" i="67"/>
  <c r="X131" i="67"/>
  <c r="BC128" i="67"/>
  <c r="AM125" i="67"/>
  <c r="BB130" i="67"/>
  <c r="T130" i="67"/>
  <c r="AU129" i="67"/>
  <c r="X128" i="67"/>
  <c r="BB147" i="67"/>
  <c r="BC125" i="67"/>
  <c r="AM127" i="67"/>
  <c r="T127" i="67"/>
  <c r="H126" i="67"/>
  <c r="AU130" i="67"/>
  <c r="X130" i="67"/>
  <c r="X147" i="67"/>
  <c r="X31" i="67" s="1"/>
  <c r="BC127" i="67"/>
  <c r="BB127" i="67"/>
  <c r="T126" i="67"/>
  <c r="H125" i="67"/>
  <c r="AU126" i="67"/>
  <c r="AM129" i="67"/>
  <c r="BB129" i="67"/>
  <c r="H127" i="67"/>
  <c r="AU131" i="67"/>
  <c r="X125" i="67"/>
  <c r="BB131" i="67"/>
  <c r="AH146" i="67"/>
  <c r="AH147" i="67" s="1"/>
  <c r="AD146" i="67"/>
  <c r="AD147" i="67" s="1"/>
  <c r="AD31" i="67" s="1"/>
  <c r="F146" i="67"/>
  <c r="F147" i="67" s="1"/>
  <c r="AK146" i="67"/>
  <c r="AK147" i="67" s="1"/>
  <c r="AK31" i="67" s="1"/>
  <c r="BC146" i="67"/>
  <c r="BC147" i="67" s="1"/>
  <c r="I146" i="67"/>
  <c r="I147" i="67" s="1"/>
  <c r="I31" i="67" s="1"/>
  <c r="AV146" i="67"/>
  <c r="AV147" i="67" s="1"/>
  <c r="AV31" i="67" s="1"/>
  <c r="AQ146" i="67"/>
  <c r="AQ147" i="67" s="1"/>
  <c r="AQ31" i="67" s="1"/>
  <c r="AC146" i="67"/>
  <c r="AC147" i="67" s="1"/>
  <c r="V125" i="67"/>
  <c r="F127" i="67"/>
  <c r="BD126" i="67"/>
  <c r="V130" i="67"/>
  <c r="F129" i="67"/>
  <c r="AJ128" i="67"/>
  <c r="BD131" i="67"/>
  <c r="F126" i="67"/>
  <c r="AJ129" i="67"/>
  <c r="BD128" i="67"/>
  <c r="V126" i="67"/>
  <c r="F131" i="67"/>
  <c r="AJ131" i="67"/>
  <c r="BD130" i="67"/>
  <c r="V127" i="67"/>
  <c r="F128" i="67"/>
  <c r="AJ125" i="67"/>
  <c r="V129" i="67"/>
  <c r="F125" i="67"/>
  <c r="AJ130" i="67"/>
  <c r="BD127" i="67"/>
  <c r="AT146" i="67"/>
  <c r="AT147" i="67" s="1"/>
  <c r="BA146" i="67"/>
  <c r="BA147" i="67" s="1"/>
  <c r="G146" i="67"/>
  <c r="G147" i="67" s="1"/>
  <c r="G31" i="67" s="1"/>
  <c r="X145" i="67"/>
  <c r="AG146" i="67"/>
  <c r="AG147" i="67" s="1"/>
  <c r="AG31" i="67" s="1"/>
  <c r="Y146" i="67"/>
  <c r="Y147" i="67" s="1"/>
  <c r="Y31" i="67" s="1"/>
  <c r="M146" i="67"/>
  <c r="M147" i="67" s="1"/>
  <c r="M31" i="67" s="1"/>
  <c r="AX146" i="67"/>
  <c r="AX147" i="67" s="1"/>
  <c r="AE146" i="67"/>
  <c r="AE147" i="67" s="1"/>
  <c r="AE31" i="67" s="1"/>
  <c r="V146" i="67"/>
  <c r="V147" i="67" s="1"/>
  <c r="AP146" i="67"/>
  <c r="AP147" i="67" s="1"/>
  <c r="W146" i="67"/>
  <c r="W147" i="67" s="1"/>
  <c r="W31" i="67" s="1"/>
  <c r="E146" i="67"/>
  <c r="E147" i="67" s="1"/>
  <c r="E31" i="67" s="1"/>
  <c r="AN134" i="69"/>
  <c r="AN135" i="69" s="1"/>
  <c r="AN30" i="69" s="1"/>
  <c r="L134" i="69"/>
  <c r="L135" i="69" s="1"/>
  <c r="L30" i="69" s="1"/>
  <c r="BC134" i="69"/>
  <c r="BC135" i="69" s="1"/>
  <c r="BC30" i="69" s="1"/>
  <c r="BA118" i="69"/>
  <c r="X115" i="69"/>
  <c r="F114" i="69"/>
  <c r="AT114" i="69"/>
  <c r="AR116" i="69"/>
  <c r="M114" i="69"/>
  <c r="BA115" i="69"/>
  <c r="F113" i="69"/>
  <c r="AT119" i="69"/>
  <c r="AR113" i="69"/>
  <c r="BA117" i="69"/>
  <c r="X117" i="69"/>
  <c r="F119" i="69"/>
  <c r="AT116" i="69"/>
  <c r="AR118" i="69"/>
  <c r="BA114" i="69"/>
  <c r="X114" i="69"/>
  <c r="F116" i="69"/>
  <c r="AT118" i="69"/>
  <c r="AR117" i="69"/>
  <c r="BA119" i="69"/>
  <c r="X116" i="69"/>
  <c r="F115" i="69"/>
  <c r="AR135" i="69"/>
  <c r="AR30" i="69" s="1"/>
  <c r="H117" i="70"/>
  <c r="AJ131" i="70"/>
  <c r="AJ134" i="70" s="1"/>
  <c r="AW134" i="69"/>
  <c r="AW135" i="69" s="1"/>
  <c r="AW30" i="69" s="1"/>
  <c r="K134" i="69"/>
  <c r="K135" i="69" s="1"/>
  <c r="K30" i="69" s="1"/>
  <c r="M119" i="69"/>
  <c r="M116" i="69"/>
  <c r="M113" i="69"/>
  <c r="M118" i="69"/>
  <c r="M115" i="69"/>
  <c r="F131" i="70"/>
  <c r="F134" i="70" s="1"/>
  <c r="AS118" i="69"/>
  <c r="AS115" i="69"/>
  <c r="AS114" i="69"/>
  <c r="AS116" i="69"/>
  <c r="AS113" i="69"/>
  <c r="BA134" i="69"/>
  <c r="BA135" i="69" s="1"/>
  <c r="BA30" i="69" s="1"/>
  <c r="P29" i="70"/>
  <c r="AA146" i="67"/>
  <c r="AA147" i="67" s="1"/>
  <c r="Q98" i="68"/>
  <c r="AI146" i="67"/>
  <c r="AI147" i="67" s="1"/>
  <c r="I131" i="70"/>
  <c r="I134" i="70" s="1"/>
  <c r="BA131" i="70"/>
  <c r="BB99" i="68"/>
  <c r="AO99" i="68"/>
  <c r="AF99" i="68"/>
  <c r="Q131" i="70"/>
  <c r="Q134" i="70" s="1"/>
  <c r="AT99" i="68"/>
  <c r="AA99" i="68"/>
  <c r="AK99" i="68"/>
  <c r="X99" i="68"/>
  <c r="BD99" i="68"/>
  <c r="AO131" i="70"/>
  <c r="AQ131" i="70"/>
  <c r="AK131" i="70"/>
  <c r="Y28" i="70"/>
  <c r="E98" i="68"/>
  <c r="E99" i="68" s="1"/>
  <c r="G111" i="70"/>
  <c r="G74" i="70"/>
  <c r="G94" i="70" s="1"/>
  <c r="H2" i="70"/>
  <c r="G53" i="70"/>
  <c r="G33" i="70"/>
  <c r="H123" i="68"/>
  <c r="H78" i="68"/>
  <c r="H102" i="68" s="1"/>
  <c r="H56" i="68"/>
  <c r="H35" i="68"/>
  <c r="I2" i="68"/>
  <c r="AE115" i="69"/>
  <c r="AE118" i="69"/>
  <c r="AE113" i="69"/>
  <c r="AE116" i="69"/>
  <c r="AE119" i="69"/>
  <c r="AE114" i="69"/>
  <c r="AE117" i="69"/>
  <c r="AY134" i="69"/>
  <c r="AY135" i="69" s="1"/>
  <c r="AY30" i="69" s="1"/>
  <c r="W115" i="69"/>
  <c r="W118" i="69"/>
  <c r="W113" i="69"/>
  <c r="W116" i="69"/>
  <c r="W119" i="69"/>
  <c r="W114" i="69"/>
  <c r="W117" i="69"/>
  <c r="AQ134" i="69"/>
  <c r="AQ135" i="69" s="1"/>
  <c r="AQ30" i="69" s="1"/>
  <c r="AK134" i="69"/>
  <c r="AK135" i="69" s="1"/>
  <c r="AK30" i="69" s="1"/>
  <c r="AW118" i="69"/>
  <c r="AW113" i="69"/>
  <c r="AW116" i="69"/>
  <c r="AW119" i="69"/>
  <c r="AW114" i="69"/>
  <c r="AW117" i="69"/>
  <c r="AW115" i="69"/>
  <c r="O115" i="69"/>
  <c r="O118" i="69"/>
  <c r="O113" i="69"/>
  <c r="O116" i="69"/>
  <c r="O119" i="69"/>
  <c r="O114" i="69"/>
  <c r="O117" i="69"/>
  <c r="AC134" i="69"/>
  <c r="AC135" i="69" s="1"/>
  <c r="AC30" i="69" s="1"/>
  <c r="AO118" i="69"/>
  <c r="AO113" i="69"/>
  <c r="AO116" i="69"/>
  <c r="AO119" i="69"/>
  <c r="AO114" i="69"/>
  <c r="AO117" i="69"/>
  <c r="AO115" i="69"/>
  <c r="G115" i="69"/>
  <c r="G118" i="69"/>
  <c r="G113" i="69"/>
  <c r="G116" i="69"/>
  <c r="G119" i="69"/>
  <c r="G114" i="69"/>
  <c r="G117" i="69"/>
  <c r="Q118" i="69"/>
  <c r="Q113" i="69"/>
  <c r="Q116" i="69"/>
  <c r="Q119" i="69"/>
  <c r="Q114" i="69"/>
  <c r="Q117" i="69"/>
  <c r="Q115" i="69"/>
  <c r="Y118" i="69"/>
  <c r="Y113" i="69"/>
  <c r="Y116" i="69"/>
  <c r="Y119" i="69"/>
  <c r="Y114" i="69"/>
  <c r="Y117" i="69"/>
  <c r="Y115" i="69"/>
  <c r="S134" i="69"/>
  <c r="S135" i="69" s="1"/>
  <c r="S30" i="69" s="1"/>
  <c r="H111" i="69"/>
  <c r="H74" i="69"/>
  <c r="H94" i="69" s="1"/>
  <c r="H53" i="69"/>
  <c r="I2" i="69"/>
  <c r="H33" i="69"/>
  <c r="M134" i="69"/>
  <c r="M135" i="69" s="1"/>
  <c r="M30" i="69" s="1"/>
  <c r="I118" i="69"/>
  <c r="I116" i="69"/>
  <c r="I119" i="69"/>
  <c r="I117" i="69"/>
  <c r="I113" i="69"/>
  <c r="I115" i="69"/>
  <c r="I114" i="69"/>
  <c r="BC115" i="69"/>
  <c r="BC118" i="69"/>
  <c r="BC113" i="69"/>
  <c r="BC116" i="69"/>
  <c r="BC119" i="69"/>
  <c r="BC114" i="69"/>
  <c r="BC117" i="69"/>
  <c r="AG118" i="69"/>
  <c r="AG113" i="69"/>
  <c r="AG116" i="69"/>
  <c r="AG119" i="69"/>
  <c r="AG114" i="69"/>
  <c r="AG117" i="69"/>
  <c r="AG115" i="69"/>
  <c r="E134" i="69"/>
  <c r="E135" i="69" s="1"/>
  <c r="E30" i="69" s="1"/>
  <c r="AS133" i="69"/>
  <c r="AS134" i="69"/>
  <c r="AS135" i="69" s="1"/>
  <c r="AS30" i="69" s="1"/>
  <c r="AU115" i="69"/>
  <c r="AU118" i="69"/>
  <c r="AU113" i="69"/>
  <c r="AU116" i="69"/>
  <c r="AU119" i="69"/>
  <c r="AU114" i="69"/>
  <c r="AU117" i="69"/>
  <c r="AM115" i="69"/>
  <c r="AM118" i="69"/>
  <c r="AM113" i="69"/>
  <c r="AM116" i="69"/>
  <c r="AM119" i="69"/>
  <c r="AM114" i="69"/>
  <c r="AM117" i="69"/>
  <c r="AY131" i="67"/>
  <c r="AY129" i="67"/>
  <c r="AY127" i="67"/>
  <c r="AY130" i="67"/>
  <c r="AY126" i="67"/>
  <c r="AY125" i="67"/>
  <c r="AY128" i="67"/>
  <c r="AQ131" i="67"/>
  <c r="AQ129" i="67"/>
  <c r="AQ127" i="67"/>
  <c r="AQ130" i="67"/>
  <c r="AQ126" i="67"/>
  <c r="AQ125" i="67"/>
  <c r="AQ128" i="67"/>
  <c r="AX128" i="67"/>
  <c r="AX126" i="67"/>
  <c r="AX129" i="67"/>
  <c r="AX127" i="67"/>
  <c r="AX131" i="67"/>
  <c r="AX130" i="67"/>
  <c r="AX125" i="67"/>
  <c r="S146" i="67"/>
  <c r="S147" i="67" s="1"/>
  <c r="AI131" i="67"/>
  <c r="AI129" i="67"/>
  <c r="AI127" i="67"/>
  <c r="AI130" i="67"/>
  <c r="AI128" i="67"/>
  <c r="AI126" i="67"/>
  <c r="AI125" i="67"/>
  <c r="AP128" i="67"/>
  <c r="AP126" i="67"/>
  <c r="AP129" i="67"/>
  <c r="AP127" i="67"/>
  <c r="AP131" i="67"/>
  <c r="AP130" i="67"/>
  <c r="AP125" i="67"/>
  <c r="AA131" i="67"/>
  <c r="AA129" i="67"/>
  <c r="AA127" i="67"/>
  <c r="AA130" i="67"/>
  <c r="AA125" i="67"/>
  <c r="AA128" i="67"/>
  <c r="AA126" i="67"/>
  <c r="AH128" i="67"/>
  <c r="AH126" i="67"/>
  <c r="AH129" i="67"/>
  <c r="AH127" i="67"/>
  <c r="AH131" i="67"/>
  <c r="AH130" i="67"/>
  <c r="AH125" i="67"/>
  <c r="S131" i="67"/>
  <c r="S129" i="67"/>
  <c r="S127" i="67"/>
  <c r="S130" i="67"/>
  <c r="S128" i="67"/>
  <c r="S125" i="67"/>
  <c r="S126" i="67"/>
  <c r="K131" i="67"/>
  <c r="K129" i="67"/>
  <c r="K127" i="67"/>
  <c r="K130" i="67"/>
  <c r="K125" i="67"/>
  <c r="K128" i="67"/>
  <c r="K126" i="67"/>
  <c r="R128" i="67"/>
  <c r="R126" i="67"/>
  <c r="R129" i="67"/>
  <c r="R127" i="67"/>
  <c r="R130" i="67"/>
  <c r="R125" i="67"/>
  <c r="R131" i="67"/>
  <c r="Z128" i="67"/>
  <c r="Z126" i="67"/>
  <c r="Z129" i="67"/>
  <c r="Z127" i="67"/>
  <c r="Z130" i="67"/>
  <c r="Z131" i="67"/>
  <c r="Z125" i="67"/>
  <c r="AY146" i="67"/>
  <c r="AY147" i="67" s="1"/>
  <c r="I123" i="67"/>
  <c r="I78" i="67"/>
  <c r="I102" i="67" s="1"/>
  <c r="I35" i="67"/>
  <c r="I56" i="67"/>
  <c r="J2" i="67"/>
  <c r="J128" i="67"/>
  <c r="J126" i="67"/>
  <c r="J129" i="67"/>
  <c r="J127" i="67"/>
  <c r="J130" i="67"/>
  <c r="J131" i="67"/>
  <c r="J125" i="67"/>
  <c r="H114" i="70" l="1"/>
  <c r="H118" i="70"/>
  <c r="H115" i="70"/>
  <c r="F99" i="68"/>
  <c r="H113" i="70"/>
  <c r="H116" i="70"/>
  <c r="K99" i="68"/>
  <c r="N99" i="68"/>
  <c r="K113" i="70"/>
  <c r="K114" i="70"/>
  <c r="K116" i="70"/>
  <c r="K117" i="70"/>
  <c r="K118" i="70"/>
  <c r="K115" i="70"/>
  <c r="K135" i="70"/>
  <c r="K30" i="70" s="1"/>
  <c r="M119" i="70"/>
  <c r="P99" i="68"/>
  <c r="P116" i="70"/>
  <c r="Q99" i="68"/>
  <c r="R115" i="70"/>
  <c r="P118" i="70"/>
  <c r="P114" i="70"/>
  <c r="P115" i="70"/>
  <c r="P119" i="70"/>
  <c r="P135" i="70"/>
  <c r="P30" i="70" s="1"/>
  <c r="P117" i="70"/>
  <c r="I117" i="70"/>
  <c r="G118" i="70"/>
  <c r="I118" i="70"/>
  <c r="G119" i="70"/>
  <c r="G117" i="70"/>
  <c r="G115" i="70"/>
  <c r="G113" i="70"/>
  <c r="J113" i="70"/>
  <c r="G116" i="70"/>
  <c r="I115" i="70"/>
  <c r="I116" i="70"/>
  <c r="M117" i="70"/>
  <c r="L116" i="70"/>
  <c r="L114" i="70"/>
  <c r="L119" i="70"/>
  <c r="J135" i="70"/>
  <c r="J30" i="70" s="1"/>
  <c r="L113" i="70"/>
  <c r="L117" i="70"/>
  <c r="L115" i="70"/>
  <c r="L135" i="70"/>
  <c r="L30" i="70" s="1"/>
  <c r="W99" i="68"/>
  <c r="O99" i="68"/>
  <c r="AM99" i="68"/>
  <c r="J116" i="70"/>
  <c r="F119" i="70"/>
  <c r="J118" i="70"/>
  <c r="J115" i="70"/>
  <c r="J117" i="70"/>
  <c r="F114" i="70"/>
  <c r="J114" i="70"/>
  <c r="F113" i="70"/>
  <c r="F115" i="70"/>
  <c r="M115" i="70"/>
  <c r="M113" i="70"/>
  <c r="M135" i="70"/>
  <c r="M30" i="70" s="1"/>
  <c r="R117" i="70"/>
  <c r="O115" i="70"/>
  <c r="O135" i="70"/>
  <c r="O30" i="70" s="1"/>
  <c r="R114" i="70"/>
  <c r="O117" i="70"/>
  <c r="R119" i="70"/>
  <c r="O118" i="70"/>
  <c r="R113" i="70"/>
  <c r="O119" i="70"/>
  <c r="R118" i="70"/>
  <c r="AJ99" i="68"/>
  <c r="I113" i="70"/>
  <c r="I119" i="70"/>
  <c r="O114" i="70"/>
  <c r="O113" i="70"/>
  <c r="F135" i="70"/>
  <c r="F30" i="70" s="1"/>
  <c r="R135" i="70"/>
  <c r="R30" i="70" s="1"/>
  <c r="G135" i="70"/>
  <c r="G30" i="70" s="1"/>
  <c r="F117" i="70"/>
  <c r="F118" i="70"/>
  <c r="M116" i="70"/>
  <c r="M118" i="70"/>
  <c r="BC99" i="68"/>
  <c r="T135" i="70"/>
  <c r="T30" i="70" s="1"/>
  <c r="T118" i="70"/>
  <c r="T115" i="70"/>
  <c r="I135" i="70"/>
  <c r="I30" i="70" s="1"/>
  <c r="S117" i="70"/>
  <c r="Q117" i="70"/>
  <c r="Q119" i="70"/>
  <c r="Q115" i="70"/>
  <c r="T119" i="70"/>
  <c r="T117" i="70"/>
  <c r="T116" i="70"/>
  <c r="Q114" i="70"/>
  <c r="Q116" i="70"/>
  <c r="Q113" i="70"/>
  <c r="Q135" i="70"/>
  <c r="Q30" i="70" s="1"/>
  <c r="T113" i="70"/>
  <c r="E115" i="70"/>
  <c r="E118" i="70"/>
  <c r="E116" i="70"/>
  <c r="E135" i="70"/>
  <c r="E30" i="70" s="1"/>
  <c r="E117" i="70"/>
  <c r="E113" i="70"/>
  <c r="E119" i="70"/>
  <c r="AW99" i="68"/>
  <c r="Y99" i="68"/>
  <c r="S115" i="70"/>
  <c r="AR99" i="68"/>
  <c r="S99" i="68"/>
  <c r="N114" i="70"/>
  <c r="N116" i="70"/>
  <c r="N118" i="70"/>
  <c r="N119" i="70"/>
  <c r="N135" i="70"/>
  <c r="N30" i="70" s="1"/>
  <c r="N117" i="70"/>
  <c r="N113" i="70"/>
  <c r="Q31" i="67"/>
  <c r="AN31" i="67"/>
  <c r="V31" i="67"/>
  <c r="L31" i="67"/>
  <c r="S113" i="70"/>
  <c r="S135" i="70"/>
  <c r="S30" i="70" s="1"/>
  <c r="S119" i="70"/>
  <c r="S118" i="70"/>
  <c r="S114" i="70"/>
  <c r="AR31" i="67"/>
  <c r="BA31" i="67"/>
  <c r="AC31" i="67"/>
  <c r="AB31" i="67"/>
  <c r="AM31" i="67"/>
  <c r="BD31" i="67"/>
  <c r="K31" i="67"/>
  <c r="R31" i="67"/>
  <c r="BC31" i="67"/>
  <c r="AT31" i="67"/>
  <c r="BB31" i="67"/>
  <c r="F31" i="67"/>
  <c r="AP31" i="67"/>
  <c r="AX31" i="67"/>
  <c r="AI31" i="67"/>
  <c r="BA134" i="70"/>
  <c r="AK134" i="70"/>
  <c r="AQ134" i="70"/>
  <c r="AO134" i="70"/>
  <c r="H111" i="70"/>
  <c r="H74" i="70"/>
  <c r="H94" i="70" s="1"/>
  <c r="H53" i="70"/>
  <c r="H33" i="70"/>
  <c r="I2" i="70"/>
  <c r="I123" i="68"/>
  <c r="I78" i="68"/>
  <c r="I102" i="68" s="1"/>
  <c r="I56" i="68"/>
  <c r="I35" i="68"/>
  <c r="J2" i="68"/>
  <c r="I111" i="69"/>
  <c r="I53" i="69"/>
  <c r="I33" i="69"/>
  <c r="I74" i="69"/>
  <c r="I94" i="69" s="1"/>
  <c r="J2" i="69"/>
  <c r="AH31" i="67"/>
  <c r="AY31" i="67"/>
  <c r="AA31" i="67"/>
  <c r="S31" i="67"/>
  <c r="J78" i="67"/>
  <c r="J102" i="67" s="1"/>
  <c r="J123" i="67"/>
  <c r="J56" i="67"/>
  <c r="J35" i="67"/>
  <c r="K2" i="67"/>
  <c r="Z31" i="67"/>
  <c r="I111" i="70" l="1"/>
  <c r="I53" i="70"/>
  <c r="I33" i="70"/>
  <c r="J2" i="70"/>
  <c r="I74" i="70"/>
  <c r="I94" i="70" s="1"/>
  <c r="J123" i="68"/>
  <c r="J78" i="68"/>
  <c r="J102" i="68" s="1"/>
  <c r="J56" i="68"/>
  <c r="J35" i="68"/>
  <c r="K2" i="68"/>
  <c r="J53" i="69"/>
  <c r="J111" i="69"/>
  <c r="J74" i="69"/>
  <c r="J94" i="69" s="1"/>
  <c r="J33" i="69"/>
  <c r="K2" i="69"/>
  <c r="K123" i="67"/>
  <c r="K56" i="67"/>
  <c r="L2" i="67"/>
  <c r="K78" i="67"/>
  <c r="K102" i="67" s="1"/>
  <c r="K35" i="67"/>
  <c r="J74" i="70" l="1"/>
  <c r="J94" i="70" s="1"/>
  <c r="J33" i="70"/>
  <c r="J111" i="70"/>
  <c r="J53" i="70"/>
  <c r="K2" i="70"/>
  <c r="K123" i="68"/>
  <c r="K78" i="68"/>
  <c r="K102" i="68" s="1"/>
  <c r="K56" i="68"/>
  <c r="L2" i="68"/>
  <c r="K35" i="68"/>
  <c r="K111" i="69"/>
  <c r="K74" i="69"/>
  <c r="K94" i="69" s="1"/>
  <c r="K33" i="69"/>
  <c r="L2" i="69"/>
  <c r="K53" i="69"/>
  <c r="L123" i="67"/>
  <c r="L56" i="67"/>
  <c r="L78" i="67"/>
  <c r="L102" i="67" s="1"/>
  <c r="L35" i="67"/>
  <c r="M2" i="67"/>
  <c r="K111" i="70" l="1"/>
  <c r="K33" i="70"/>
  <c r="L2" i="70"/>
  <c r="K53" i="70"/>
  <c r="K74" i="70"/>
  <c r="K94" i="70" s="1"/>
  <c r="L78" i="68"/>
  <c r="L102" i="68" s="1"/>
  <c r="L123" i="68"/>
  <c r="L56" i="68"/>
  <c r="M2" i="68"/>
  <c r="L35" i="68"/>
  <c r="L53" i="69"/>
  <c r="L111" i="69"/>
  <c r="L74" i="69"/>
  <c r="L94" i="69" s="1"/>
  <c r="L33" i="69"/>
  <c r="M2" i="69"/>
  <c r="M123" i="67"/>
  <c r="M56" i="67"/>
  <c r="M35" i="67"/>
  <c r="M78" i="67"/>
  <c r="M102" i="67" s="1"/>
  <c r="N2" i="67"/>
  <c r="L33" i="70" l="1"/>
  <c r="L111" i="70"/>
  <c r="L74" i="70"/>
  <c r="L94" i="70" s="1"/>
  <c r="L53" i="70"/>
  <c r="M2" i="70"/>
  <c r="M123" i="68"/>
  <c r="M78" i="68"/>
  <c r="M102" i="68" s="1"/>
  <c r="M56" i="68"/>
  <c r="M35" i="68"/>
  <c r="N2" i="68"/>
  <c r="M111" i="69"/>
  <c r="M74" i="69"/>
  <c r="M94" i="69" s="1"/>
  <c r="N2" i="69"/>
  <c r="M33" i="69"/>
  <c r="M53" i="69"/>
  <c r="N78" i="67"/>
  <c r="N102" i="67" s="1"/>
  <c r="N123" i="67"/>
  <c r="N56" i="67"/>
  <c r="N35" i="67"/>
  <c r="O2" i="67"/>
  <c r="M111" i="70" l="1"/>
  <c r="M33" i="70"/>
  <c r="M74" i="70"/>
  <c r="M94" i="70" s="1"/>
  <c r="M53" i="70"/>
  <c r="N2" i="70"/>
  <c r="N123" i="68"/>
  <c r="N78" i="68"/>
  <c r="N102" i="68" s="1"/>
  <c r="N56" i="68"/>
  <c r="N35" i="68"/>
  <c r="O2" i="68"/>
  <c r="N74" i="69"/>
  <c r="N94" i="69" s="1"/>
  <c r="N111" i="69"/>
  <c r="N53" i="69"/>
  <c r="O2" i="69"/>
  <c r="N33" i="69"/>
  <c r="O123" i="67"/>
  <c r="O78" i="67"/>
  <c r="O102" i="67" s="1"/>
  <c r="P2" i="67"/>
  <c r="O56" i="67"/>
  <c r="O35" i="67"/>
  <c r="N111" i="70" l="1"/>
  <c r="N74" i="70"/>
  <c r="N94" i="70" s="1"/>
  <c r="O2" i="70"/>
  <c r="N53" i="70"/>
  <c r="N33" i="70"/>
  <c r="O123" i="68"/>
  <c r="O56" i="68"/>
  <c r="O35" i="68"/>
  <c r="O78" i="68"/>
  <c r="O102" i="68" s="1"/>
  <c r="P2" i="68"/>
  <c r="O74" i="69"/>
  <c r="O94" i="69" s="1"/>
  <c r="O111" i="69"/>
  <c r="O53" i="69"/>
  <c r="P2" i="69"/>
  <c r="O33" i="69"/>
  <c r="P123" i="67"/>
  <c r="P78" i="67"/>
  <c r="P102" i="67" s="1"/>
  <c r="P56" i="67"/>
  <c r="P35" i="67"/>
  <c r="Q2" i="67"/>
  <c r="P2" i="70" l="1"/>
  <c r="O53" i="70"/>
  <c r="O111" i="70"/>
  <c r="O74" i="70"/>
  <c r="O94" i="70" s="1"/>
  <c r="O33" i="70"/>
  <c r="P123" i="68"/>
  <c r="P78" i="68"/>
  <c r="P102" i="68" s="1"/>
  <c r="P56" i="68"/>
  <c r="P35" i="68"/>
  <c r="Q2" i="68"/>
  <c r="P111" i="69"/>
  <c r="P74" i="69"/>
  <c r="P94" i="69" s="1"/>
  <c r="P53" i="69"/>
  <c r="P33" i="69"/>
  <c r="Q2" i="69"/>
  <c r="Q123" i="67"/>
  <c r="Q56" i="67"/>
  <c r="R2" i="67"/>
  <c r="Q35" i="67"/>
  <c r="Q78" i="67"/>
  <c r="Q102" i="67" s="1"/>
  <c r="P111" i="70" l="1"/>
  <c r="P53" i="70"/>
  <c r="P74" i="70"/>
  <c r="P94" i="70" s="1"/>
  <c r="P33" i="70"/>
  <c r="Q2" i="70"/>
  <c r="Q78" i="68"/>
  <c r="Q102" i="68" s="1"/>
  <c r="Q56" i="68"/>
  <c r="Q35" i="68"/>
  <c r="Q123" i="68"/>
  <c r="R2" i="68"/>
  <c r="Q111" i="69"/>
  <c r="Q53" i="69"/>
  <c r="Q74" i="69"/>
  <c r="Q94" i="69" s="1"/>
  <c r="Q33" i="69"/>
  <c r="R2" i="69"/>
  <c r="R78" i="67"/>
  <c r="R102" i="67" s="1"/>
  <c r="R123" i="67"/>
  <c r="R35" i="67"/>
  <c r="S2" i="67"/>
  <c r="R56" i="67"/>
  <c r="H116" i="62"/>
  <c r="Q111" i="70" l="1"/>
  <c r="Q53" i="70"/>
  <c r="Q74" i="70"/>
  <c r="Q94" i="70" s="1"/>
  <c r="Q33" i="70"/>
  <c r="R2" i="70"/>
  <c r="R78" i="68"/>
  <c r="R102" i="68" s="1"/>
  <c r="R123" i="68"/>
  <c r="R56" i="68"/>
  <c r="R35" i="68"/>
  <c r="S2" i="68"/>
  <c r="R111" i="69"/>
  <c r="R53" i="69"/>
  <c r="R74" i="69"/>
  <c r="R94" i="69" s="1"/>
  <c r="R33" i="69"/>
  <c r="S2" i="69"/>
  <c r="S123" i="67"/>
  <c r="T2" i="67"/>
  <c r="S78" i="67"/>
  <c r="S102" i="67" s="1"/>
  <c r="S56" i="67"/>
  <c r="S35" i="67"/>
  <c r="E33" i="62"/>
  <c r="BD130" i="64"/>
  <c r="BC130" i="64"/>
  <c r="BB130" i="64"/>
  <c r="BA130" i="64"/>
  <c r="AZ130" i="64"/>
  <c r="AY130" i="64"/>
  <c r="AX130" i="64"/>
  <c r="AW130" i="64"/>
  <c r="AV130" i="64"/>
  <c r="AU130" i="64"/>
  <c r="AT130" i="64"/>
  <c r="AS130" i="64"/>
  <c r="AR130" i="64"/>
  <c r="AQ130" i="64"/>
  <c r="AP130" i="64"/>
  <c r="AO130" i="64"/>
  <c r="AN130" i="64"/>
  <c r="AM130" i="64"/>
  <c r="AL130" i="64"/>
  <c r="AK130" i="64"/>
  <c r="AJ130" i="64"/>
  <c r="AI130" i="64"/>
  <c r="AH130" i="64"/>
  <c r="AG130" i="64"/>
  <c r="AF130" i="64"/>
  <c r="AE130" i="64"/>
  <c r="AD130" i="64"/>
  <c r="AC130" i="64"/>
  <c r="AB130" i="64"/>
  <c r="AA130" i="64"/>
  <c r="Z130" i="64"/>
  <c r="Y130" i="64"/>
  <c r="X130" i="64"/>
  <c r="W130" i="64"/>
  <c r="V130" i="64"/>
  <c r="U130" i="64"/>
  <c r="T130" i="64"/>
  <c r="S130" i="64"/>
  <c r="R130" i="64"/>
  <c r="Q130" i="64"/>
  <c r="P130" i="64"/>
  <c r="O130" i="64"/>
  <c r="N130" i="64"/>
  <c r="M130" i="64"/>
  <c r="L130" i="64"/>
  <c r="K130" i="64"/>
  <c r="J130" i="64"/>
  <c r="I130" i="64"/>
  <c r="H130" i="64"/>
  <c r="G130" i="64"/>
  <c r="F130" i="64"/>
  <c r="E130" i="64"/>
  <c r="BD129" i="64"/>
  <c r="BC129" i="64"/>
  <c r="BB129" i="64"/>
  <c r="BA129" i="64"/>
  <c r="AZ129" i="64"/>
  <c r="AY129" i="64"/>
  <c r="AX129" i="64"/>
  <c r="AW129" i="64"/>
  <c r="AV129" i="64"/>
  <c r="AU129" i="64"/>
  <c r="AT129" i="64"/>
  <c r="AS129" i="64"/>
  <c r="AR129" i="64"/>
  <c r="AQ129" i="64"/>
  <c r="AP129" i="64"/>
  <c r="AO129" i="64"/>
  <c r="AN129" i="64"/>
  <c r="AM129" i="64"/>
  <c r="AL129" i="64"/>
  <c r="AK129" i="64"/>
  <c r="AJ129" i="64"/>
  <c r="AI129" i="64"/>
  <c r="AH129" i="64"/>
  <c r="AG129" i="64"/>
  <c r="AF129" i="64"/>
  <c r="AE129" i="64"/>
  <c r="AD129" i="64"/>
  <c r="AC129" i="64"/>
  <c r="AB129" i="64"/>
  <c r="AA129" i="64"/>
  <c r="Z129" i="64"/>
  <c r="Y129" i="64"/>
  <c r="X129" i="64"/>
  <c r="W129" i="64"/>
  <c r="V129" i="64"/>
  <c r="U129" i="64"/>
  <c r="T129" i="64"/>
  <c r="S129" i="64"/>
  <c r="R129" i="64"/>
  <c r="Q129" i="64"/>
  <c r="P129" i="64"/>
  <c r="O129" i="64"/>
  <c r="N129" i="64"/>
  <c r="M129" i="64"/>
  <c r="L129" i="64"/>
  <c r="K129" i="64"/>
  <c r="J129" i="64"/>
  <c r="I129" i="64"/>
  <c r="H129" i="64"/>
  <c r="G129" i="64"/>
  <c r="F129" i="64"/>
  <c r="E129" i="64"/>
  <c r="BD128" i="64"/>
  <c r="BC128" i="64"/>
  <c r="BB128" i="64"/>
  <c r="BA128" i="64"/>
  <c r="AZ128" i="64"/>
  <c r="AY128" i="64"/>
  <c r="AX128" i="64"/>
  <c r="AW128" i="64"/>
  <c r="AV128" i="64"/>
  <c r="AU128" i="64"/>
  <c r="AT128" i="64"/>
  <c r="AS128" i="64"/>
  <c r="AR128" i="64"/>
  <c r="AQ128" i="64"/>
  <c r="AP128" i="64"/>
  <c r="AO128" i="64"/>
  <c r="AN128" i="64"/>
  <c r="AM128" i="64"/>
  <c r="AL128" i="64"/>
  <c r="AK128" i="64"/>
  <c r="AJ128" i="64"/>
  <c r="AI128" i="64"/>
  <c r="AH128" i="64"/>
  <c r="AG128" i="64"/>
  <c r="AF128" i="64"/>
  <c r="AE128" i="64"/>
  <c r="AD128" i="64"/>
  <c r="AC128" i="64"/>
  <c r="AB128" i="64"/>
  <c r="AA128" i="64"/>
  <c r="Z128" i="64"/>
  <c r="Y128" i="64"/>
  <c r="X128" i="64"/>
  <c r="W128" i="64"/>
  <c r="V128" i="64"/>
  <c r="U128" i="64"/>
  <c r="T128" i="64"/>
  <c r="S128" i="64"/>
  <c r="R128" i="64"/>
  <c r="Q128" i="64"/>
  <c r="P128" i="64"/>
  <c r="O128" i="64"/>
  <c r="N128" i="64"/>
  <c r="M128" i="64"/>
  <c r="L128" i="64"/>
  <c r="K128" i="64"/>
  <c r="J128" i="64"/>
  <c r="I128" i="64"/>
  <c r="H128" i="64"/>
  <c r="G128" i="64"/>
  <c r="F128" i="64"/>
  <c r="E128" i="64"/>
  <c r="BD127" i="64"/>
  <c r="BC127" i="64"/>
  <c r="BB127" i="64"/>
  <c r="BA127" i="64"/>
  <c r="AZ127" i="64"/>
  <c r="AY127" i="64"/>
  <c r="AX127" i="64"/>
  <c r="AW127" i="64"/>
  <c r="AV127" i="64"/>
  <c r="AU127" i="64"/>
  <c r="AT127" i="64"/>
  <c r="AS127" i="64"/>
  <c r="AR127" i="64"/>
  <c r="AQ127" i="64"/>
  <c r="AP127" i="64"/>
  <c r="AO127" i="64"/>
  <c r="AN127" i="64"/>
  <c r="AM127" i="64"/>
  <c r="AL127" i="64"/>
  <c r="AK127" i="64"/>
  <c r="AJ127" i="64"/>
  <c r="AI127" i="64"/>
  <c r="AH127" i="64"/>
  <c r="AG127" i="64"/>
  <c r="AF127" i="64"/>
  <c r="AE127" i="64"/>
  <c r="AD127" i="64"/>
  <c r="AC127" i="64"/>
  <c r="AB127" i="64"/>
  <c r="AA127" i="64"/>
  <c r="Z127" i="64"/>
  <c r="Y127" i="64"/>
  <c r="X127" i="64"/>
  <c r="W127" i="64"/>
  <c r="V127" i="64"/>
  <c r="U127" i="64"/>
  <c r="T127" i="64"/>
  <c r="S127" i="64"/>
  <c r="R127" i="64"/>
  <c r="Q127" i="64"/>
  <c r="P127" i="64"/>
  <c r="O127" i="64"/>
  <c r="N127" i="64"/>
  <c r="M127" i="64"/>
  <c r="L127" i="64"/>
  <c r="K127" i="64"/>
  <c r="J127" i="64"/>
  <c r="I127" i="64"/>
  <c r="H127" i="64"/>
  <c r="G127" i="64"/>
  <c r="F127" i="64"/>
  <c r="E127" i="64"/>
  <c r="BD126" i="64"/>
  <c r="BC126" i="64"/>
  <c r="BB126" i="64"/>
  <c r="BA126" i="64"/>
  <c r="AZ126" i="64"/>
  <c r="AY126" i="64"/>
  <c r="AX126" i="64"/>
  <c r="AW126" i="64"/>
  <c r="AV126" i="64"/>
  <c r="AU126" i="64"/>
  <c r="AT126" i="64"/>
  <c r="AS126" i="64"/>
  <c r="AR126" i="64"/>
  <c r="AQ126" i="64"/>
  <c r="AP126" i="64"/>
  <c r="AO126" i="64"/>
  <c r="AN126" i="64"/>
  <c r="AM126" i="64"/>
  <c r="AL126" i="64"/>
  <c r="AK126" i="64"/>
  <c r="AJ126" i="64"/>
  <c r="AI126" i="64"/>
  <c r="AH126" i="64"/>
  <c r="AG126" i="64"/>
  <c r="AF126" i="64"/>
  <c r="AE126" i="64"/>
  <c r="AD126" i="64"/>
  <c r="AC126" i="64"/>
  <c r="AB126" i="64"/>
  <c r="AA126" i="64"/>
  <c r="Z126" i="64"/>
  <c r="Y126" i="64"/>
  <c r="X126" i="64"/>
  <c r="W126" i="64"/>
  <c r="V126" i="64"/>
  <c r="U126" i="64"/>
  <c r="T126" i="64"/>
  <c r="S126" i="64"/>
  <c r="R126" i="64"/>
  <c r="Q126" i="64"/>
  <c r="P126" i="64"/>
  <c r="O126" i="64"/>
  <c r="N126" i="64"/>
  <c r="M126" i="64"/>
  <c r="L126" i="64"/>
  <c r="K126" i="64"/>
  <c r="J126" i="64"/>
  <c r="I126" i="64"/>
  <c r="H126" i="64"/>
  <c r="G126" i="64"/>
  <c r="F126" i="64"/>
  <c r="E126" i="64"/>
  <c r="BD125" i="64"/>
  <c r="BC125" i="64"/>
  <c r="BB125" i="64"/>
  <c r="BA125" i="64"/>
  <c r="AZ125" i="64"/>
  <c r="AY125" i="64"/>
  <c r="AX125" i="64"/>
  <c r="AW125" i="64"/>
  <c r="AV125" i="64"/>
  <c r="AU125" i="64"/>
  <c r="AT125" i="64"/>
  <c r="AS125" i="64"/>
  <c r="AR125" i="64"/>
  <c r="AQ125" i="64"/>
  <c r="AP125" i="64"/>
  <c r="AO125" i="64"/>
  <c r="AN125" i="64"/>
  <c r="AM125" i="64"/>
  <c r="AL125" i="64"/>
  <c r="AK125" i="64"/>
  <c r="AJ125" i="64"/>
  <c r="AI125" i="64"/>
  <c r="AH125" i="64"/>
  <c r="AG125" i="64"/>
  <c r="AF125" i="64"/>
  <c r="AE125" i="64"/>
  <c r="AD125" i="64"/>
  <c r="AC125" i="64"/>
  <c r="AB125" i="64"/>
  <c r="AA125" i="64"/>
  <c r="Z125" i="64"/>
  <c r="Y125" i="64"/>
  <c r="X125" i="64"/>
  <c r="W125" i="64"/>
  <c r="V125" i="64"/>
  <c r="U125" i="64"/>
  <c r="T125" i="64"/>
  <c r="S125" i="64"/>
  <c r="R125" i="64"/>
  <c r="Q125" i="64"/>
  <c r="P125" i="64"/>
  <c r="O125" i="64"/>
  <c r="N125" i="64"/>
  <c r="M125" i="64"/>
  <c r="L125" i="64"/>
  <c r="K125" i="64"/>
  <c r="J125" i="64"/>
  <c r="I125" i="64"/>
  <c r="H125" i="64"/>
  <c r="G125" i="64"/>
  <c r="F125" i="64"/>
  <c r="E125" i="64"/>
  <c r="BD124" i="64"/>
  <c r="BC124" i="64"/>
  <c r="BB124" i="64"/>
  <c r="BA124" i="64"/>
  <c r="AZ124" i="64"/>
  <c r="AY124" i="64"/>
  <c r="AX124" i="64"/>
  <c r="AW124" i="64"/>
  <c r="AV124" i="64"/>
  <c r="AU124" i="64"/>
  <c r="AT124" i="64"/>
  <c r="AS124" i="64"/>
  <c r="AR124" i="64"/>
  <c r="AQ124" i="64"/>
  <c r="AP124" i="64"/>
  <c r="AO124" i="64"/>
  <c r="AN124" i="64"/>
  <c r="AM124" i="64"/>
  <c r="AL124" i="64"/>
  <c r="AK124" i="64"/>
  <c r="AJ124" i="64"/>
  <c r="AI124" i="64"/>
  <c r="AH124" i="64"/>
  <c r="AG124" i="64"/>
  <c r="AF124" i="64"/>
  <c r="AE124" i="64"/>
  <c r="AD124" i="64"/>
  <c r="AC124" i="64"/>
  <c r="AB124" i="64"/>
  <c r="AA124" i="64"/>
  <c r="Z124" i="64"/>
  <c r="Y124" i="64"/>
  <c r="X124" i="64"/>
  <c r="W124" i="64"/>
  <c r="V124" i="64"/>
  <c r="U124" i="64"/>
  <c r="T124" i="64"/>
  <c r="S124" i="64"/>
  <c r="R124" i="64"/>
  <c r="Q124" i="64"/>
  <c r="P124" i="64"/>
  <c r="O124" i="64"/>
  <c r="N124" i="64"/>
  <c r="M124" i="64"/>
  <c r="L124" i="64"/>
  <c r="K124" i="64"/>
  <c r="J124" i="64"/>
  <c r="I124" i="64"/>
  <c r="H124" i="64"/>
  <c r="G124" i="64"/>
  <c r="F124" i="64"/>
  <c r="E124" i="64"/>
  <c r="BD108" i="64"/>
  <c r="BD109" i="64" s="1"/>
  <c r="BC108" i="64"/>
  <c r="BC109" i="64" s="1"/>
  <c r="BB108" i="64"/>
  <c r="BB109" i="64" s="1"/>
  <c r="BA108" i="64"/>
  <c r="BA109" i="64" s="1"/>
  <c r="AZ108" i="64"/>
  <c r="AZ109" i="64" s="1"/>
  <c r="AY108" i="64"/>
  <c r="AY109" i="64" s="1"/>
  <c r="AX108" i="64"/>
  <c r="AX109" i="64" s="1"/>
  <c r="AW108" i="64"/>
  <c r="AW109" i="64" s="1"/>
  <c r="AV108" i="64"/>
  <c r="AV109" i="64" s="1"/>
  <c r="AU108" i="64"/>
  <c r="AU109" i="64" s="1"/>
  <c r="AT108" i="64"/>
  <c r="AT109" i="64" s="1"/>
  <c r="AS108" i="64"/>
  <c r="AS109" i="64" s="1"/>
  <c r="AR108" i="64"/>
  <c r="AR109" i="64" s="1"/>
  <c r="AQ108" i="64"/>
  <c r="AQ109" i="64" s="1"/>
  <c r="AP108" i="64"/>
  <c r="AP109" i="64" s="1"/>
  <c r="AO108" i="64"/>
  <c r="AO109" i="64" s="1"/>
  <c r="AN108" i="64"/>
  <c r="AN109" i="64" s="1"/>
  <c r="AM108" i="64"/>
  <c r="AM109" i="64" s="1"/>
  <c r="AL108" i="64"/>
  <c r="AL109" i="64" s="1"/>
  <c r="AK108" i="64"/>
  <c r="AK109" i="64" s="1"/>
  <c r="AJ108" i="64"/>
  <c r="AJ109" i="64" s="1"/>
  <c r="AI108" i="64"/>
  <c r="AI109" i="64" s="1"/>
  <c r="AH108" i="64"/>
  <c r="AH109" i="64" s="1"/>
  <c r="AG108" i="64"/>
  <c r="AG109" i="64" s="1"/>
  <c r="AF108" i="64"/>
  <c r="AF109" i="64" s="1"/>
  <c r="AE108" i="64"/>
  <c r="AE109" i="64" s="1"/>
  <c r="AD108" i="64"/>
  <c r="AD109" i="64" s="1"/>
  <c r="AC108" i="64"/>
  <c r="AC109" i="64" s="1"/>
  <c r="AB108" i="64"/>
  <c r="AB109" i="64" s="1"/>
  <c r="AA108" i="64"/>
  <c r="AA109" i="64" s="1"/>
  <c r="Z108" i="64"/>
  <c r="Z109" i="64" s="1"/>
  <c r="Y108" i="64"/>
  <c r="Y109" i="64" s="1"/>
  <c r="X108" i="64"/>
  <c r="X109" i="64" s="1"/>
  <c r="W108" i="64"/>
  <c r="W109" i="64" s="1"/>
  <c r="V108" i="64"/>
  <c r="V109" i="64" s="1"/>
  <c r="U108" i="64"/>
  <c r="U109" i="64" s="1"/>
  <c r="T108" i="64"/>
  <c r="T109" i="64" s="1"/>
  <c r="S108" i="64"/>
  <c r="S109" i="64" s="1"/>
  <c r="R108" i="64"/>
  <c r="R109" i="64" s="1"/>
  <c r="Q108" i="64"/>
  <c r="Q109" i="64" s="1"/>
  <c r="P108" i="64"/>
  <c r="P109" i="64" s="1"/>
  <c r="O108" i="64"/>
  <c r="O109" i="64" s="1"/>
  <c r="N108" i="64"/>
  <c r="N109" i="64" s="1"/>
  <c r="M108" i="64"/>
  <c r="M109" i="64" s="1"/>
  <c r="L108" i="64"/>
  <c r="L109" i="64" s="1"/>
  <c r="K108" i="64"/>
  <c r="K109" i="64" s="1"/>
  <c r="J108" i="64"/>
  <c r="J109" i="64" s="1"/>
  <c r="I108" i="64"/>
  <c r="I109" i="64" s="1"/>
  <c r="H108" i="64"/>
  <c r="H109" i="64" s="1"/>
  <c r="G108" i="64"/>
  <c r="G109" i="64" s="1"/>
  <c r="F108" i="64"/>
  <c r="F109" i="64" s="1"/>
  <c r="E108" i="64"/>
  <c r="E109" i="64" s="1"/>
  <c r="E116" i="62"/>
  <c r="E119" i="62" s="1"/>
  <c r="E123" i="62"/>
  <c r="E78" i="62"/>
  <c r="BD116" i="62"/>
  <c r="BC116" i="62"/>
  <c r="BB116" i="62"/>
  <c r="BA116" i="62"/>
  <c r="AZ116" i="62"/>
  <c r="AY116" i="62"/>
  <c r="AX116" i="62"/>
  <c r="AW116" i="62"/>
  <c r="AV116" i="62"/>
  <c r="AU116" i="62"/>
  <c r="AT116" i="62"/>
  <c r="AS116" i="62"/>
  <c r="AR116" i="62"/>
  <c r="AQ116" i="62"/>
  <c r="AP116" i="62"/>
  <c r="AO116" i="62"/>
  <c r="AN116" i="62"/>
  <c r="AM116" i="62"/>
  <c r="AL116" i="62"/>
  <c r="AK116" i="62"/>
  <c r="AJ116" i="62"/>
  <c r="AI116" i="62"/>
  <c r="AH116" i="62"/>
  <c r="AG116" i="62"/>
  <c r="AF116" i="62"/>
  <c r="AE116" i="62"/>
  <c r="AD116" i="62"/>
  <c r="AC116" i="62"/>
  <c r="AB116" i="62"/>
  <c r="AA116" i="62"/>
  <c r="Z116" i="62"/>
  <c r="Y116" i="62"/>
  <c r="X116" i="62"/>
  <c r="W116" i="62"/>
  <c r="V116" i="62"/>
  <c r="U116" i="62"/>
  <c r="T116" i="62"/>
  <c r="S116" i="62"/>
  <c r="R116" i="62"/>
  <c r="Q116" i="62"/>
  <c r="P116" i="62"/>
  <c r="O116" i="62"/>
  <c r="N116" i="62"/>
  <c r="M116" i="62"/>
  <c r="L116" i="62"/>
  <c r="L119" i="62" s="1"/>
  <c r="K116" i="62"/>
  <c r="J116" i="62"/>
  <c r="I116" i="62"/>
  <c r="H119" i="62"/>
  <c r="G116" i="62"/>
  <c r="F116" i="62"/>
  <c r="E62" i="62"/>
  <c r="E62" i="68" s="1"/>
  <c r="E71" i="62"/>
  <c r="E74" i="62" s="1"/>
  <c r="E49" i="62"/>
  <c r="E7" i="62"/>
  <c r="E7" i="68" s="1"/>
  <c r="E35" i="62"/>
  <c r="E40" i="62"/>
  <c r="E40" i="68" s="1"/>
  <c r="E4" i="71" s="1"/>
  <c r="E75" i="68" l="1"/>
  <c r="E76" i="68" s="1"/>
  <c r="E5" i="71"/>
  <c r="E29" i="68"/>
  <c r="E30" i="68" s="1"/>
  <c r="E3" i="71"/>
  <c r="E124" i="68"/>
  <c r="E125" i="68" s="1"/>
  <c r="M119" i="62"/>
  <c r="U119" i="62"/>
  <c r="AC119" i="62"/>
  <c r="AK119" i="62"/>
  <c r="AS119" i="62"/>
  <c r="AS120" i="62" s="1"/>
  <c r="BA119" i="62"/>
  <c r="BA120" i="62" s="1"/>
  <c r="F119" i="62"/>
  <c r="F120" i="62" s="1"/>
  <c r="N119" i="62"/>
  <c r="N120" i="62" s="1"/>
  <c r="V119" i="62"/>
  <c r="AD119" i="62"/>
  <c r="AL119" i="62"/>
  <c r="AT119" i="62"/>
  <c r="BB119" i="62"/>
  <c r="BB120" i="62" s="1"/>
  <c r="G119" i="62"/>
  <c r="G120" i="62" s="1"/>
  <c r="O119" i="62"/>
  <c r="O120" i="62" s="1"/>
  <c r="W119" i="62"/>
  <c r="W120" i="62" s="1"/>
  <c r="AE119" i="62"/>
  <c r="AM119" i="62"/>
  <c r="AU119" i="62"/>
  <c r="AU120" i="62" s="1"/>
  <c r="BC119" i="62"/>
  <c r="P119" i="62"/>
  <c r="P120" i="62" s="1"/>
  <c r="X119" i="62"/>
  <c r="X120" i="62" s="1"/>
  <c r="AF119" i="62"/>
  <c r="AF120" i="62" s="1"/>
  <c r="AN119" i="62"/>
  <c r="AN120" i="62" s="1"/>
  <c r="AV119" i="62"/>
  <c r="BD119" i="62"/>
  <c r="BD120" i="62" s="1"/>
  <c r="I119" i="62"/>
  <c r="Q119" i="62"/>
  <c r="Q120" i="62" s="1"/>
  <c r="Y119" i="62"/>
  <c r="Y120" i="62" s="1"/>
  <c r="AG119" i="62"/>
  <c r="AG120" i="62" s="1"/>
  <c r="AO119" i="62"/>
  <c r="AO120" i="62" s="1"/>
  <c r="AW119" i="62"/>
  <c r="AW120" i="62" s="1"/>
  <c r="J119" i="62"/>
  <c r="J120" i="62" s="1"/>
  <c r="R119" i="62"/>
  <c r="R120" i="62" s="1"/>
  <c r="Z119" i="62"/>
  <c r="Z120" i="62" s="1"/>
  <c r="AH119" i="62"/>
  <c r="AP119" i="62"/>
  <c r="AP120" i="62" s="1"/>
  <c r="AX119" i="62"/>
  <c r="AX120" i="62" s="1"/>
  <c r="K119" i="62"/>
  <c r="K120" i="62" s="1"/>
  <c r="S119" i="62"/>
  <c r="S120" i="62" s="1"/>
  <c r="AA119" i="62"/>
  <c r="AA120" i="62" s="1"/>
  <c r="AI119" i="62"/>
  <c r="AQ119" i="62"/>
  <c r="AY119" i="62"/>
  <c r="T119" i="62"/>
  <c r="T120" i="62" s="1"/>
  <c r="AB119" i="62"/>
  <c r="AB120" i="62" s="1"/>
  <c r="AJ119" i="62"/>
  <c r="AJ120" i="62" s="1"/>
  <c r="AR119" i="62"/>
  <c r="AR120" i="62" s="1"/>
  <c r="AZ119" i="62"/>
  <c r="AZ120" i="62" s="1"/>
  <c r="E52" i="62"/>
  <c r="E53" i="62" s="1"/>
  <c r="R111" i="70"/>
  <c r="R74" i="70"/>
  <c r="R94" i="70" s="1"/>
  <c r="R33" i="70"/>
  <c r="R53" i="70"/>
  <c r="S2" i="70"/>
  <c r="S123" i="68"/>
  <c r="S78" i="68"/>
  <c r="S102" i="68" s="1"/>
  <c r="S35" i="68"/>
  <c r="T2" i="68"/>
  <c r="S56" i="68"/>
  <c r="S111" i="69"/>
  <c r="S74" i="69"/>
  <c r="S94" i="69" s="1"/>
  <c r="S33" i="69"/>
  <c r="S53" i="69"/>
  <c r="T2" i="69"/>
  <c r="T123" i="67"/>
  <c r="T56" i="67"/>
  <c r="U2" i="67"/>
  <c r="T78" i="67"/>
  <c r="T102" i="67" s="1"/>
  <c r="T35" i="67"/>
  <c r="E124" i="62"/>
  <c r="E120" i="62"/>
  <c r="L120" i="62"/>
  <c r="AI120" i="62"/>
  <c r="AQ120" i="62"/>
  <c r="AY120" i="62"/>
  <c r="M120" i="62"/>
  <c r="U120" i="62"/>
  <c r="AC120" i="62"/>
  <c r="AK120" i="62"/>
  <c r="V120" i="62"/>
  <c r="AD120" i="62"/>
  <c r="AL120" i="62"/>
  <c r="AT120" i="62"/>
  <c r="AE120" i="62"/>
  <c r="BC120" i="62"/>
  <c r="H120" i="62"/>
  <c r="AV120" i="62"/>
  <c r="AM120" i="62"/>
  <c r="I120" i="62"/>
  <c r="AH120" i="62"/>
  <c r="E75" i="62"/>
  <c r="E8" i="71" l="1"/>
  <c r="E126" i="68"/>
  <c r="E131" i="68"/>
  <c r="E128" i="68"/>
  <c r="E130" i="68"/>
  <c r="E129" i="68"/>
  <c r="E127" i="68"/>
  <c r="S111" i="70"/>
  <c r="S74" i="70"/>
  <c r="S94" i="70" s="1"/>
  <c r="S33" i="70"/>
  <c r="T2" i="70"/>
  <c r="S53" i="70"/>
  <c r="T78" i="68"/>
  <c r="T102" i="68" s="1"/>
  <c r="T123" i="68"/>
  <c r="U2" i="68"/>
  <c r="T35" i="68"/>
  <c r="T56" i="68"/>
  <c r="T53" i="69"/>
  <c r="T74" i="69"/>
  <c r="T94" i="69" s="1"/>
  <c r="T33" i="69"/>
  <c r="U2" i="69"/>
  <c r="T111" i="69"/>
  <c r="U123" i="67"/>
  <c r="U56" i="67"/>
  <c r="U35" i="67"/>
  <c r="U78" i="67"/>
  <c r="U102" i="67" s="1"/>
  <c r="V2" i="67"/>
  <c r="E7" i="64"/>
  <c r="E25" i="64"/>
  <c r="E31" i="64"/>
  <c r="E33" i="64"/>
  <c r="E38" i="64"/>
  <c r="E47" i="64"/>
  <c r="E50" i="64" s="1"/>
  <c r="E53" i="64"/>
  <c r="BD33" i="62"/>
  <c r="BC33" i="62"/>
  <c r="BB33" i="62"/>
  <c r="BA33" i="62"/>
  <c r="AZ33" i="62"/>
  <c r="AY33" i="62"/>
  <c r="AX33" i="62"/>
  <c r="AW33" i="62"/>
  <c r="AV33" i="62"/>
  <c r="AU33" i="62"/>
  <c r="AT33" i="62"/>
  <c r="AS33" i="62"/>
  <c r="AR33" i="62"/>
  <c r="AQ33" i="62"/>
  <c r="AP33" i="62"/>
  <c r="AO33" i="62"/>
  <c r="AN33" i="62"/>
  <c r="AM33" i="62"/>
  <c r="AL33" i="62"/>
  <c r="AK33" i="62"/>
  <c r="AJ33" i="62"/>
  <c r="AI33" i="62"/>
  <c r="AH33" i="62"/>
  <c r="AG33" i="62"/>
  <c r="AF33" i="62"/>
  <c r="AE33" i="62"/>
  <c r="AD33" i="62"/>
  <c r="AC33" i="62"/>
  <c r="AB33" i="62"/>
  <c r="AA33" i="62"/>
  <c r="Z33" i="62"/>
  <c r="Y33" i="62"/>
  <c r="X33" i="62"/>
  <c r="W33" i="62"/>
  <c r="V33" i="62"/>
  <c r="U33" i="62"/>
  <c r="T33" i="62"/>
  <c r="S33" i="62"/>
  <c r="R33" i="62"/>
  <c r="Q33" i="62"/>
  <c r="P33" i="62"/>
  <c r="O33" i="62"/>
  <c r="N33" i="62"/>
  <c r="M33" i="62"/>
  <c r="L33" i="62"/>
  <c r="K33" i="62"/>
  <c r="J33" i="62"/>
  <c r="I33" i="62"/>
  <c r="H33" i="62"/>
  <c r="G33" i="62"/>
  <c r="F33" i="62"/>
  <c r="T33" i="70" l="1"/>
  <c r="T111" i="70"/>
  <c r="T53" i="70"/>
  <c r="T74" i="70"/>
  <c r="T94" i="70" s="1"/>
  <c r="U2" i="70"/>
  <c r="U123" i="68"/>
  <c r="U78" i="68"/>
  <c r="U102" i="68" s="1"/>
  <c r="U56" i="68"/>
  <c r="V2" i="68"/>
  <c r="U35" i="68"/>
  <c r="U111" i="69"/>
  <c r="U74" i="69"/>
  <c r="U94" i="69" s="1"/>
  <c r="U53" i="69"/>
  <c r="V2" i="69"/>
  <c r="U33" i="69"/>
  <c r="V78" i="67"/>
  <c r="V102" i="67" s="1"/>
  <c r="V123" i="67"/>
  <c r="V56" i="67"/>
  <c r="V35" i="67"/>
  <c r="W2" i="67"/>
  <c r="E28" i="64"/>
  <c r="E29" i="64" s="1"/>
  <c r="E30" i="67" s="1"/>
  <c r="E51" i="64"/>
  <c r="E54" i="62" l="1"/>
  <c r="E54" i="67"/>
  <c r="U111" i="70"/>
  <c r="U33" i="70"/>
  <c r="U53" i="70"/>
  <c r="U74" i="70"/>
  <c r="U94" i="70" s="1"/>
  <c r="V2" i="70"/>
  <c r="V123" i="68"/>
  <c r="V78" i="68"/>
  <c r="V102" i="68" s="1"/>
  <c r="V56" i="68"/>
  <c r="V35" i="68"/>
  <c r="W2" i="68"/>
  <c r="V74" i="69"/>
  <c r="V94" i="69" s="1"/>
  <c r="V111" i="69"/>
  <c r="V53" i="69"/>
  <c r="W2" i="69"/>
  <c r="V33" i="69"/>
  <c r="W78" i="67"/>
  <c r="W102" i="67" s="1"/>
  <c r="W123" i="67"/>
  <c r="W56" i="67"/>
  <c r="X2" i="67"/>
  <c r="W35" i="67"/>
  <c r="BD9" i="60"/>
  <c r="BC9" i="60"/>
  <c r="BB9" i="60"/>
  <c r="BA9" i="60"/>
  <c r="BD8" i="60"/>
  <c r="BC7" i="60" s="1"/>
  <c r="BC8" i="60"/>
  <c r="BB7" i="60" s="1"/>
  <c r="BB8" i="60"/>
  <c r="BA7" i="60" s="1"/>
  <c r="BA8" i="60"/>
  <c r="AZ7" i="60" s="1"/>
  <c r="BD7" i="60"/>
  <c r="AZ9" i="60"/>
  <c r="AY9" i="60"/>
  <c r="AX9" i="60"/>
  <c r="AW9" i="60"/>
  <c r="AV9" i="60"/>
  <c r="AU9" i="60"/>
  <c r="AT9" i="60"/>
  <c r="AS9" i="60"/>
  <c r="AR9" i="60"/>
  <c r="AQ9" i="60"/>
  <c r="AP9" i="60"/>
  <c r="AO9" i="60"/>
  <c r="AN9" i="60"/>
  <c r="AM9" i="60"/>
  <c r="AL9" i="60"/>
  <c r="AK9" i="60"/>
  <c r="AJ9" i="60"/>
  <c r="AI9" i="60"/>
  <c r="AZ8" i="60"/>
  <c r="AY7" i="60" s="1"/>
  <c r="AY8" i="60"/>
  <c r="AX7" i="60" s="1"/>
  <c r="AX8" i="60"/>
  <c r="AW8" i="60"/>
  <c r="AV8" i="60"/>
  <c r="AU7" i="60" s="1"/>
  <c r="AU8" i="60"/>
  <c r="AT7" i="60" s="1"/>
  <c r="AT8" i="60"/>
  <c r="AS7" i="60" s="1"/>
  <c r="AS8" i="60"/>
  <c r="AR7" i="60" s="1"/>
  <c r="AR8" i="60"/>
  <c r="AQ7" i="60" s="1"/>
  <c r="AQ8" i="60"/>
  <c r="AP7" i="60" s="1"/>
  <c r="AP8" i="60"/>
  <c r="AO7" i="60" s="1"/>
  <c r="AO8" i="60"/>
  <c r="AN7" i="60" s="1"/>
  <c r="AN8" i="60"/>
  <c r="AM7" i="60" s="1"/>
  <c r="AM8" i="60"/>
  <c r="AL7" i="60" s="1"/>
  <c r="AL8" i="60"/>
  <c r="AK7" i="60" s="1"/>
  <c r="AK8" i="60"/>
  <c r="AJ7" i="60" s="1"/>
  <c r="AJ8" i="60"/>
  <c r="AI7" i="60" s="1"/>
  <c r="AI8" i="60"/>
  <c r="AW7" i="60"/>
  <c r="AV7" i="60"/>
  <c r="BD9" i="61"/>
  <c r="BC9" i="61"/>
  <c r="BB9" i="61"/>
  <c r="BA9" i="61"/>
  <c r="AZ9" i="61"/>
  <c r="AY9" i="61"/>
  <c r="AX9" i="61"/>
  <c r="AW9" i="61"/>
  <c r="AV9" i="61"/>
  <c r="AU9" i="61"/>
  <c r="AT9" i="61"/>
  <c r="AS9" i="61"/>
  <c r="AR9" i="61"/>
  <c r="AQ9" i="61"/>
  <c r="AP9" i="61"/>
  <c r="AO9" i="61"/>
  <c r="AN9" i="61"/>
  <c r="AM9" i="61"/>
  <c r="AL9" i="61"/>
  <c r="AK9" i="61"/>
  <c r="AJ9" i="61"/>
  <c r="AI9" i="61"/>
  <c r="BD8" i="61"/>
  <c r="BC8" i="61"/>
  <c r="BB7" i="61" s="1"/>
  <c r="BB8" i="61"/>
  <c r="BA8" i="61"/>
  <c r="AZ8" i="61"/>
  <c r="AY8" i="61"/>
  <c r="AX8" i="61"/>
  <c r="AW7" i="61" s="1"/>
  <c r="AW8" i="61"/>
  <c r="AV7" i="61" s="1"/>
  <c r="AV8" i="61"/>
  <c r="AU7" i="61" s="1"/>
  <c r="AU8" i="61"/>
  <c r="AT7" i="61" s="1"/>
  <c r="AT8" i="61"/>
  <c r="AS8" i="61"/>
  <c r="AR7" i="61" s="1"/>
  <c r="AR8" i="61"/>
  <c r="AQ7" i="61" s="1"/>
  <c r="AQ8" i="61"/>
  <c r="AP8" i="61"/>
  <c r="AO7" i="61" s="1"/>
  <c r="AO8" i="61"/>
  <c r="AN7" i="61" s="1"/>
  <c r="AN8" i="61"/>
  <c r="AM7" i="61" s="1"/>
  <c r="AM8" i="61"/>
  <c r="AL7" i="61" s="1"/>
  <c r="AL8" i="61"/>
  <c r="AK8" i="61"/>
  <c r="AJ7" i="61" s="1"/>
  <c r="AJ8" i="61"/>
  <c r="AI7" i="61" s="1"/>
  <c r="AI8" i="61"/>
  <c r="BD7" i="61"/>
  <c r="BC7" i="61"/>
  <c r="BA7" i="61"/>
  <c r="AZ7" i="61"/>
  <c r="AY7" i="61"/>
  <c r="AX7" i="61"/>
  <c r="AS7" i="61"/>
  <c r="AP7" i="61"/>
  <c r="AK7" i="61"/>
  <c r="E56" i="62"/>
  <c r="E111" i="64"/>
  <c r="E74" i="64"/>
  <c r="D119" i="64"/>
  <c r="D114" i="64"/>
  <c r="D115" i="64"/>
  <c r="D116" i="64"/>
  <c r="D117" i="64"/>
  <c r="D118" i="64"/>
  <c r="D113" i="64"/>
  <c r="D126" i="62"/>
  <c r="D127" i="62"/>
  <c r="D128" i="62"/>
  <c r="D129" i="62"/>
  <c r="D130" i="62"/>
  <c r="D131" i="62"/>
  <c r="D125" i="62"/>
  <c r="V111" i="70" l="1"/>
  <c r="V74" i="70"/>
  <c r="V94" i="70" s="1"/>
  <c r="W2" i="70"/>
  <c r="V53" i="70"/>
  <c r="V33" i="70"/>
  <c r="W123" i="68"/>
  <c r="W56" i="68"/>
  <c r="W35" i="68"/>
  <c r="W78" i="68"/>
  <c r="W102" i="68" s="1"/>
  <c r="X2" i="68"/>
  <c r="W74" i="69"/>
  <c r="W94" i="69" s="1"/>
  <c r="W111" i="69"/>
  <c r="W53" i="69"/>
  <c r="X2" i="69"/>
  <c r="W33" i="69"/>
  <c r="X123" i="67"/>
  <c r="X78" i="67"/>
  <c r="X102" i="67" s="1"/>
  <c r="X56" i="67"/>
  <c r="X35" i="67"/>
  <c r="Y2" i="67"/>
  <c r="BD7" i="64"/>
  <c r="BD7" i="70" s="1"/>
  <c r="BC7" i="64"/>
  <c r="BC7" i="70" s="1"/>
  <c r="BB7" i="64"/>
  <c r="BB7" i="70" s="1"/>
  <c r="BA7" i="64"/>
  <c r="BA7" i="70" s="1"/>
  <c r="AZ7" i="64"/>
  <c r="AZ7" i="70" s="1"/>
  <c r="AY7" i="64"/>
  <c r="AY7" i="70" s="1"/>
  <c r="AX7" i="64"/>
  <c r="AX7" i="70" s="1"/>
  <c r="AW7" i="64"/>
  <c r="AW7" i="70" s="1"/>
  <c r="AV7" i="64"/>
  <c r="AV7" i="70" s="1"/>
  <c r="AU7" i="64"/>
  <c r="AU7" i="70" s="1"/>
  <c r="AT7" i="64"/>
  <c r="AT7" i="70" s="1"/>
  <c r="AS7" i="64"/>
  <c r="AS7" i="70" s="1"/>
  <c r="AR7" i="64"/>
  <c r="AR7" i="70" s="1"/>
  <c r="AQ7" i="64"/>
  <c r="AQ7" i="70" s="1"/>
  <c r="AP7" i="64"/>
  <c r="AP7" i="70" s="1"/>
  <c r="AO7" i="64"/>
  <c r="AO7" i="70" s="1"/>
  <c r="AN7" i="64"/>
  <c r="AN7" i="70" s="1"/>
  <c r="AM7" i="64"/>
  <c r="AM7" i="70" s="1"/>
  <c r="AL7" i="64"/>
  <c r="AL7" i="70" s="1"/>
  <c r="AK7" i="64"/>
  <c r="AK7" i="70" s="1"/>
  <c r="AJ7" i="64"/>
  <c r="AJ7" i="70" s="1"/>
  <c r="AI7" i="64"/>
  <c r="AI7" i="70" s="1"/>
  <c r="AH7" i="64"/>
  <c r="AH7" i="70" s="1"/>
  <c r="AG7" i="64"/>
  <c r="AG7" i="70" s="1"/>
  <c r="AF7" i="64"/>
  <c r="AF7" i="70" s="1"/>
  <c r="AE7" i="64"/>
  <c r="AE7" i="70" s="1"/>
  <c r="AD7" i="64"/>
  <c r="AD7" i="70" s="1"/>
  <c r="AC7" i="64"/>
  <c r="AC7" i="70" s="1"/>
  <c r="AB7" i="64"/>
  <c r="AB7" i="70" s="1"/>
  <c r="AA7" i="64"/>
  <c r="AA7" i="70" s="1"/>
  <c r="Z7" i="64"/>
  <c r="Z7" i="70" s="1"/>
  <c r="Y7" i="64"/>
  <c r="Y7" i="70" s="1"/>
  <c r="X7" i="64"/>
  <c r="X7" i="70" s="1"/>
  <c r="W7" i="64"/>
  <c r="W7" i="70" s="1"/>
  <c r="V7" i="64"/>
  <c r="V7" i="70" s="1"/>
  <c r="U7" i="64"/>
  <c r="U7" i="70" s="1"/>
  <c r="T7" i="64"/>
  <c r="S7" i="64"/>
  <c r="R7" i="64"/>
  <c r="Q7" i="64"/>
  <c r="P7" i="64"/>
  <c r="O7" i="64"/>
  <c r="N7" i="64"/>
  <c r="M7" i="64"/>
  <c r="Q9" i="60"/>
  <c r="BD68" i="64"/>
  <c r="BD71" i="64" s="1"/>
  <c r="BC68" i="64"/>
  <c r="BC71" i="64" s="1"/>
  <c r="AZ68" i="64"/>
  <c r="AZ71" i="64" s="1"/>
  <c r="AX68" i="64"/>
  <c r="AX71" i="64" s="1"/>
  <c r="AW68" i="64"/>
  <c r="AW71" i="64" s="1"/>
  <c r="AV68" i="64"/>
  <c r="AV71" i="64" s="1"/>
  <c r="AU68" i="64"/>
  <c r="AU71" i="64" s="1"/>
  <c r="AR68" i="64"/>
  <c r="AR71" i="64" s="1"/>
  <c r="AQ68" i="64"/>
  <c r="AQ71" i="64" s="1"/>
  <c r="AP68" i="64"/>
  <c r="AP71" i="64" s="1"/>
  <c r="AO68" i="64"/>
  <c r="AO71" i="64" s="1"/>
  <c r="AN68" i="64"/>
  <c r="AN71" i="64" s="1"/>
  <c r="AM68" i="64"/>
  <c r="AM71" i="64" s="1"/>
  <c r="AJ68" i="64"/>
  <c r="AJ71" i="64" s="1"/>
  <c r="AI68" i="64"/>
  <c r="AI71" i="64" s="1"/>
  <c r="AH68" i="64"/>
  <c r="AH71" i="64" s="1"/>
  <c r="AG68" i="64"/>
  <c r="AG71" i="64" s="1"/>
  <c r="AF68" i="64"/>
  <c r="AF71" i="64" s="1"/>
  <c r="AE68" i="64"/>
  <c r="AE71" i="64" s="1"/>
  <c r="AB68" i="64"/>
  <c r="AB71" i="64" s="1"/>
  <c r="AA68" i="64"/>
  <c r="AA71" i="64" s="1"/>
  <c r="Z68" i="64"/>
  <c r="Z71" i="64" s="1"/>
  <c r="Y68" i="64"/>
  <c r="Y71" i="64" s="1"/>
  <c r="X68" i="64"/>
  <c r="X71" i="64" s="1"/>
  <c r="W68" i="64"/>
  <c r="W71" i="64" s="1"/>
  <c r="T68" i="64"/>
  <c r="T71" i="64" s="1"/>
  <c r="S68" i="64"/>
  <c r="S71" i="64" s="1"/>
  <c r="R68" i="64"/>
  <c r="R71" i="64" s="1"/>
  <c r="Q68" i="64"/>
  <c r="Q71" i="64" s="1"/>
  <c r="O68" i="64"/>
  <c r="O71" i="64" s="1"/>
  <c r="L68" i="64"/>
  <c r="L71" i="64" s="1"/>
  <c r="I68" i="64"/>
  <c r="I71" i="64" s="1"/>
  <c r="BB68" i="64"/>
  <c r="BB71" i="64" s="1"/>
  <c r="BA68" i="64"/>
  <c r="BA71" i="64" s="1"/>
  <c r="AY68" i="64"/>
  <c r="AY71" i="64" s="1"/>
  <c r="AT68" i="64"/>
  <c r="AT71" i="64" s="1"/>
  <c r="AS68" i="64"/>
  <c r="AS71" i="64" s="1"/>
  <c r="AL68" i="64"/>
  <c r="AL71" i="64" s="1"/>
  <c r="AK68" i="64"/>
  <c r="AK71" i="64" s="1"/>
  <c r="AD68" i="64"/>
  <c r="AD71" i="64" s="1"/>
  <c r="AC68" i="64"/>
  <c r="AC71" i="64" s="1"/>
  <c r="V68" i="64"/>
  <c r="V71" i="64" s="1"/>
  <c r="U68" i="64"/>
  <c r="U71" i="64" s="1"/>
  <c r="P68" i="64"/>
  <c r="P71" i="64" s="1"/>
  <c r="N68" i="64"/>
  <c r="N71" i="64" s="1"/>
  <c r="M68" i="64"/>
  <c r="M71" i="64" s="1"/>
  <c r="BD59" i="64"/>
  <c r="BD59" i="70" s="1"/>
  <c r="BD72" i="70" s="1"/>
  <c r="BC59" i="64"/>
  <c r="BC59" i="70" s="1"/>
  <c r="BC72" i="70" s="1"/>
  <c r="BB59" i="64"/>
  <c r="BB59" i="70" s="1"/>
  <c r="BB72" i="70" s="1"/>
  <c r="BA59" i="64"/>
  <c r="BA59" i="70" s="1"/>
  <c r="BA72" i="70" s="1"/>
  <c r="AZ59" i="64"/>
  <c r="AZ59" i="70" s="1"/>
  <c r="AZ72" i="70" s="1"/>
  <c r="AY59" i="64"/>
  <c r="AY59" i="70" s="1"/>
  <c r="AY72" i="70" s="1"/>
  <c r="AX59" i="64"/>
  <c r="AX59" i="70" s="1"/>
  <c r="AX72" i="70" s="1"/>
  <c r="AW59" i="64"/>
  <c r="AW59" i="70" s="1"/>
  <c r="AW72" i="70" s="1"/>
  <c r="AV59" i="64"/>
  <c r="AV59" i="70" s="1"/>
  <c r="AV72" i="70" s="1"/>
  <c r="AU59" i="64"/>
  <c r="AU59" i="70" s="1"/>
  <c r="AU72" i="70" s="1"/>
  <c r="AT59" i="64"/>
  <c r="AT59" i="70" s="1"/>
  <c r="AT72" i="70" s="1"/>
  <c r="AS59" i="64"/>
  <c r="AS59" i="70" s="1"/>
  <c r="AS72" i="70" s="1"/>
  <c r="AR59" i="64"/>
  <c r="AR59" i="70" s="1"/>
  <c r="AR72" i="70" s="1"/>
  <c r="AQ59" i="64"/>
  <c r="AQ59" i="70" s="1"/>
  <c r="AQ72" i="70" s="1"/>
  <c r="AP59" i="64"/>
  <c r="AP59" i="70" s="1"/>
  <c r="AP72" i="70" s="1"/>
  <c r="AO59" i="64"/>
  <c r="AO59" i="70" s="1"/>
  <c r="AO72" i="70" s="1"/>
  <c r="AN59" i="64"/>
  <c r="AN59" i="70" s="1"/>
  <c r="AN72" i="70" s="1"/>
  <c r="AM59" i="64"/>
  <c r="AM59" i="70" s="1"/>
  <c r="AM72" i="70" s="1"/>
  <c r="AL59" i="64"/>
  <c r="AL59" i="70" s="1"/>
  <c r="AL72" i="70" s="1"/>
  <c r="AK59" i="64"/>
  <c r="AK59" i="70" s="1"/>
  <c r="AK72" i="70" s="1"/>
  <c r="AJ59" i="64"/>
  <c r="AJ59" i="70" s="1"/>
  <c r="AJ72" i="70" s="1"/>
  <c r="AI59" i="64"/>
  <c r="AI59" i="70" s="1"/>
  <c r="AI72" i="70" s="1"/>
  <c r="AH59" i="64"/>
  <c r="AH59" i="70" s="1"/>
  <c r="AH72" i="70" s="1"/>
  <c r="AG59" i="64"/>
  <c r="AG59" i="70" s="1"/>
  <c r="AG72" i="70" s="1"/>
  <c r="AF59" i="64"/>
  <c r="AF59" i="70" s="1"/>
  <c r="AF72" i="70" s="1"/>
  <c r="AE59" i="64"/>
  <c r="AE59" i="70" s="1"/>
  <c r="AE72" i="70" s="1"/>
  <c r="AD59" i="64"/>
  <c r="AD59" i="70" s="1"/>
  <c r="AD72" i="70" s="1"/>
  <c r="AC59" i="64"/>
  <c r="AC59" i="70" s="1"/>
  <c r="AC72" i="70" s="1"/>
  <c r="AB59" i="64"/>
  <c r="AB59" i="70" s="1"/>
  <c r="AB72" i="70" s="1"/>
  <c r="AA59" i="64"/>
  <c r="AA59" i="70" s="1"/>
  <c r="AA72" i="70" s="1"/>
  <c r="Z59" i="64"/>
  <c r="Z59" i="70" s="1"/>
  <c r="Z72" i="70" s="1"/>
  <c r="Y59" i="64"/>
  <c r="Y59" i="70" s="1"/>
  <c r="Y72" i="70" s="1"/>
  <c r="X59" i="64"/>
  <c r="X59" i="70" s="1"/>
  <c r="X72" i="70" s="1"/>
  <c r="W59" i="64"/>
  <c r="W59" i="70" s="1"/>
  <c r="W72" i="70" s="1"/>
  <c r="V59" i="64"/>
  <c r="V59" i="70" s="1"/>
  <c r="V72" i="70" s="1"/>
  <c r="U59" i="64"/>
  <c r="U59" i="70" s="1"/>
  <c r="U72" i="70" s="1"/>
  <c r="T59" i="64"/>
  <c r="S59" i="64"/>
  <c r="R59" i="64"/>
  <c r="Q59" i="64"/>
  <c r="P59" i="64"/>
  <c r="O59" i="64"/>
  <c r="N59" i="64"/>
  <c r="M59" i="64"/>
  <c r="BD47" i="64"/>
  <c r="BD50" i="64" s="1"/>
  <c r="BB47" i="64"/>
  <c r="BB50" i="64" s="1"/>
  <c r="BA47" i="64"/>
  <c r="BA50" i="64" s="1"/>
  <c r="AZ47" i="64"/>
  <c r="AZ50" i="64" s="1"/>
  <c r="AW47" i="64"/>
  <c r="AW50" i="64" s="1"/>
  <c r="AU47" i="64"/>
  <c r="AU50" i="64" s="1"/>
  <c r="AT47" i="64"/>
  <c r="AT50" i="64" s="1"/>
  <c r="AS47" i="64"/>
  <c r="AS50" i="64" s="1"/>
  <c r="AR47" i="64"/>
  <c r="AR50" i="64" s="1"/>
  <c r="AQ47" i="64"/>
  <c r="AQ50" i="64" s="1"/>
  <c r="AO47" i="64"/>
  <c r="AO50" i="64" s="1"/>
  <c r="AN47" i="64"/>
  <c r="AN50" i="64" s="1"/>
  <c r="AK47" i="64"/>
  <c r="AK50" i="64" s="1"/>
  <c r="AJ47" i="64"/>
  <c r="AJ50" i="64" s="1"/>
  <c r="AH47" i="64"/>
  <c r="AH50" i="64" s="1"/>
  <c r="AG47" i="64"/>
  <c r="AG50" i="64" s="1"/>
  <c r="AD47" i="64"/>
  <c r="AD50" i="64" s="1"/>
  <c r="AC47" i="64"/>
  <c r="AC50" i="64" s="1"/>
  <c r="AB47" i="64"/>
  <c r="AB50" i="64" s="1"/>
  <c r="Z47" i="64"/>
  <c r="Z50" i="64" s="1"/>
  <c r="Y47" i="64"/>
  <c r="Y50" i="64" s="1"/>
  <c r="X47" i="64"/>
  <c r="X50" i="64" s="1"/>
  <c r="V47" i="64"/>
  <c r="V50" i="64" s="1"/>
  <c r="U47" i="64"/>
  <c r="U50" i="64" s="1"/>
  <c r="T47" i="64"/>
  <c r="T50" i="64" s="1"/>
  <c r="Q47" i="64"/>
  <c r="Q50" i="64" s="1"/>
  <c r="P47" i="64"/>
  <c r="P50" i="64" s="1"/>
  <c r="N47" i="64"/>
  <c r="N50" i="64" s="1"/>
  <c r="M47" i="64"/>
  <c r="M50" i="64" s="1"/>
  <c r="BC47" i="64"/>
  <c r="BC50" i="64" s="1"/>
  <c r="AY47" i="64"/>
  <c r="AY50" i="64" s="1"/>
  <c r="AX47" i="64"/>
  <c r="AX50" i="64" s="1"/>
  <c r="AV47" i="64"/>
  <c r="AV50" i="64" s="1"/>
  <c r="AP47" i="64"/>
  <c r="AP50" i="64" s="1"/>
  <c r="AM47" i="64"/>
  <c r="AM50" i="64" s="1"/>
  <c r="AL47" i="64"/>
  <c r="AL50" i="64" s="1"/>
  <c r="AI47" i="64"/>
  <c r="AI50" i="64" s="1"/>
  <c r="AF47" i="64"/>
  <c r="AF50" i="64" s="1"/>
  <c r="AE47" i="64"/>
  <c r="AE50" i="64" s="1"/>
  <c r="AA47" i="64"/>
  <c r="AA50" i="64" s="1"/>
  <c r="W47" i="64"/>
  <c r="W50" i="64" s="1"/>
  <c r="S47" i="64"/>
  <c r="S50" i="64" s="1"/>
  <c r="R47" i="64"/>
  <c r="R50" i="64" s="1"/>
  <c r="O47" i="64"/>
  <c r="O50" i="64" s="1"/>
  <c r="BD38" i="64"/>
  <c r="BD38" i="70" s="1"/>
  <c r="BD51" i="70" s="1"/>
  <c r="BC38" i="64"/>
  <c r="BC38" i="70" s="1"/>
  <c r="BC51" i="70" s="1"/>
  <c r="BB38" i="64"/>
  <c r="BB38" i="70" s="1"/>
  <c r="BB51" i="70" s="1"/>
  <c r="BA38" i="64"/>
  <c r="BA38" i="70" s="1"/>
  <c r="BA51" i="70" s="1"/>
  <c r="AZ38" i="64"/>
  <c r="AZ38" i="70" s="1"/>
  <c r="AZ51" i="70" s="1"/>
  <c r="AY38" i="64"/>
  <c r="AY38" i="70" s="1"/>
  <c r="AY51" i="70" s="1"/>
  <c r="AX38" i="64"/>
  <c r="AX38" i="70" s="1"/>
  <c r="AX51" i="70" s="1"/>
  <c r="AW38" i="64"/>
  <c r="AW38" i="70" s="1"/>
  <c r="AW51" i="70" s="1"/>
  <c r="AV38" i="64"/>
  <c r="AV38" i="70" s="1"/>
  <c r="AV51" i="70" s="1"/>
  <c r="AU38" i="64"/>
  <c r="AU38" i="70" s="1"/>
  <c r="AU51" i="70" s="1"/>
  <c r="AT38" i="64"/>
  <c r="AT38" i="70" s="1"/>
  <c r="AT51" i="70" s="1"/>
  <c r="AS38" i="64"/>
  <c r="AS38" i="70" s="1"/>
  <c r="AS51" i="70" s="1"/>
  <c r="AR38" i="64"/>
  <c r="AR38" i="70" s="1"/>
  <c r="AR51" i="70" s="1"/>
  <c r="AQ38" i="64"/>
  <c r="AQ38" i="70" s="1"/>
  <c r="AQ51" i="70" s="1"/>
  <c r="AP38" i="64"/>
  <c r="AP38" i="70" s="1"/>
  <c r="AP51" i="70" s="1"/>
  <c r="AO38" i="64"/>
  <c r="AO38" i="70" s="1"/>
  <c r="AO51" i="70" s="1"/>
  <c r="AN38" i="64"/>
  <c r="AN38" i="70" s="1"/>
  <c r="AN51" i="70" s="1"/>
  <c r="AM38" i="64"/>
  <c r="AM38" i="70" s="1"/>
  <c r="AM51" i="70" s="1"/>
  <c r="AL38" i="64"/>
  <c r="AL38" i="70" s="1"/>
  <c r="AL51" i="70" s="1"/>
  <c r="AK38" i="64"/>
  <c r="AK38" i="70" s="1"/>
  <c r="AK51" i="70" s="1"/>
  <c r="AJ38" i="64"/>
  <c r="AJ38" i="70" s="1"/>
  <c r="AJ51" i="70" s="1"/>
  <c r="AI38" i="64"/>
  <c r="AI38" i="70" s="1"/>
  <c r="AI51" i="70" s="1"/>
  <c r="AH38" i="64"/>
  <c r="AH38" i="70" s="1"/>
  <c r="AH51" i="70" s="1"/>
  <c r="AG38" i="64"/>
  <c r="AG38" i="70" s="1"/>
  <c r="AG51" i="70" s="1"/>
  <c r="AF38" i="64"/>
  <c r="AF38" i="70" s="1"/>
  <c r="AF51" i="70" s="1"/>
  <c r="AE38" i="64"/>
  <c r="AE38" i="70" s="1"/>
  <c r="AE51" i="70" s="1"/>
  <c r="AD38" i="64"/>
  <c r="AD38" i="70" s="1"/>
  <c r="AD51" i="70" s="1"/>
  <c r="AC38" i="64"/>
  <c r="AC38" i="70" s="1"/>
  <c r="AC51" i="70" s="1"/>
  <c r="AB38" i="64"/>
  <c r="AB38" i="70" s="1"/>
  <c r="AB51" i="70" s="1"/>
  <c r="AA38" i="64"/>
  <c r="AA38" i="70" s="1"/>
  <c r="AA51" i="70" s="1"/>
  <c r="Z38" i="64"/>
  <c r="Z38" i="70" s="1"/>
  <c r="Z51" i="70" s="1"/>
  <c r="Y38" i="64"/>
  <c r="Y38" i="70" s="1"/>
  <c r="Y51" i="70" s="1"/>
  <c r="X38" i="64"/>
  <c r="X38" i="70" s="1"/>
  <c r="X51" i="70" s="1"/>
  <c r="W38" i="64"/>
  <c r="W38" i="70" s="1"/>
  <c r="W51" i="70" s="1"/>
  <c r="V38" i="64"/>
  <c r="V38" i="70" s="1"/>
  <c r="V51" i="70" s="1"/>
  <c r="U38" i="64"/>
  <c r="U38" i="70" s="1"/>
  <c r="U51" i="70" s="1"/>
  <c r="T38" i="64"/>
  <c r="S38" i="64"/>
  <c r="R38" i="64"/>
  <c r="Q38" i="64"/>
  <c r="P38" i="64"/>
  <c r="O38" i="64"/>
  <c r="N38" i="64"/>
  <c r="M38" i="64"/>
  <c r="BD31" i="64"/>
  <c r="BC31" i="64"/>
  <c r="BB31" i="64"/>
  <c r="BA31" i="64"/>
  <c r="AZ31" i="64"/>
  <c r="AY31" i="64"/>
  <c r="AX31" i="64"/>
  <c r="AW31" i="64"/>
  <c r="AV31" i="64"/>
  <c r="AU31" i="64"/>
  <c r="AT31" i="64"/>
  <c r="AS31" i="64"/>
  <c r="AR31" i="64"/>
  <c r="AQ31" i="64"/>
  <c r="AP31" i="64"/>
  <c r="AO31" i="64"/>
  <c r="AN31" i="64"/>
  <c r="AM31" i="64"/>
  <c r="AL31" i="64"/>
  <c r="AK31" i="64"/>
  <c r="AJ31" i="64"/>
  <c r="AI31" i="64"/>
  <c r="AH31" i="64"/>
  <c r="AG31" i="64"/>
  <c r="AF31" i="64"/>
  <c r="AE31" i="64"/>
  <c r="AD31" i="64"/>
  <c r="AC31" i="64"/>
  <c r="AB31" i="64"/>
  <c r="AA31" i="64"/>
  <c r="Z31" i="64"/>
  <c r="Y31" i="64"/>
  <c r="X31" i="64"/>
  <c r="W31" i="64"/>
  <c r="V31" i="64"/>
  <c r="U31" i="64"/>
  <c r="T31" i="64"/>
  <c r="S31" i="64"/>
  <c r="R31" i="64"/>
  <c r="Q31" i="64"/>
  <c r="P31" i="64"/>
  <c r="O31" i="64"/>
  <c r="N31" i="64"/>
  <c r="M31" i="64"/>
  <c r="BB25" i="64"/>
  <c r="AX25" i="64"/>
  <c r="AT25" i="64"/>
  <c r="AP25" i="64"/>
  <c r="AL25" i="64"/>
  <c r="AD25" i="64"/>
  <c r="AA25" i="64"/>
  <c r="Z25" i="64"/>
  <c r="V25" i="64"/>
  <c r="S25" i="64"/>
  <c r="R25" i="64"/>
  <c r="N25" i="64"/>
  <c r="BD71" i="62"/>
  <c r="BD74" i="62" s="1"/>
  <c r="BC71" i="62"/>
  <c r="BC74" i="62" s="1"/>
  <c r="BB71" i="62"/>
  <c r="BB74" i="62" s="1"/>
  <c r="BA71" i="62"/>
  <c r="BA74" i="62" s="1"/>
  <c r="AZ71" i="62"/>
  <c r="AZ74" i="62" s="1"/>
  <c r="AY71" i="62"/>
  <c r="AY74" i="62" s="1"/>
  <c r="AX71" i="62"/>
  <c r="AX74" i="62" s="1"/>
  <c r="AW71" i="62"/>
  <c r="AW74" i="62" s="1"/>
  <c r="AV71" i="62"/>
  <c r="AV74" i="62" s="1"/>
  <c r="AU71" i="62"/>
  <c r="AU74" i="62" s="1"/>
  <c r="AT71" i="62"/>
  <c r="AT74" i="62" s="1"/>
  <c r="AS71" i="62"/>
  <c r="AS74" i="62" s="1"/>
  <c r="AR71" i="62"/>
  <c r="AR74" i="62" s="1"/>
  <c r="AQ71" i="62"/>
  <c r="AQ74" i="62" s="1"/>
  <c r="AP71" i="62"/>
  <c r="AP74" i="62" s="1"/>
  <c r="AO71" i="62"/>
  <c r="AO74" i="62" s="1"/>
  <c r="AN71" i="62"/>
  <c r="AN74" i="62" s="1"/>
  <c r="AM71" i="62"/>
  <c r="AM74" i="62" s="1"/>
  <c r="AL71" i="62"/>
  <c r="AL74" i="62" s="1"/>
  <c r="AK71" i="62"/>
  <c r="AK74" i="62" s="1"/>
  <c r="AJ71" i="62"/>
  <c r="AJ74" i="62" s="1"/>
  <c r="AI71" i="62"/>
  <c r="AI74" i="62" s="1"/>
  <c r="AH71" i="62"/>
  <c r="AH74" i="62" s="1"/>
  <c r="AG71" i="62"/>
  <c r="AG74" i="62" s="1"/>
  <c r="AF71" i="62"/>
  <c r="AF74" i="62" s="1"/>
  <c r="AE71" i="62"/>
  <c r="AE74" i="62" s="1"/>
  <c r="AD71" i="62"/>
  <c r="AD74" i="62" s="1"/>
  <c r="AC71" i="62"/>
  <c r="AC74" i="62" s="1"/>
  <c r="AB71" i="62"/>
  <c r="AB74" i="62" s="1"/>
  <c r="AA71" i="62"/>
  <c r="AA74" i="62" s="1"/>
  <c r="Z71" i="62"/>
  <c r="Z74" i="62" s="1"/>
  <c r="Y71" i="62"/>
  <c r="Y74" i="62" s="1"/>
  <c r="X71" i="62"/>
  <c r="X74" i="62" s="1"/>
  <c r="W71" i="62"/>
  <c r="W74" i="62" s="1"/>
  <c r="V71" i="62"/>
  <c r="V74" i="62" s="1"/>
  <c r="U71" i="62"/>
  <c r="U74" i="62" s="1"/>
  <c r="T71" i="62"/>
  <c r="T74" i="62" s="1"/>
  <c r="S71" i="62"/>
  <c r="S74" i="62" s="1"/>
  <c r="R71" i="62"/>
  <c r="R74" i="62" s="1"/>
  <c r="Q71" i="62"/>
  <c r="Q74" i="62" s="1"/>
  <c r="P71" i="62"/>
  <c r="P74" i="62" s="1"/>
  <c r="O71" i="62"/>
  <c r="O74" i="62" s="1"/>
  <c r="N71" i="62"/>
  <c r="N74" i="62" s="1"/>
  <c r="M71" i="62"/>
  <c r="M74" i="62" s="1"/>
  <c r="BD62" i="62"/>
  <c r="BD62" i="68" s="1"/>
  <c r="BC62" i="62"/>
  <c r="BC62" i="68" s="1"/>
  <c r="BB62" i="62"/>
  <c r="BB62" i="68" s="1"/>
  <c r="BA62" i="62"/>
  <c r="BA62" i="68" s="1"/>
  <c r="AZ62" i="62"/>
  <c r="AZ62" i="68" s="1"/>
  <c r="AY62" i="62"/>
  <c r="AY62" i="68" s="1"/>
  <c r="AX62" i="62"/>
  <c r="AX62" i="68" s="1"/>
  <c r="AW62" i="62"/>
  <c r="AW62" i="68" s="1"/>
  <c r="AV62" i="62"/>
  <c r="AV62" i="68" s="1"/>
  <c r="AU62" i="62"/>
  <c r="AU62" i="68" s="1"/>
  <c r="AT62" i="62"/>
  <c r="AT62" i="68" s="1"/>
  <c r="AS62" i="62"/>
  <c r="AS62" i="68" s="1"/>
  <c r="AR62" i="62"/>
  <c r="AR62" i="68" s="1"/>
  <c r="AQ62" i="62"/>
  <c r="AQ62" i="68" s="1"/>
  <c r="AP62" i="62"/>
  <c r="AP62" i="68" s="1"/>
  <c r="AO62" i="62"/>
  <c r="AO62" i="68" s="1"/>
  <c r="AN62" i="62"/>
  <c r="AN62" i="68" s="1"/>
  <c r="AM62" i="62"/>
  <c r="AM62" i="68" s="1"/>
  <c r="AL62" i="62"/>
  <c r="AL62" i="68" s="1"/>
  <c r="AK62" i="62"/>
  <c r="AK62" i="68" s="1"/>
  <c r="AJ62" i="62"/>
  <c r="AJ62" i="68" s="1"/>
  <c r="AI62" i="62"/>
  <c r="AI62" i="68" s="1"/>
  <c r="AH62" i="62"/>
  <c r="AH62" i="68" s="1"/>
  <c r="AG62" i="62"/>
  <c r="AG62" i="68" s="1"/>
  <c r="AF62" i="62"/>
  <c r="AF62" i="68" s="1"/>
  <c r="AE62" i="62"/>
  <c r="AE62" i="68" s="1"/>
  <c r="AD62" i="62"/>
  <c r="AD62" i="68" s="1"/>
  <c r="AC62" i="62"/>
  <c r="AC62" i="68" s="1"/>
  <c r="AB62" i="62"/>
  <c r="AB62" i="68" s="1"/>
  <c r="AA62" i="62"/>
  <c r="AA62" i="68" s="1"/>
  <c r="Z62" i="62"/>
  <c r="Z62" i="68" s="1"/>
  <c r="Y62" i="62"/>
  <c r="Y62" i="68" s="1"/>
  <c r="X62" i="62"/>
  <c r="X62" i="68" s="1"/>
  <c r="W62" i="62"/>
  <c r="W62" i="68" s="1"/>
  <c r="V62" i="62"/>
  <c r="V62" i="68" s="1"/>
  <c r="U62" i="62"/>
  <c r="U62" i="68" s="1"/>
  <c r="T62" i="62"/>
  <c r="T62" i="68" s="1"/>
  <c r="S62" i="62"/>
  <c r="S62" i="68" s="1"/>
  <c r="R62" i="62"/>
  <c r="R62" i="68" s="1"/>
  <c r="Q62" i="62"/>
  <c r="Q62" i="68" s="1"/>
  <c r="P62" i="62"/>
  <c r="P62" i="68" s="1"/>
  <c r="O62" i="62"/>
  <c r="O62" i="68" s="1"/>
  <c r="N62" i="62"/>
  <c r="N62" i="68" s="1"/>
  <c r="M62" i="62"/>
  <c r="M62" i="68" s="1"/>
  <c r="L62" i="62"/>
  <c r="L62" i="68" s="1"/>
  <c r="K62" i="62"/>
  <c r="K62" i="68" s="1"/>
  <c r="BD40" i="62"/>
  <c r="BD40" i="68" s="1"/>
  <c r="BC40" i="62"/>
  <c r="BC40" i="68" s="1"/>
  <c r="BC4" i="71" s="1"/>
  <c r="BB40" i="62"/>
  <c r="BB40" i="68" s="1"/>
  <c r="BB4" i="71" s="1"/>
  <c r="BA40" i="62"/>
  <c r="BA40" i="68" s="1"/>
  <c r="AZ40" i="62"/>
  <c r="AZ40" i="68" s="1"/>
  <c r="AY40" i="62"/>
  <c r="AY40" i="68" s="1"/>
  <c r="AY4" i="71" s="1"/>
  <c r="AX40" i="62"/>
  <c r="AX40" i="68" s="1"/>
  <c r="AX4" i="71" s="1"/>
  <c r="AW40" i="62"/>
  <c r="AW40" i="68" s="1"/>
  <c r="AV40" i="62"/>
  <c r="AV40" i="68" s="1"/>
  <c r="AU40" i="62"/>
  <c r="AU40" i="68" s="1"/>
  <c r="AU4" i="71" s="1"/>
  <c r="AT40" i="62"/>
  <c r="AT40" i="68" s="1"/>
  <c r="AT4" i="71" s="1"/>
  <c r="AS40" i="62"/>
  <c r="AS40" i="68" s="1"/>
  <c r="AR40" i="62"/>
  <c r="AR40" i="68" s="1"/>
  <c r="AQ40" i="62"/>
  <c r="AQ40" i="68" s="1"/>
  <c r="AQ4" i="71" s="1"/>
  <c r="AP40" i="62"/>
  <c r="AP40" i="68" s="1"/>
  <c r="AP4" i="71" s="1"/>
  <c r="AO40" i="62"/>
  <c r="AO40" i="68" s="1"/>
  <c r="AN40" i="62"/>
  <c r="AN40" i="68" s="1"/>
  <c r="AM40" i="62"/>
  <c r="AM40" i="68" s="1"/>
  <c r="AM4" i="71" s="1"/>
  <c r="AL40" i="62"/>
  <c r="AL40" i="68" s="1"/>
  <c r="AL4" i="71" s="1"/>
  <c r="AK40" i="62"/>
  <c r="AK40" i="68" s="1"/>
  <c r="AJ40" i="62"/>
  <c r="AJ40" i="68" s="1"/>
  <c r="AI40" i="62"/>
  <c r="AI40" i="68" s="1"/>
  <c r="AI4" i="71" s="1"/>
  <c r="AH40" i="62"/>
  <c r="AH40" i="68" s="1"/>
  <c r="AG40" i="62"/>
  <c r="AG40" i="68" s="1"/>
  <c r="AF40" i="62"/>
  <c r="AF40" i="68" s="1"/>
  <c r="AE40" i="62"/>
  <c r="AE40" i="68" s="1"/>
  <c r="AE4" i="71" s="1"/>
  <c r="AD40" i="62"/>
  <c r="AD40" i="68" s="1"/>
  <c r="AD4" i="71" s="1"/>
  <c r="AC40" i="62"/>
  <c r="AC40" i="68" s="1"/>
  <c r="AB40" i="62"/>
  <c r="AB40" i="68" s="1"/>
  <c r="AA40" i="62"/>
  <c r="AA40" i="68" s="1"/>
  <c r="AA4" i="71" s="1"/>
  <c r="Z40" i="62"/>
  <c r="Z40" i="68" s="1"/>
  <c r="Y40" i="62"/>
  <c r="Y40" i="68" s="1"/>
  <c r="X40" i="62"/>
  <c r="X40" i="68" s="1"/>
  <c r="W40" i="62"/>
  <c r="W40" i="68" s="1"/>
  <c r="W4" i="71" s="1"/>
  <c r="V40" i="62"/>
  <c r="V40" i="68" s="1"/>
  <c r="V4" i="71" s="1"/>
  <c r="U40" i="62"/>
  <c r="U40" i="68" s="1"/>
  <c r="T40" i="62"/>
  <c r="T40" i="68" s="1"/>
  <c r="T4" i="71" s="1"/>
  <c r="S40" i="62"/>
  <c r="S40" i="68" s="1"/>
  <c r="S4" i="71" s="1"/>
  <c r="R40" i="62"/>
  <c r="R40" i="68" s="1"/>
  <c r="R4" i="71" s="1"/>
  <c r="Q40" i="62"/>
  <c r="Q40" i="68" s="1"/>
  <c r="Q4" i="71" s="1"/>
  <c r="P40" i="62"/>
  <c r="P40" i="68" s="1"/>
  <c r="P4" i="71" s="1"/>
  <c r="O40" i="62"/>
  <c r="O40" i="68" s="1"/>
  <c r="O4" i="71" s="1"/>
  <c r="N40" i="62"/>
  <c r="N40" i="68" s="1"/>
  <c r="N4" i="71" s="1"/>
  <c r="M40" i="62"/>
  <c r="M40" i="68" s="1"/>
  <c r="M4" i="71" s="1"/>
  <c r="BD49" i="62"/>
  <c r="BD52" i="62" s="1"/>
  <c r="BC49" i="62"/>
  <c r="BC52" i="62" s="1"/>
  <c r="BB49" i="62"/>
  <c r="BB52" i="62" s="1"/>
  <c r="BA49" i="62"/>
  <c r="BA52" i="62" s="1"/>
  <c r="AZ49" i="62"/>
  <c r="AZ52" i="62" s="1"/>
  <c r="AY49" i="62"/>
  <c r="AY52" i="62" s="1"/>
  <c r="AX49" i="62"/>
  <c r="AX52" i="62" s="1"/>
  <c r="AW49" i="62"/>
  <c r="AW52" i="62" s="1"/>
  <c r="AV49" i="62"/>
  <c r="AV52" i="62" s="1"/>
  <c r="AU49" i="62"/>
  <c r="AU52" i="62" s="1"/>
  <c r="AT49" i="62"/>
  <c r="AT52" i="62" s="1"/>
  <c r="AS49" i="62"/>
  <c r="AS52" i="62" s="1"/>
  <c r="AR49" i="62"/>
  <c r="AR52" i="62" s="1"/>
  <c r="AQ49" i="62"/>
  <c r="AQ52" i="62" s="1"/>
  <c r="AP49" i="62"/>
  <c r="AP52" i="62" s="1"/>
  <c r="AO49" i="62"/>
  <c r="AO52" i="62" s="1"/>
  <c r="AN49" i="62"/>
  <c r="AN52" i="62" s="1"/>
  <c r="AM49" i="62"/>
  <c r="AM52" i="62" s="1"/>
  <c r="AL49" i="62"/>
  <c r="AL52" i="62" s="1"/>
  <c r="AK49" i="62"/>
  <c r="AK52" i="62" s="1"/>
  <c r="AJ49" i="62"/>
  <c r="AJ52" i="62" s="1"/>
  <c r="AI49" i="62"/>
  <c r="AI52" i="62" s="1"/>
  <c r="AH49" i="62"/>
  <c r="AH52" i="62" s="1"/>
  <c r="AG49" i="62"/>
  <c r="AG52" i="62" s="1"/>
  <c r="AF49" i="62"/>
  <c r="AF52" i="62" s="1"/>
  <c r="AE49" i="62"/>
  <c r="AE52" i="62" s="1"/>
  <c r="AD49" i="62"/>
  <c r="AD52" i="62" s="1"/>
  <c r="AC49" i="62"/>
  <c r="AC52" i="62" s="1"/>
  <c r="AB49" i="62"/>
  <c r="AB52" i="62" s="1"/>
  <c r="AA49" i="62"/>
  <c r="AA52" i="62" s="1"/>
  <c r="Z49" i="62"/>
  <c r="Z52" i="62" s="1"/>
  <c r="Y49" i="62"/>
  <c r="Y52" i="62" s="1"/>
  <c r="X49" i="62"/>
  <c r="X52" i="62" s="1"/>
  <c r="W49" i="62"/>
  <c r="W52" i="62" s="1"/>
  <c r="V49" i="62"/>
  <c r="V52" i="62" s="1"/>
  <c r="U49" i="62"/>
  <c r="U52" i="62" s="1"/>
  <c r="T49" i="62"/>
  <c r="T52" i="62" s="1"/>
  <c r="S49" i="62"/>
  <c r="S52" i="62" s="1"/>
  <c r="R49" i="62"/>
  <c r="R52" i="62" s="1"/>
  <c r="Q49" i="62"/>
  <c r="Q52" i="62" s="1"/>
  <c r="P49" i="62"/>
  <c r="P52" i="62" s="1"/>
  <c r="O49" i="62"/>
  <c r="O52" i="62" s="1"/>
  <c r="N49" i="62"/>
  <c r="N52" i="62" s="1"/>
  <c r="M49" i="62"/>
  <c r="M52" i="62" s="1"/>
  <c r="L49" i="62"/>
  <c r="L52" i="62" s="1"/>
  <c r="K49" i="62"/>
  <c r="K52" i="62" s="1"/>
  <c r="J49" i="62"/>
  <c r="J52" i="62" s="1"/>
  <c r="I49" i="62"/>
  <c r="I52" i="62" s="1"/>
  <c r="H49" i="62"/>
  <c r="H52" i="62" s="1"/>
  <c r="G49" i="62"/>
  <c r="G52" i="62" s="1"/>
  <c r="F49" i="62"/>
  <c r="F52" i="62" s="1"/>
  <c r="BD7" i="62"/>
  <c r="BD7" i="68" s="1"/>
  <c r="BD3" i="71" s="1"/>
  <c r="BC7" i="62"/>
  <c r="BC7" i="68" s="1"/>
  <c r="BC3" i="71" s="1"/>
  <c r="BB7" i="62"/>
  <c r="BB7" i="68" s="1"/>
  <c r="BB3" i="71" s="1"/>
  <c r="BA7" i="62"/>
  <c r="BA7" i="68" s="1"/>
  <c r="BA3" i="71" s="1"/>
  <c r="AZ7" i="62"/>
  <c r="AZ7" i="68" s="1"/>
  <c r="AZ3" i="71" s="1"/>
  <c r="AY7" i="62"/>
  <c r="AY7" i="68" s="1"/>
  <c r="AY3" i="71" s="1"/>
  <c r="AX7" i="62"/>
  <c r="AX7" i="68" s="1"/>
  <c r="AX3" i="71" s="1"/>
  <c r="AW7" i="62"/>
  <c r="AW7" i="68" s="1"/>
  <c r="AW3" i="71" s="1"/>
  <c r="AV7" i="62"/>
  <c r="AV7" i="68" s="1"/>
  <c r="AV3" i="71" s="1"/>
  <c r="AU7" i="62"/>
  <c r="AU7" i="68" s="1"/>
  <c r="AU3" i="71" s="1"/>
  <c r="AT7" i="62"/>
  <c r="AT7" i="68" s="1"/>
  <c r="AT3" i="71" s="1"/>
  <c r="AS7" i="62"/>
  <c r="AS7" i="68" s="1"/>
  <c r="AS3" i="71" s="1"/>
  <c r="AR7" i="62"/>
  <c r="AR7" i="68" s="1"/>
  <c r="AR3" i="71" s="1"/>
  <c r="AQ7" i="62"/>
  <c r="AQ7" i="68" s="1"/>
  <c r="AQ3" i="71" s="1"/>
  <c r="AP7" i="62"/>
  <c r="AP7" i="68" s="1"/>
  <c r="AO7" i="62"/>
  <c r="AO7" i="68" s="1"/>
  <c r="AN7" i="62"/>
  <c r="AN7" i="68" s="1"/>
  <c r="AM7" i="62"/>
  <c r="AM7" i="68" s="1"/>
  <c r="AL7" i="62"/>
  <c r="AL7" i="68" s="1"/>
  <c r="AK7" i="62"/>
  <c r="AK7" i="68" s="1"/>
  <c r="AJ7" i="62"/>
  <c r="AJ7" i="68" s="1"/>
  <c r="AI7" i="62"/>
  <c r="AI7" i="68" s="1"/>
  <c r="AH7" i="62"/>
  <c r="AH7" i="68" s="1"/>
  <c r="AG7" i="62"/>
  <c r="AG7" i="68" s="1"/>
  <c r="AF7" i="62"/>
  <c r="AF7" i="68" s="1"/>
  <c r="AE7" i="62"/>
  <c r="AE7" i="68" s="1"/>
  <c r="AD7" i="62"/>
  <c r="AD7" i="68" s="1"/>
  <c r="AC7" i="62"/>
  <c r="AC7" i="68" s="1"/>
  <c r="AB7" i="62"/>
  <c r="AB7" i="68" s="1"/>
  <c r="AA7" i="62"/>
  <c r="AA7" i="68" s="1"/>
  <c r="Z7" i="62"/>
  <c r="Z7" i="68" s="1"/>
  <c r="Y7" i="62"/>
  <c r="Y7" i="68" s="1"/>
  <c r="X7" i="62"/>
  <c r="X7" i="68" s="1"/>
  <c r="W7" i="62"/>
  <c r="W7" i="68" s="1"/>
  <c r="V7" i="62"/>
  <c r="V7" i="68" s="1"/>
  <c r="U7" i="62"/>
  <c r="U7" i="68" s="1"/>
  <c r="T7" i="62"/>
  <c r="T7" i="68" s="1"/>
  <c r="S7" i="62"/>
  <c r="S7" i="68" s="1"/>
  <c r="R7" i="62"/>
  <c r="R7" i="68" s="1"/>
  <c r="Q7" i="62"/>
  <c r="Q7" i="68" s="1"/>
  <c r="P7" i="62"/>
  <c r="P7" i="68" s="1"/>
  <c r="O7" i="62"/>
  <c r="O7" i="68" s="1"/>
  <c r="N7" i="62"/>
  <c r="N7" i="68" s="1"/>
  <c r="M7" i="62"/>
  <c r="M7" i="68" s="1"/>
  <c r="F2" i="64"/>
  <c r="G8" i="61"/>
  <c r="H8" i="61"/>
  <c r="J68" i="64"/>
  <c r="J71" i="64" s="1"/>
  <c r="H68" i="64"/>
  <c r="H71" i="64" s="1"/>
  <c r="G68" i="64"/>
  <c r="G71" i="64" s="1"/>
  <c r="F68" i="64"/>
  <c r="F71" i="64" s="1"/>
  <c r="E68" i="64"/>
  <c r="L71" i="62"/>
  <c r="L74" i="62" s="1"/>
  <c r="K71" i="62"/>
  <c r="K74" i="62" s="1"/>
  <c r="J71" i="62"/>
  <c r="J74" i="62" s="1"/>
  <c r="I71" i="62"/>
  <c r="I74" i="62" s="1"/>
  <c r="H71" i="62"/>
  <c r="H74" i="62" s="1"/>
  <c r="G71" i="62"/>
  <c r="G74" i="62" s="1"/>
  <c r="F71" i="62"/>
  <c r="F74" i="62" s="1"/>
  <c r="K68" i="64"/>
  <c r="K71" i="64" s="1"/>
  <c r="K47" i="64"/>
  <c r="K50" i="64" s="1"/>
  <c r="J47" i="64"/>
  <c r="J50" i="64" s="1"/>
  <c r="I47" i="64"/>
  <c r="I50" i="64" s="1"/>
  <c r="H47" i="64"/>
  <c r="H50" i="64" s="1"/>
  <c r="G47" i="64"/>
  <c r="G50" i="64" s="1"/>
  <c r="F47" i="64"/>
  <c r="F50" i="64" s="1"/>
  <c r="D14" i="62"/>
  <c r="D15" i="62"/>
  <c r="D16" i="62"/>
  <c r="L31" i="64"/>
  <c r="K31" i="64"/>
  <c r="J31" i="64"/>
  <c r="I31" i="64"/>
  <c r="H31" i="64"/>
  <c r="G31" i="64"/>
  <c r="F31" i="64"/>
  <c r="E9" i="60"/>
  <c r="AZ4" i="71" l="1"/>
  <c r="U4" i="71"/>
  <c r="AC4" i="71"/>
  <c r="AK4" i="71"/>
  <c r="AS4" i="71"/>
  <c r="BA4" i="71"/>
  <c r="Z4" i="71"/>
  <c r="AH4" i="71"/>
  <c r="Y4" i="71"/>
  <c r="AG4" i="71"/>
  <c r="AO4" i="71"/>
  <c r="AW4" i="71"/>
  <c r="AB4" i="71"/>
  <c r="AJ4" i="71"/>
  <c r="AR4" i="71"/>
  <c r="X4" i="71"/>
  <c r="AF4" i="71"/>
  <c r="AN4" i="71"/>
  <c r="AV4" i="71"/>
  <c r="BD4" i="71"/>
  <c r="P75" i="68"/>
  <c r="P76" i="68" s="1"/>
  <c r="P5" i="71"/>
  <c r="X75" i="68"/>
  <c r="X76" i="68" s="1"/>
  <c r="X5" i="71"/>
  <c r="AF75" i="68"/>
  <c r="AF5" i="71"/>
  <c r="AN75" i="68"/>
  <c r="AN76" i="68" s="1"/>
  <c r="AN5" i="71"/>
  <c r="AV75" i="68"/>
  <c r="AV76" i="68" s="1"/>
  <c r="AV5" i="71"/>
  <c r="BD75" i="68"/>
  <c r="BD76" i="68" s="1"/>
  <c r="BD5" i="71"/>
  <c r="Q75" i="68"/>
  <c r="Q76" i="68" s="1"/>
  <c r="Q5" i="71"/>
  <c r="Y75" i="68"/>
  <c r="Y76" i="68" s="1"/>
  <c r="Y5" i="71"/>
  <c r="AG75" i="68"/>
  <c r="AG5" i="71"/>
  <c r="AO75" i="68"/>
  <c r="AO76" i="68" s="1"/>
  <c r="AO5" i="71"/>
  <c r="AW75" i="68"/>
  <c r="AW76" i="68" s="1"/>
  <c r="AW5" i="71"/>
  <c r="R75" i="68"/>
  <c r="R76" i="68" s="1"/>
  <c r="R5" i="71"/>
  <c r="Z75" i="68"/>
  <c r="Z76" i="68" s="1"/>
  <c r="Z5" i="71"/>
  <c r="AH75" i="68"/>
  <c r="AH76" i="68" s="1"/>
  <c r="AH5" i="71"/>
  <c r="AP75" i="68"/>
  <c r="AP76" i="68" s="1"/>
  <c r="AP5" i="71"/>
  <c r="AX75" i="68"/>
  <c r="AX76" i="68" s="1"/>
  <c r="AX5" i="71"/>
  <c r="AX8" i="71" s="1"/>
  <c r="K75" i="68"/>
  <c r="K76" i="68" s="1"/>
  <c r="K5" i="71"/>
  <c r="S75" i="68"/>
  <c r="S76" i="68" s="1"/>
  <c r="S5" i="71"/>
  <c r="AA75" i="68"/>
  <c r="AA76" i="68" s="1"/>
  <c r="AA5" i="71"/>
  <c r="AI75" i="68"/>
  <c r="AI76" i="68" s="1"/>
  <c r="AI5" i="71"/>
  <c r="AQ75" i="68"/>
  <c r="AQ76" i="68" s="1"/>
  <c r="AQ5" i="71"/>
  <c r="AQ8" i="71" s="1"/>
  <c r="AY75" i="68"/>
  <c r="AY76" i="68" s="1"/>
  <c r="AY5" i="71"/>
  <c r="AY8" i="71" s="1"/>
  <c r="L75" i="68"/>
  <c r="L76" i="68" s="1"/>
  <c r="L5" i="71"/>
  <c r="T75" i="68"/>
  <c r="T76" i="68" s="1"/>
  <c r="T5" i="71"/>
  <c r="AB75" i="68"/>
  <c r="AB76" i="68" s="1"/>
  <c r="AB5" i="71"/>
  <c r="AJ75" i="68"/>
  <c r="AJ76" i="68" s="1"/>
  <c r="AJ5" i="71"/>
  <c r="AR75" i="68"/>
  <c r="AR76" i="68" s="1"/>
  <c r="AR5" i="71"/>
  <c r="AZ75" i="68"/>
  <c r="AZ76" i="68" s="1"/>
  <c r="AZ5" i="71"/>
  <c r="AZ8" i="71" s="1"/>
  <c r="M75" i="68"/>
  <c r="M76" i="68" s="1"/>
  <c r="M5" i="71"/>
  <c r="U75" i="68"/>
  <c r="U76" i="68" s="1"/>
  <c r="U5" i="71"/>
  <c r="AC75" i="68"/>
  <c r="AC76" i="68" s="1"/>
  <c r="AC5" i="71"/>
  <c r="AK75" i="68"/>
  <c r="AK76" i="68" s="1"/>
  <c r="AK5" i="71"/>
  <c r="AS75" i="68"/>
  <c r="AS76" i="68" s="1"/>
  <c r="AS5" i="71"/>
  <c r="AS8" i="71" s="1"/>
  <c r="BA75" i="68"/>
  <c r="BA76" i="68" s="1"/>
  <c r="BA5" i="71"/>
  <c r="N75" i="68"/>
  <c r="N76" i="68" s="1"/>
  <c r="N5" i="71"/>
  <c r="V75" i="68"/>
  <c r="V76" i="68" s="1"/>
  <c r="V5" i="71"/>
  <c r="AD75" i="68"/>
  <c r="AD76" i="68" s="1"/>
  <c r="AD5" i="71"/>
  <c r="AL75" i="68"/>
  <c r="AL76" i="68" s="1"/>
  <c r="AL5" i="71"/>
  <c r="AT75" i="68"/>
  <c r="AT76" i="68" s="1"/>
  <c r="AT5" i="71"/>
  <c r="AT8" i="71" s="1"/>
  <c r="BB75" i="68"/>
  <c r="BB76" i="68" s="1"/>
  <c r="BB5" i="71"/>
  <c r="BB8" i="71" s="1"/>
  <c r="O75" i="68"/>
  <c r="O76" i="68" s="1"/>
  <c r="O5" i="71"/>
  <c r="W75" i="68"/>
  <c r="W76" i="68" s="1"/>
  <c r="W5" i="71"/>
  <c r="AE75" i="68"/>
  <c r="AE76" i="68" s="1"/>
  <c r="AE5" i="71"/>
  <c r="AM75" i="68"/>
  <c r="AM76" i="68" s="1"/>
  <c r="AM5" i="71"/>
  <c r="AU75" i="68"/>
  <c r="AU76" i="68" s="1"/>
  <c r="AU5" i="71"/>
  <c r="AU8" i="71" s="1"/>
  <c r="BC75" i="68"/>
  <c r="BC76" i="68" s="1"/>
  <c r="BC5" i="71"/>
  <c r="BC8" i="71" s="1"/>
  <c r="M29" i="68"/>
  <c r="M30" i="68" s="1"/>
  <c r="M3" i="71"/>
  <c r="U29" i="68"/>
  <c r="U3" i="71"/>
  <c r="AC29" i="68"/>
  <c r="AC3" i="71"/>
  <c r="AK29" i="68"/>
  <c r="AK3" i="71"/>
  <c r="V29" i="68"/>
  <c r="V3" i="71"/>
  <c r="AD29" i="68"/>
  <c r="AD3" i="71"/>
  <c r="AL29" i="68"/>
  <c r="AL3" i="71"/>
  <c r="O29" i="68"/>
  <c r="O30" i="68" s="1"/>
  <c r="O3" i="71"/>
  <c r="W29" i="68"/>
  <c r="W3" i="71"/>
  <c r="AE29" i="68"/>
  <c r="AE3" i="71"/>
  <c r="AM29" i="68"/>
  <c r="AM3" i="71"/>
  <c r="P29" i="68"/>
  <c r="P30" i="68" s="1"/>
  <c r="P3" i="71"/>
  <c r="AF29" i="68"/>
  <c r="AF3" i="71"/>
  <c r="AF8" i="71" s="1"/>
  <c r="AN29" i="68"/>
  <c r="AN3" i="71"/>
  <c r="N29" i="68"/>
  <c r="N30" i="68" s="1"/>
  <c r="N3" i="71"/>
  <c r="X29" i="68"/>
  <c r="X3" i="71"/>
  <c r="Q29" i="68"/>
  <c r="Q30" i="68" s="1"/>
  <c r="Q3" i="71"/>
  <c r="Q8" i="71" s="1"/>
  <c r="Y29" i="68"/>
  <c r="Y3" i="71"/>
  <c r="AG29" i="68"/>
  <c r="AG3" i="71"/>
  <c r="AO29" i="68"/>
  <c r="AO3" i="71"/>
  <c r="R29" i="68"/>
  <c r="R30" i="68" s="1"/>
  <c r="R3" i="71"/>
  <c r="Z29" i="68"/>
  <c r="Z3" i="71"/>
  <c r="AH29" i="68"/>
  <c r="AH3" i="71"/>
  <c r="AP29" i="68"/>
  <c r="AP3" i="71"/>
  <c r="S29" i="68"/>
  <c r="S30" i="68" s="1"/>
  <c r="S3" i="71"/>
  <c r="AA29" i="68"/>
  <c r="AA3" i="71"/>
  <c r="AI29" i="68"/>
  <c r="AI3" i="71"/>
  <c r="T29" i="68"/>
  <c r="T30" i="68" s="1"/>
  <c r="T3" i="71"/>
  <c r="AB29" i="68"/>
  <c r="AB3" i="71"/>
  <c r="AJ29" i="68"/>
  <c r="AJ3" i="71"/>
  <c r="AG76" i="68"/>
  <c r="AF76" i="68"/>
  <c r="U112" i="70"/>
  <c r="U29" i="70"/>
  <c r="AC112" i="70"/>
  <c r="AC29" i="70"/>
  <c r="AK29" i="70"/>
  <c r="AK112" i="70"/>
  <c r="AS112" i="70"/>
  <c r="AS29" i="70"/>
  <c r="BA112" i="70"/>
  <c r="BA29" i="70"/>
  <c r="V112" i="70"/>
  <c r="V29" i="70"/>
  <c r="AD112" i="70"/>
  <c r="AD29" i="70"/>
  <c r="AL112" i="70"/>
  <c r="AL29" i="70"/>
  <c r="AT29" i="70"/>
  <c r="AT112" i="70"/>
  <c r="BB29" i="70"/>
  <c r="BB112" i="70"/>
  <c r="W112" i="70"/>
  <c r="W29" i="70"/>
  <c r="AE112" i="70"/>
  <c r="AE29" i="70"/>
  <c r="AM29" i="70"/>
  <c r="AM112" i="70"/>
  <c r="AU112" i="70"/>
  <c r="AU29" i="70"/>
  <c r="BC29" i="70"/>
  <c r="BC112" i="70"/>
  <c r="X112" i="70"/>
  <c r="X29" i="70"/>
  <c r="AF112" i="70"/>
  <c r="AF29" i="70"/>
  <c r="AN112" i="70"/>
  <c r="AN29" i="70"/>
  <c r="AV112" i="70"/>
  <c r="AV29" i="70"/>
  <c r="BD112" i="70"/>
  <c r="BD29" i="70"/>
  <c r="Y112" i="70"/>
  <c r="Y29" i="70"/>
  <c r="AG29" i="70"/>
  <c r="AG112" i="70"/>
  <c r="AO29" i="70"/>
  <c r="AO112" i="70"/>
  <c r="AW112" i="70"/>
  <c r="AW29" i="70"/>
  <c r="Z112" i="70"/>
  <c r="Z29" i="70"/>
  <c r="AH112" i="70"/>
  <c r="AH29" i="70"/>
  <c r="AP112" i="70"/>
  <c r="AP29" i="70"/>
  <c r="AX29" i="70"/>
  <c r="AX112" i="70"/>
  <c r="AA29" i="70"/>
  <c r="AA112" i="70"/>
  <c r="AI29" i="70"/>
  <c r="AI112" i="70"/>
  <c r="AQ29" i="70"/>
  <c r="AQ112" i="70"/>
  <c r="AY112" i="70"/>
  <c r="AY29" i="70"/>
  <c r="AB112" i="70"/>
  <c r="AB29" i="70"/>
  <c r="AJ29" i="70"/>
  <c r="AJ112" i="70"/>
  <c r="AR112" i="70"/>
  <c r="AR29" i="70"/>
  <c r="AZ29" i="70"/>
  <c r="AZ112" i="70"/>
  <c r="P124" i="68"/>
  <c r="P126" i="68" s="1"/>
  <c r="X124" i="68"/>
  <c r="X127" i="68" s="1"/>
  <c r="AF124" i="68"/>
  <c r="AF125" i="68" s="1"/>
  <c r="AN124" i="68"/>
  <c r="AN128" i="68" s="1"/>
  <c r="BA124" i="68"/>
  <c r="BA29" i="68"/>
  <c r="AT124" i="68"/>
  <c r="AT29" i="68"/>
  <c r="BB29" i="68"/>
  <c r="BB124" i="68"/>
  <c r="Q124" i="68"/>
  <c r="Q126" i="68" s="1"/>
  <c r="Y124" i="68"/>
  <c r="Y131" i="68" s="1"/>
  <c r="AG124" i="68"/>
  <c r="AG131" i="68" s="1"/>
  <c r="AO124" i="68"/>
  <c r="AO130" i="68" s="1"/>
  <c r="AU29" i="68"/>
  <c r="AU124" i="68"/>
  <c r="BC29" i="68"/>
  <c r="BC124" i="68"/>
  <c r="R124" i="68"/>
  <c r="R131" i="68" s="1"/>
  <c r="Z124" i="68"/>
  <c r="Z129" i="68" s="1"/>
  <c r="AH124" i="68"/>
  <c r="AH129" i="68" s="1"/>
  <c r="AP124" i="68"/>
  <c r="AP126" i="68" s="1"/>
  <c r="AV29" i="68"/>
  <c r="AV124" i="68"/>
  <c r="BD124" i="68"/>
  <c r="BD29" i="68"/>
  <c r="S124" i="68"/>
  <c r="S130" i="68" s="1"/>
  <c r="AA124" i="68"/>
  <c r="AA126" i="68" s="1"/>
  <c r="AI124" i="68"/>
  <c r="AI126" i="68" s="1"/>
  <c r="AW29" i="68"/>
  <c r="AW124" i="68"/>
  <c r="T124" i="68"/>
  <c r="T128" i="68" s="1"/>
  <c r="AB124" i="68"/>
  <c r="AB128" i="68" s="1"/>
  <c r="AJ124" i="68"/>
  <c r="AJ125" i="68" s="1"/>
  <c r="AX124" i="68"/>
  <c r="AX29" i="68"/>
  <c r="M124" i="68"/>
  <c r="M128" i="68" s="1"/>
  <c r="U124" i="68"/>
  <c r="U130" i="68" s="1"/>
  <c r="AC124" i="68"/>
  <c r="AC126" i="68" s="1"/>
  <c r="AK124" i="68"/>
  <c r="AK126" i="68" s="1"/>
  <c r="AQ29" i="68"/>
  <c r="AQ124" i="68"/>
  <c r="AY29" i="68"/>
  <c r="AY124" i="68"/>
  <c r="N124" i="68"/>
  <c r="N126" i="68" s="1"/>
  <c r="V124" i="68"/>
  <c r="V130" i="68" s="1"/>
  <c r="AD124" i="68"/>
  <c r="AD131" i="68" s="1"/>
  <c r="AL124" i="68"/>
  <c r="AL128" i="68" s="1"/>
  <c r="AS29" i="68"/>
  <c r="AS124" i="68"/>
  <c r="AR29" i="68"/>
  <c r="AR124" i="68"/>
  <c r="AZ124" i="68"/>
  <c r="AZ29" i="68"/>
  <c r="O124" i="68"/>
  <c r="O127" i="68" s="1"/>
  <c r="W124" i="68"/>
  <c r="W131" i="68" s="1"/>
  <c r="AE124" i="68"/>
  <c r="AE126" i="68" s="1"/>
  <c r="AM124" i="68"/>
  <c r="AM130" i="68" s="1"/>
  <c r="W111" i="70"/>
  <c r="X2" i="70"/>
  <c r="W53" i="70"/>
  <c r="W74" i="70"/>
  <c r="W94" i="70" s="1"/>
  <c r="W33" i="70"/>
  <c r="X123" i="68"/>
  <c r="X78" i="68"/>
  <c r="X102" i="68" s="1"/>
  <c r="X56" i="68"/>
  <c r="X35" i="68"/>
  <c r="Y2" i="68"/>
  <c r="X111" i="69"/>
  <c r="X74" i="69"/>
  <c r="X94" i="69" s="1"/>
  <c r="X53" i="69"/>
  <c r="X33" i="69"/>
  <c r="Y2" i="69"/>
  <c r="Y123" i="67"/>
  <c r="Y78" i="67"/>
  <c r="Y102" i="67" s="1"/>
  <c r="Y56" i="67"/>
  <c r="Z2" i="67"/>
  <c r="Y35" i="67"/>
  <c r="AL28" i="64"/>
  <c r="AL29" i="64" s="1"/>
  <c r="AL30" i="67" s="1"/>
  <c r="N28" i="64"/>
  <c r="N29" i="64" s="1"/>
  <c r="N30" i="67" s="1"/>
  <c r="R28" i="64"/>
  <c r="R29" i="64" s="1"/>
  <c r="R30" i="67" s="1"/>
  <c r="AT28" i="64"/>
  <c r="AT29" i="64" s="1"/>
  <c r="AT30" i="67" s="1"/>
  <c r="AX28" i="64"/>
  <c r="AX29" i="64" s="1"/>
  <c r="AX30" i="67" s="1"/>
  <c r="V28" i="64"/>
  <c r="V29" i="64" s="1"/>
  <c r="V30" i="67" s="1"/>
  <c r="BB28" i="64"/>
  <c r="BB29" i="64" s="1"/>
  <c r="BB30" i="67" s="1"/>
  <c r="Z28" i="64"/>
  <c r="Z29" i="64" s="1"/>
  <c r="Z30" i="67" s="1"/>
  <c r="E71" i="64"/>
  <c r="AD28" i="64"/>
  <c r="AD29" i="64" s="1"/>
  <c r="AD30" i="67" s="1"/>
  <c r="M124" i="62"/>
  <c r="U124" i="62"/>
  <c r="AC124" i="62"/>
  <c r="AK124" i="62"/>
  <c r="AK3" i="60" s="1"/>
  <c r="AS124" i="62"/>
  <c r="AS3" i="60" s="1"/>
  <c r="BA124" i="62"/>
  <c r="BA3" i="60" s="1"/>
  <c r="Q124" i="62"/>
  <c r="AG124" i="62"/>
  <c r="Y124" i="62"/>
  <c r="AO124" i="62"/>
  <c r="AO3" i="60" s="1"/>
  <c r="AW124" i="62"/>
  <c r="AW3" i="60" s="1"/>
  <c r="P124" i="62"/>
  <c r="AF124" i="62"/>
  <c r="AN124" i="62"/>
  <c r="AN3" i="60" s="1"/>
  <c r="S112" i="64"/>
  <c r="AA112" i="64"/>
  <c r="AI112" i="64"/>
  <c r="AI3" i="61" s="1"/>
  <c r="AQ112" i="64"/>
  <c r="AQ3" i="61" s="1"/>
  <c r="AY112" i="64"/>
  <c r="AY3" i="61" s="1"/>
  <c r="AZ112" i="64"/>
  <c r="AZ3" i="61" s="1"/>
  <c r="AR112" i="64"/>
  <c r="AR3" i="61" s="1"/>
  <c r="AJ112" i="64"/>
  <c r="AJ3" i="61" s="1"/>
  <c r="T112" i="64"/>
  <c r="T3" i="61" s="1"/>
  <c r="AB112" i="64"/>
  <c r="AB3" i="61" s="1"/>
  <c r="P112" i="64"/>
  <c r="X112" i="64"/>
  <c r="AF112" i="64"/>
  <c r="AN112" i="64"/>
  <c r="AN3" i="61" s="1"/>
  <c r="AV112" i="64"/>
  <c r="AV3" i="61" s="1"/>
  <c r="BD112" i="64"/>
  <c r="BD3" i="61" s="1"/>
  <c r="Q112" i="64"/>
  <c r="Y112" i="64"/>
  <c r="AG112" i="64"/>
  <c r="AO112" i="64"/>
  <c r="AO3" i="61" s="1"/>
  <c r="AW112" i="64"/>
  <c r="AW3" i="61" s="1"/>
  <c r="R112" i="64"/>
  <c r="R3" i="61" s="1"/>
  <c r="Z112" i="64"/>
  <c r="Z3" i="61" s="1"/>
  <c r="AH112" i="64"/>
  <c r="AH3" i="61" s="1"/>
  <c r="AP112" i="64"/>
  <c r="AP3" i="61" s="1"/>
  <c r="AX112" i="64"/>
  <c r="AX3" i="61" s="1"/>
  <c r="M112" i="64"/>
  <c r="U112" i="64"/>
  <c r="AC112" i="64"/>
  <c r="AK112" i="64"/>
  <c r="AK3" i="61" s="1"/>
  <c r="AS112" i="64"/>
  <c r="AS3" i="61" s="1"/>
  <c r="BA112" i="64"/>
  <c r="BA3" i="61" s="1"/>
  <c r="N112" i="64"/>
  <c r="V112" i="64"/>
  <c r="AD112" i="64"/>
  <c r="AL112" i="64"/>
  <c r="AL3" i="61" s="1"/>
  <c r="AT112" i="64"/>
  <c r="AT3" i="61" s="1"/>
  <c r="BB112" i="64"/>
  <c r="BB3" i="61" s="1"/>
  <c r="O112" i="64"/>
  <c r="W112" i="64"/>
  <c r="AE112" i="64"/>
  <c r="AM112" i="64"/>
  <c r="AM3" i="61" s="1"/>
  <c r="AU112" i="64"/>
  <c r="AU3" i="61" s="1"/>
  <c r="BC112" i="64"/>
  <c r="BC3" i="61" s="1"/>
  <c r="AV124" i="62"/>
  <c r="AV3" i="60" s="1"/>
  <c r="AA124" i="62"/>
  <c r="AI124" i="62"/>
  <c r="AI3" i="60" s="1"/>
  <c r="AQ124" i="62"/>
  <c r="AQ3" i="60" s="1"/>
  <c r="S124" i="62"/>
  <c r="AY124" i="62"/>
  <c r="AY3" i="60" s="1"/>
  <c r="X124" i="62"/>
  <c r="O124" i="62"/>
  <c r="AE124" i="62"/>
  <c r="AM124" i="62"/>
  <c r="AM3" i="60" s="1"/>
  <c r="AU124" i="62"/>
  <c r="AU3" i="60" s="1"/>
  <c r="BC124" i="62"/>
  <c r="BC3" i="60" s="1"/>
  <c r="W124" i="62"/>
  <c r="BD124" i="62"/>
  <c r="BD3" i="60" s="1"/>
  <c r="R124" i="62"/>
  <c r="Z124" i="62"/>
  <c r="AH124" i="62"/>
  <c r="AP124" i="62"/>
  <c r="AP3" i="60" s="1"/>
  <c r="AX124" i="62"/>
  <c r="AX3" i="60" s="1"/>
  <c r="T124" i="62"/>
  <c r="AB124" i="62"/>
  <c r="AJ124" i="62"/>
  <c r="AJ3" i="60" s="1"/>
  <c r="AR124" i="62"/>
  <c r="AR3" i="60" s="1"/>
  <c r="AZ124" i="62"/>
  <c r="AZ3" i="60" s="1"/>
  <c r="N124" i="62"/>
  <c r="V124" i="62"/>
  <c r="AD124" i="62"/>
  <c r="AL124" i="62"/>
  <c r="AL3" i="60" s="1"/>
  <c r="AT124" i="62"/>
  <c r="AT3" i="60" s="1"/>
  <c r="BB124" i="62"/>
  <c r="BB3" i="60" s="1"/>
  <c r="BD25" i="64"/>
  <c r="AI25" i="64"/>
  <c r="AY25" i="64"/>
  <c r="G2" i="64"/>
  <c r="F111" i="64"/>
  <c r="F53" i="64"/>
  <c r="F74" i="64"/>
  <c r="F33" i="64"/>
  <c r="P25" i="64"/>
  <c r="X25" i="64"/>
  <c r="AF25" i="64"/>
  <c r="AN25" i="64"/>
  <c r="AV25" i="64"/>
  <c r="Q25" i="64"/>
  <c r="Y25" i="64"/>
  <c r="AG25" i="64"/>
  <c r="AO25" i="64"/>
  <c r="AW25" i="64"/>
  <c r="AH25" i="64"/>
  <c r="AQ25" i="64"/>
  <c r="T25" i="64"/>
  <c r="AB25" i="64"/>
  <c r="AJ25" i="64"/>
  <c r="AR25" i="64"/>
  <c r="AZ25" i="64"/>
  <c r="M25" i="64"/>
  <c r="U25" i="64"/>
  <c r="AC25" i="64"/>
  <c r="AK25" i="64"/>
  <c r="AS25" i="64"/>
  <c r="BA25" i="64"/>
  <c r="O25" i="64"/>
  <c r="W25" i="64"/>
  <c r="AE25" i="64"/>
  <c r="AM25" i="64"/>
  <c r="AU25" i="64"/>
  <c r="BC25" i="64"/>
  <c r="AX72" i="64"/>
  <c r="AX76" i="67" s="1"/>
  <c r="AA72" i="64"/>
  <c r="AA76" i="67" s="1"/>
  <c r="AI72" i="64"/>
  <c r="AI76" i="67" s="1"/>
  <c r="M75" i="62"/>
  <c r="AQ53" i="62"/>
  <c r="P53" i="62"/>
  <c r="BD53" i="62"/>
  <c r="S53" i="62"/>
  <c r="AN53" i="62"/>
  <c r="X53" i="62"/>
  <c r="AA53" i="62"/>
  <c r="AV53" i="62"/>
  <c r="S28" i="64"/>
  <c r="S29" i="64" s="1"/>
  <c r="S30" i="67" s="1"/>
  <c r="AY53" i="62"/>
  <c r="AA28" i="64"/>
  <c r="AA29" i="64" s="1"/>
  <c r="AA30" i="67" s="1"/>
  <c r="AQ72" i="64"/>
  <c r="AQ76" i="67" s="1"/>
  <c r="AF53" i="62"/>
  <c r="AI53" i="62"/>
  <c r="BB53" i="62"/>
  <c r="T53" i="62"/>
  <c r="AB53" i="62"/>
  <c r="AJ53" i="62"/>
  <c r="AR53" i="62"/>
  <c r="AZ53" i="62"/>
  <c r="Q53" i="62"/>
  <c r="Y53" i="62"/>
  <c r="AG53" i="62"/>
  <c r="AO53" i="62"/>
  <c r="AW53" i="62"/>
  <c r="R53" i="62"/>
  <c r="Z53" i="62"/>
  <c r="AH53" i="62"/>
  <c r="AP53" i="62"/>
  <c r="AX53" i="62"/>
  <c r="AP28" i="64"/>
  <c r="AP29" i="64" s="1"/>
  <c r="AP30" i="67" s="1"/>
  <c r="M53" i="62"/>
  <c r="U53" i="62"/>
  <c r="AC53" i="62"/>
  <c r="AK53" i="62"/>
  <c r="AS53" i="62"/>
  <c r="BA53" i="62"/>
  <c r="N53" i="62"/>
  <c r="V53" i="62"/>
  <c r="AD53" i="62"/>
  <c r="AL53" i="62"/>
  <c r="AT53" i="62"/>
  <c r="S72" i="64"/>
  <c r="S76" i="67" s="1"/>
  <c r="AY72" i="64"/>
  <c r="AY76" i="67" s="1"/>
  <c r="O53" i="62"/>
  <c r="W53" i="62"/>
  <c r="AE53" i="62"/>
  <c r="AM53" i="62"/>
  <c r="AU53" i="62"/>
  <c r="BC53" i="62"/>
  <c r="X51" i="64"/>
  <c r="X54" i="67" s="1"/>
  <c r="AN51" i="64"/>
  <c r="AN54" i="67" s="1"/>
  <c r="AV51" i="64"/>
  <c r="AV54" i="67" s="1"/>
  <c r="Y51" i="64"/>
  <c r="Y54" i="67" s="1"/>
  <c r="AO51" i="64"/>
  <c r="AO54" i="67" s="1"/>
  <c r="AW51" i="64"/>
  <c r="AW54" i="67" s="1"/>
  <c r="AI75" i="62"/>
  <c r="U75" i="62"/>
  <c r="AC75" i="62"/>
  <c r="AS75" i="62"/>
  <c r="BA75" i="62"/>
  <c r="P72" i="64"/>
  <c r="P76" i="67" s="1"/>
  <c r="X72" i="64"/>
  <c r="X76" i="67" s="1"/>
  <c r="AF72" i="64"/>
  <c r="AF76" i="67" s="1"/>
  <c r="AN72" i="64"/>
  <c r="AN76" i="67" s="1"/>
  <c r="AV72" i="64"/>
  <c r="AV76" i="67" s="1"/>
  <c r="BD72" i="64"/>
  <c r="BD76" i="67" s="1"/>
  <c r="Q72" i="64"/>
  <c r="Q76" i="67" s="1"/>
  <c r="Y72" i="64"/>
  <c r="Y76" i="67" s="1"/>
  <c r="AG72" i="64"/>
  <c r="AG76" i="67" s="1"/>
  <c r="AO72" i="64"/>
  <c r="AO76" i="67" s="1"/>
  <c r="AW72" i="64"/>
  <c r="AW76" i="67" s="1"/>
  <c r="N51" i="64"/>
  <c r="N54" i="67" s="1"/>
  <c r="V51" i="64"/>
  <c r="V54" i="67" s="1"/>
  <c r="AD51" i="64"/>
  <c r="AD54" i="67" s="1"/>
  <c r="AL51" i="64"/>
  <c r="AL54" i="67" s="1"/>
  <c r="AT51" i="64"/>
  <c r="AT54" i="67" s="1"/>
  <c r="R72" i="64"/>
  <c r="R76" i="67" s="1"/>
  <c r="Z72" i="64"/>
  <c r="Z76" i="67" s="1"/>
  <c r="AH72" i="64"/>
  <c r="AH76" i="67" s="1"/>
  <c r="AP72" i="64"/>
  <c r="AP76" i="67" s="1"/>
  <c r="O51" i="64"/>
  <c r="O54" i="67" s="1"/>
  <c r="W51" i="64"/>
  <c r="W54" i="67" s="1"/>
  <c r="AE51" i="64"/>
  <c r="AE54" i="67" s="1"/>
  <c r="AM51" i="64"/>
  <c r="AM54" i="67" s="1"/>
  <c r="AU51" i="64"/>
  <c r="AU54" i="67" s="1"/>
  <c r="BC51" i="64"/>
  <c r="BC54" i="67" s="1"/>
  <c r="O72" i="64"/>
  <c r="O76" i="67" s="1"/>
  <c r="W72" i="64"/>
  <c r="W76" i="67" s="1"/>
  <c r="AE72" i="64"/>
  <c r="AE76" i="67" s="1"/>
  <c r="AM72" i="64"/>
  <c r="AM76" i="67" s="1"/>
  <c r="AU72" i="64"/>
  <c r="AU76" i="67" s="1"/>
  <c r="BC72" i="64"/>
  <c r="BC76" i="67" s="1"/>
  <c r="T72" i="64"/>
  <c r="T76" i="67" s="1"/>
  <c r="AB72" i="64"/>
  <c r="AB76" i="67" s="1"/>
  <c r="AJ72" i="64"/>
  <c r="AJ76" i="67" s="1"/>
  <c r="AR72" i="64"/>
  <c r="AR76" i="67" s="1"/>
  <c r="AZ72" i="64"/>
  <c r="AZ76" i="67" s="1"/>
  <c r="M72" i="64"/>
  <c r="M76" i="67" s="1"/>
  <c r="U72" i="64"/>
  <c r="U76" i="67" s="1"/>
  <c r="AC72" i="64"/>
  <c r="AC76" i="67" s="1"/>
  <c r="AK72" i="64"/>
  <c r="AK76" i="67" s="1"/>
  <c r="AS72" i="64"/>
  <c r="AS76" i="67" s="1"/>
  <c r="BA72" i="64"/>
  <c r="BA76" i="67" s="1"/>
  <c r="N72" i="64"/>
  <c r="N76" i="67" s="1"/>
  <c r="V72" i="64"/>
  <c r="V76" i="67" s="1"/>
  <c r="AD72" i="64"/>
  <c r="AD76" i="67" s="1"/>
  <c r="AL72" i="64"/>
  <c r="AL76" i="67" s="1"/>
  <c r="AT72" i="64"/>
  <c r="AT76" i="67" s="1"/>
  <c r="BB72" i="64"/>
  <c r="BB76" i="67" s="1"/>
  <c r="AF51" i="64"/>
  <c r="AF54" i="67" s="1"/>
  <c r="BB51" i="64"/>
  <c r="BB54" i="67" s="1"/>
  <c r="AG51" i="64"/>
  <c r="AG54" i="67" s="1"/>
  <c r="BD51" i="64"/>
  <c r="BD54" i="67" s="1"/>
  <c r="R51" i="64"/>
  <c r="R54" i="67" s="1"/>
  <c r="Z51" i="64"/>
  <c r="Z54" i="67" s="1"/>
  <c r="AH51" i="64"/>
  <c r="AH54" i="67" s="1"/>
  <c r="AP51" i="64"/>
  <c r="AP54" i="67" s="1"/>
  <c r="AX51" i="64"/>
  <c r="AX54" i="67" s="1"/>
  <c r="P51" i="64"/>
  <c r="P54" i="67" s="1"/>
  <c r="S51" i="64"/>
  <c r="S54" i="67" s="1"/>
  <c r="AA51" i="64"/>
  <c r="AA54" i="67" s="1"/>
  <c r="AI51" i="64"/>
  <c r="AI54" i="67" s="1"/>
  <c r="AQ51" i="64"/>
  <c r="AQ54" i="67" s="1"/>
  <c r="AY51" i="64"/>
  <c r="AY54" i="67" s="1"/>
  <c r="Q51" i="64"/>
  <c r="Q54" i="67" s="1"/>
  <c r="T51" i="64"/>
  <c r="T54" i="67" s="1"/>
  <c r="AB51" i="64"/>
  <c r="AB54" i="67" s="1"/>
  <c r="AJ51" i="64"/>
  <c r="AJ54" i="67" s="1"/>
  <c r="AR51" i="64"/>
  <c r="AR54" i="67" s="1"/>
  <c r="AZ51" i="64"/>
  <c r="AZ54" i="67" s="1"/>
  <c r="M51" i="64"/>
  <c r="M54" i="67" s="1"/>
  <c r="U51" i="64"/>
  <c r="U54" i="67" s="1"/>
  <c r="AC51" i="64"/>
  <c r="AC54" i="67" s="1"/>
  <c r="AK51" i="64"/>
  <c r="AK54" i="67" s="1"/>
  <c r="AS51" i="64"/>
  <c r="AS54" i="67" s="1"/>
  <c r="BA51" i="64"/>
  <c r="BA54" i="67" s="1"/>
  <c r="BB75" i="62"/>
  <c r="O75" i="62"/>
  <c r="W75" i="62"/>
  <c r="AE75" i="62"/>
  <c r="AM75" i="62"/>
  <c r="AU75" i="62"/>
  <c r="BC75" i="62"/>
  <c r="AK75" i="62"/>
  <c r="AL75" i="62"/>
  <c r="P75" i="62"/>
  <c r="X75" i="62"/>
  <c r="AF75" i="62"/>
  <c r="AN75" i="62"/>
  <c r="AV75" i="62"/>
  <c r="BD75" i="62"/>
  <c r="AQ75" i="62"/>
  <c r="AD75" i="62"/>
  <c r="Q75" i="62"/>
  <c r="Y75" i="62"/>
  <c r="AG75" i="62"/>
  <c r="AO75" i="62"/>
  <c r="AW75" i="62"/>
  <c r="R75" i="62"/>
  <c r="Z75" i="62"/>
  <c r="AH75" i="62"/>
  <c r="AP75" i="62"/>
  <c r="AX75" i="62"/>
  <c r="S75" i="62"/>
  <c r="AY75" i="62"/>
  <c r="V75" i="62"/>
  <c r="AT75" i="62"/>
  <c r="T75" i="62"/>
  <c r="AB75" i="62"/>
  <c r="AJ75" i="62"/>
  <c r="AR75" i="62"/>
  <c r="AZ75" i="62"/>
  <c r="AA75" i="62"/>
  <c r="N75" i="62"/>
  <c r="L47" i="64"/>
  <c r="L50" i="64" s="1"/>
  <c r="BA8" i="71" l="1"/>
  <c r="AO8" i="71"/>
  <c r="AW8" i="71"/>
  <c r="AH30" i="68"/>
  <c r="AN30" i="68"/>
  <c r="V30" i="68"/>
  <c r="AC30" i="68"/>
  <c r="Y30" i="68"/>
  <c r="AF30" i="68"/>
  <c r="U30" i="68"/>
  <c r="AL30" i="68"/>
  <c r="W30" i="68"/>
  <c r="AD30" i="68"/>
  <c r="P8" i="71"/>
  <c r="Z30" i="68"/>
  <c r="AB30" i="68"/>
  <c r="AP30" i="68"/>
  <c r="AG30" i="68"/>
  <c r="AM30" i="68"/>
  <c r="AK30" i="68"/>
  <c r="AH8" i="71"/>
  <c r="U8" i="71"/>
  <c r="S8" i="71"/>
  <c r="AG8" i="71"/>
  <c r="AJ8" i="71"/>
  <c r="AL8" i="71"/>
  <c r="AR8" i="71"/>
  <c r="W8" i="71"/>
  <c r="AJ30" i="68"/>
  <c r="N8" i="71"/>
  <c r="AC8" i="71"/>
  <c r="AA8" i="71"/>
  <c r="AP8" i="71"/>
  <c r="AD8" i="71"/>
  <c r="V8" i="71"/>
  <c r="T8" i="71"/>
  <c r="AK8" i="71"/>
  <c r="X8" i="71"/>
  <c r="AI30" i="68"/>
  <c r="AA30" i="68"/>
  <c r="X30" i="68"/>
  <c r="AE30" i="68"/>
  <c r="AO30" i="68"/>
  <c r="M8" i="71"/>
  <c r="BD8" i="71"/>
  <c r="AB8" i="71"/>
  <c r="AI8" i="71"/>
  <c r="AV8" i="71"/>
  <c r="Z8" i="71"/>
  <c r="Y8" i="71"/>
  <c r="AN8" i="71"/>
  <c r="AE8" i="71"/>
  <c r="R8" i="71"/>
  <c r="AM8" i="71"/>
  <c r="O8" i="71"/>
  <c r="BB30" i="68"/>
  <c r="BA30" i="68"/>
  <c r="AJ127" i="68"/>
  <c r="AN131" i="68"/>
  <c r="AN129" i="68"/>
  <c r="AN125" i="68"/>
  <c r="AN127" i="68"/>
  <c r="AN126" i="68"/>
  <c r="AN130" i="68"/>
  <c r="BC30" i="68"/>
  <c r="AG127" i="68"/>
  <c r="X128" i="68"/>
  <c r="X125" i="68"/>
  <c r="X131" i="68"/>
  <c r="X130" i="68"/>
  <c r="X129" i="68"/>
  <c r="AM127" i="68"/>
  <c r="X126" i="68"/>
  <c r="AJ131" i="68"/>
  <c r="AT30" i="68"/>
  <c r="O129" i="68"/>
  <c r="O125" i="68"/>
  <c r="AM131" i="68"/>
  <c r="AI125" i="68"/>
  <c r="AH128" i="68"/>
  <c r="AE131" i="68"/>
  <c r="AB125" i="68"/>
  <c r="AE125" i="68"/>
  <c r="AB126" i="68"/>
  <c r="P130" i="68"/>
  <c r="M130" i="68"/>
  <c r="P131" i="68"/>
  <c r="M131" i="68"/>
  <c r="AZ30" i="68"/>
  <c r="AW30" i="68"/>
  <c r="N125" i="68"/>
  <c r="AE128" i="68"/>
  <c r="AB127" i="68"/>
  <c r="P127" i="68"/>
  <c r="AE130" i="68"/>
  <c r="AB131" i="68"/>
  <c r="P125" i="68"/>
  <c r="AE127" i="68"/>
  <c r="AB130" i="68"/>
  <c r="P128" i="68"/>
  <c r="AE129" i="68"/>
  <c r="AB129" i="68"/>
  <c r="P129" i="68"/>
  <c r="S131" i="68"/>
  <c r="AF128" i="68"/>
  <c r="AF131" i="68"/>
  <c r="R126" i="68"/>
  <c r="AF127" i="68"/>
  <c r="Q127" i="68"/>
  <c r="AF130" i="68"/>
  <c r="AF126" i="68"/>
  <c r="AF129" i="68"/>
  <c r="AV30" i="68"/>
  <c r="AU30" i="68"/>
  <c r="AX30" i="68"/>
  <c r="BD30" i="68"/>
  <c r="AS30" i="68"/>
  <c r="AQ30" i="68"/>
  <c r="AP131" i="68"/>
  <c r="N129" i="68"/>
  <c r="AP125" i="68"/>
  <c r="U127" i="68"/>
  <c r="AO129" i="68"/>
  <c r="AO125" i="68"/>
  <c r="V126" i="68"/>
  <c r="V129" i="68"/>
  <c r="AI114" i="70"/>
  <c r="AI135" i="70"/>
  <c r="AI30" i="70" s="1"/>
  <c r="AI113" i="70"/>
  <c r="AI119" i="70"/>
  <c r="AI115" i="70"/>
  <c r="AI117" i="70"/>
  <c r="AI118" i="70"/>
  <c r="AI116" i="70"/>
  <c r="Y118" i="70"/>
  <c r="Y117" i="70"/>
  <c r="Y116" i="70"/>
  <c r="Y113" i="70"/>
  <c r="Y119" i="70"/>
  <c r="Y114" i="70"/>
  <c r="Y135" i="70"/>
  <c r="Y30" i="70" s="1"/>
  <c r="Y115" i="70"/>
  <c r="AE114" i="70"/>
  <c r="AE115" i="70"/>
  <c r="AE116" i="70"/>
  <c r="AE117" i="70"/>
  <c r="AE113" i="70"/>
  <c r="AE118" i="70"/>
  <c r="AE135" i="70"/>
  <c r="AE30" i="70" s="1"/>
  <c r="AE119" i="70"/>
  <c r="AT118" i="70"/>
  <c r="AT115" i="70"/>
  <c r="AT119" i="70"/>
  <c r="AT116" i="70"/>
  <c r="AT114" i="70"/>
  <c r="AT135" i="70"/>
  <c r="AT30" i="70" s="1"/>
  <c r="AT117" i="70"/>
  <c r="AT113" i="70"/>
  <c r="AB115" i="70"/>
  <c r="AB114" i="70"/>
  <c r="AB119" i="70"/>
  <c r="AB116" i="70"/>
  <c r="AB117" i="70"/>
  <c r="AB113" i="70"/>
  <c r="AB118" i="70"/>
  <c r="AB135" i="70"/>
  <c r="AB30" i="70" s="1"/>
  <c r="AN113" i="70"/>
  <c r="AN114" i="70"/>
  <c r="AN116" i="70"/>
  <c r="AN115" i="70"/>
  <c r="AN117" i="70"/>
  <c r="AN118" i="70"/>
  <c r="AN119" i="70"/>
  <c r="AN135" i="70"/>
  <c r="AN30" i="70" s="1"/>
  <c r="BC117" i="70"/>
  <c r="BC118" i="70"/>
  <c r="BC114" i="70"/>
  <c r="BC115" i="70"/>
  <c r="BC135" i="70"/>
  <c r="BC30" i="70" s="1"/>
  <c r="BC116" i="70"/>
  <c r="BC119" i="70"/>
  <c r="BC113" i="70"/>
  <c r="AZ114" i="70"/>
  <c r="AZ117" i="70"/>
  <c r="AZ135" i="70"/>
  <c r="AZ30" i="70" s="1"/>
  <c r="AZ119" i="70"/>
  <c r="AZ115" i="70"/>
  <c r="AZ118" i="70"/>
  <c r="AZ116" i="70"/>
  <c r="AZ113" i="70"/>
  <c r="AA116" i="70"/>
  <c r="AA117" i="70"/>
  <c r="AA115" i="70"/>
  <c r="AA119" i="70"/>
  <c r="AA114" i="70"/>
  <c r="AA113" i="70"/>
  <c r="AA135" i="70"/>
  <c r="AA30" i="70" s="1"/>
  <c r="AA118" i="70"/>
  <c r="AP118" i="70"/>
  <c r="AP115" i="70"/>
  <c r="AP114" i="70"/>
  <c r="AP119" i="70"/>
  <c r="AP113" i="70"/>
  <c r="AP116" i="70"/>
  <c r="AP135" i="70"/>
  <c r="AP30" i="70" s="1"/>
  <c r="AP117" i="70"/>
  <c r="AW114" i="70"/>
  <c r="AW113" i="70"/>
  <c r="AW135" i="70"/>
  <c r="AW30" i="70" s="1"/>
  <c r="AW119" i="70"/>
  <c r="AW116" i="70"/>
  <c r="AW115" i="70"/>
  <c r="AW117" i="70"/>
  <c r="AW118" i="70"/>
  <c r="W117" i="70"/>
  <c r="W113" i="70"/>
  <c r="W118" i="70"/>
  <c r="W115" i="70"/>
  <c r="W114" i="70"/>
  <c r="W119" i="70"/>
  <c r="W116" i="70"/>
  <c r="W135" i="70"/>
  <c r="W30" i="70" s="1"/>
  <c r="AC117" i="70"/>
  <c r="AC116" i="70"/>
  <c r="AC113" i="70"/>
  <c r="AC118" i="70"/>
  <c r="AC114" i="70"/>
  <c r="AC119" i="70"/>
  <c r="AC115" i="70"/>
  <c r="AC135" i="70"/>
  <c r="AC30" i="70" s="1"/>
  <c r="AO114" i="70"/>
  <c r="AO113" i="70"/>
  <c r="AO116" i="70"/>
  <c r="AO117" i="70"/>
  <c r="AO119" i="70"/>
  <c r="AO115" i="70"/>
  <c r="AO118" i="70"/>
  <c r="AO135" i="70"/>
  <c r="AO30" i="70" s="1"/>
  <c r="AF116" i="70"/>
  <c r="AF115" i="70"/>
  <c r="AF113" i="70"/>
  <c r="AF114" i="70"/>
  <c r="AF117" i="70"/>
  <c r="AF119" i="70"/>
  <c r="AF118" i="70"/>
  <c r="AF135" i="70"/>
  <c r="AF30" i="70" s="1"/>
  <c r="AL114" i="70"/>
  <c r="AL115" i="70"/>
  <c r="AL116" i="70"/>
  <c r="AL113" i="70"/>
  <c r="AL117" i="70"/>
  <c r="AL119" i="70"/>
  <c r="AL118" i="70"/>
  <c r="AL135" i="70"/>
  <c r="AL30" i="70" s="1"/>
  <c r="AH118" i="70"/>
  <c r="AH113" i="70"/>
  <c r="AH119" i="70"/>
  <c r="AH114" i="70"/>
  <c r="AH117" i="70"/>
  <c r="AH115" i="70"/>
  <c r="AH116" i="70"/>
  <c r="AH135" i="70"/>
  <c r="AH30" i="70" s="1"/>
  <c r="AU116" i="70"/>
  <c r="AU113" i="70"/>
  <c r="AU115" i="70"/>
  <c r="AU114" i="70"/>
  <c r="AU118" i="70"/>
  <c r="AU119" i="70"/>
  <c r="AU117" i="70"/>
  <c r="AU135" i="70"/>
  <c r="AU30" i="70" s="1"/>
  <c r="BA117" i="70"/>
  <c r="BA116" i="70"/>
  <c r="BA113" i="70"/>
  <c r="BA115" i="70"/>
  <c r="BA119" i="70"/>
  <c r="BA118" i="70"/>
  <c r="BA114" i="70"/>
  <c r="BA135" i="70"/>
  <c r="BA30" i="70" s="1"/>
  <c r="U116" i="70"/>
  <c r="U114" i="70"/>
  <c r="U119" i="70"/>
  <c r="U117" i="70"/>
  <c r="U113" i="70"/>
  <c r="U118" i="70"/>
  <c r="U115" i="70"/>
  <c r="U135" i="70"/>
  <c r="U30" i="70" s="1"/>
  <c r="AR115" i="70"/>
  <c r="AR116" i="70"/>
  <c r="AR114" i="70"/>
  <c r="AR117" i="70"/>
  <c r="AR119" i="70"/>
  <c r="AR135" i="70"/>
  <c r="AR30" i="70" s="1"/>
  <c r="AR113" i="70"/>
  <c r="AR118" i="70"/>
  <c r="AY114" i="70"/>
  <c r="AY117" i="70"/>
  <c r="AY115" i="70"/>
  <c r="AY118" i="70"/>
  <c r="AY119" i="70"/>
  <c r="AY113" i="70"/>
  <c r="AY116" i="70"/>
  <c r="AY135" i="70"/>
  <c r="AY30" i="70" s="1"/>
  <c r="AG115" i="70"/>
  <c r="AG116" i="70"/>
  <c r="AG118" i="70"/>
  <c r="AG117" i="70"/>
  <c r="AG114" i="70"/>
  <c r="AG119" i="70"/>
  <c r="AG135" i="70"/>
  <c r="AG30" i="70" s="1"/>
  <c r="AG113" i="70"/>
  <c r="BD114" i="70"/>
  <c r="BD119" i="70"/>
  <c r="BD115" i="70"/>
  <c r="BD116" i="70"/>
  <c r="BD118" i="70"/>
  <c r="BD113" i="70"/>
  <c r="BD117" i="70"/>
  <c r="BD135" i="70"/>
  <c r="BD30" i="70" s="1"/>
  <c r="X119" i="70"/>
  <c r="X118" i="70"/>
  <c r="X117" i="70"/>
  <c r="X114" i="70"/>
  <c r="X115" i="70"/>
  <c r="X113" i="70"/>
  <c r="X116" i="70"/>
  <c r="X135" i="70"/>
  <c r="X30" i="70" s="1"/>
  <c r="AM116" i="70"/>
  <c r="AM113" i="70"/>
  <c r="AM115" i="70"/>
  <c r="AM114" i="70"/>
  <c r="AM118" i="70"/>
  <c r="AM117" i="70"/>
  <c r="AM135" i="70"/>
  <c r="AM30" i="70" s="1"/>
  <c r="AM119" i="70"/>
  <c r="AD115" i="70"/>
  <c r="AD119" i="70"/>
  <c r="AD117" i="70"/>
  <c r="AD116" i="70"/>
  <c r="AD113" i="70"/>
  <c r="AD114" i="70"/>
  <c r="AD118" i="70"/>
  <c r="AD135" i="70"/>
  <c r="AD30" i="70" s="1"/>
  <c r="AJ115" i="70"/>
  <c r="AJ116" i="70"/>
  <c r="AJ135" i="70"/>
  <c r="AJ30" i="70" s="1"/>
  <c r="AJ114" i="70"/>
  <c r="AJ117" i="70"/>
  <c r="AJ113" i="70"/>
  <c r="AJ118" i="70"/>
  <c r="AJ119" i="70"/>
  <c r="AQ114" i="70"/>
  <c r="AQ117" i="70"/>
  <c r="AQ119" i="70"/>
  <c r="AQ118" i="70"/>
  <c r="AQ116" i="70"/>
  <c r="AQ115" i="70"/>
  <c r="AQ113" i="70"/>
  <c r="AQ135" i="70"/>
  <c r="AQ30" i="70" s="1"/>
  <c r="Z118" i="70"/>
  <c r="Z113" i="70"/>
  <c r="Z119" i="70"/>
  <c r="Z114" i="70"/>
  <c r="Z117" i="70"/>
  <c r="Z115" i="70"/>
  <c r="Z116" i="70"/>
  <c r="Z135" i="70"/>
  <c r="Z30" i="70" s="1"/>
  <c r="BB115" i="70"/>
  <c r="BB116" i="70"/>
  <c r="BB114" i="70"/>
  <c r="BB135" i="70"/>
  <c r="BB30" i="70" s="1"/>
  <c r="BB118" i="70"/>
  <c r="BB117" i="70"/>
  <c r="BB113" i="70"/>
  <c r="BB119" i="70"/>
  <c r="AS115" i="70"/>
  <c r="AS118" i="70"/>
  <c r="AS113" i="70"/>
  <c r="AS114" i="70"/>
  <c r="AS116" i="70"/>
  <c r="AS119" i="70"/>
  <c r="AS117" i="70"/>
  <c r="AS135" i="70"/>
  <c r="AS30" i="70" s="1"/>
  <c r="AR30" i="68"/>
  <c r="AY30" i="68"/>
  <c r="AX118" i="70"/>
  <c r="AX115" i="70"/>
  <c r="AX117" i="70"/>
  <c r="AX114" i="70"/>
  <c r="AX119" i="70"/>
  <c r="AX113" i="70"/>
  <c r="AX135" i="70"/>
  <c r="AX30" i="70" s="1"/>
  <c r="AX116" i="70"/>
  <c r="AV119" i="70"/>
  <c r="AV118" i="70"/>
  <c r="AV117" i="70"/>
  <c r="AV113" i="70"/>
  <c r="AV115" i="70"/>
  <c r="AV114" i="70"/>
  <c r="AV116" i="70"/>
  <c r="AV135" i="70"/>
  <c r="AV30" i="70" s="1"/>
  <c r="V117" i="70"/>
  <c r="V114" i="70"/>
  <c r="V116" i="70"/>
  <c r="V113" i="70"/>
  <c r="V118" i="70"/>
  <c r="V135" i="70"/>
  <c r="V30" i="70" s="1"/>
  <c r="V119" i="70"/>
  <c r="V115" i="70"/>
  <c r="AK114" i="70"/>
  <c r="AK115" i="70"/>
  <c r="AK118" i="70"/>
  <c r="AK113" i="70"/>
  <c r="AK116" i="70"/>
  <c r="AK119" i="70"/>
  <c r="AK117" i="70"/>
  <c r="AK135" i="70"/>
  <c r="AK30" i="70" s="1"/>
  <c r="W129" i="68"/>
  <c r="AL127" i="68"/>
  <c r="AM129" i="68"/>
  <c r="V125" i="68"/>
  <c r="U131" i="68"/>
  <c r="AJ128" i="68"/>
  <c r="AP129" i="68"/>
  <c r="AO131" i="68"/>
  <c r="AM126" i="68"/>
  <c r="U129" i="68"/>
  <c r="AJ129" i="68"/>
  <c r="AP130" i="68"/>
  <c r="AO127" i="68"/>
  <c r="AM128" i="68"/>
  <c r="V131" i="68"/>
  <c r="U126" i="68"/>
  <c r="AO128" i="68"/>
  <c r="AM125" i="68"/>
  <c r="V128" i="68"/>
  <c r="U125" i="68"/>
  <c r="AJ126" i="68"/>
  <c r="AP128" i="68"/>
  <c r="V127" i="68"/>
  <c r="U128" i="68"/>
  <c r="AJ130" i="68"/>
  <c r="AP127" i="68"/>
  <c r="AO126" i="68"/>
  <c r="S125" i="68"/>
  <c r="O126" i="68"/>
  <c r="AC125" i="68"/>
  <c r="R125" i="68"/>
  <c r="O131" i="68"/>
  <c r="AC130" i="68"/>
  <c r="R129" i="68"/>
  <c r="O128" i="68"/>
  <c r="S128" i="68"/>
  <c r="R130" i="68"/>
  <c r="O130" i="68"/>
  <c r="S129" i="68"/>
  <c r="S127" i="68"/>
  <c r="AC131" i="68"/>
  <c r="AC129" i="68"/>
  <c r="AD129" i="68"/>
  <c r="AC128" i="68"/>
  <c r="AC127" i="68"/>
  <c r="AI130" i="68"/>
  <c r="W126" i="68"/>
  <c r="AG130" i="68"/>
  <c r="W125" i="68"/>
  <c r="AL131" i="68"/>
  <c r="AL126" i="68"/>
  <c r="AH127" i="68"/>
  <c r="R128" i="68"/>
  <c r="S126" i="68"/>
  <c r="R127" i="68"/>
  <c r="Z127" i="68"/>
  <c r="Z130" i="68"/>
  <c r="Y125" i="68"/>
  <c r="Y126" i="68"/>
  <c r="AA128" i="68"/>
  <c r="Y127" i="68"/>
  <c r="AA130" i="68"/>
  <c r="AA129" i="68"/>
  <c r="Z125" i="68"/>
  <c r="AI128" i="68"/>
  <c r="AH131" i="68"/>
  <c r="W130" i="68"/>
  <c r="AL125" i="68"/>
  <c r="N127" i="68"/>
  <c r="M126" i="68"/>
  <c r="AI129" i="68"/>
  <c r="AA131" i="68"/>
  <c r="AH130" i="68"/>
  <c r="AG126" i="68"/>
  <c r="Y129" i="68"/>
  <c r="AG128" i="68"/>
  <c r="W127" i="68"/>
  <c r="AL129" i="68"/>
  <c r="AK131" i="68"/>
  <c r="M125" i="68"/>
  <c r="AI131" i="68"/>
  <c r="AA127" i="68"/>
  <c r="Z131" i="68"/>
  <c r="AG125" i="68"/>
  <c r="Y130" i="68"/>
  <c r="N128" i="68"/>
  <c r="W128" i="68"/>
  <c r="N130" i="68"/>
  <c r="M129" i="68"/>
  <c r="AI127" i="68"/>
  <c r="AA125" i="68"/>
  <c r="AH125" i="68"/>
  <c r="Z128" i="68"/>
  <c r="AG129" i="68"/>
  <c r="Y128" i="68"/>
  <c r="AL130" i="68"/>
  <c r="N131" i="68"/>
  <c r="M127" i="68"/>
  <c r="AH126" i="68"/>
  <c r="Z126" i="68"/>
  <c r="T125" i="68"/>
  <c r="AK130" i="68"/>
  <c r="T131" i="68"/>
  <c r="AZ127" i="68"/>
  <c r="AZ125" i="68"/>
  <c r="AZ130" i="68"/>
  <c r="AZ129" i="68"/>
  <c r="AZ126" i="68"/>
  <c r="AZ128" i="68"/>
  <c r="AZ131" i="68"/>
  <c r="BD126" i="68"/>
  <c r="BD128" i="68"/>
  <c r="BD131" i="68"/>
  <c r="BD125" i="68"/>
  <c r="BD127" i="68"/>
  <c r="BD129" i="68"/>
  <c r="BD130" i="68"/>
  <c r="BC125" i="68"/>
  <c r="BC128" i="68"/>
  <c r="BC131" i="68"/>
  <c r="BC126" i="68"/>
  <c r="BC127" i="68"/>
  <c r="BC129" i="68"/>
  <c r="BC130" i="68"/>
  <c r="AD126" i="68"/>
  <c r="AK127" i="68"/>
  <c r="T126" i="68"/>
  <c r="Q130" i="68"/>
  <c r="AR128" i="68"/>
  <c r="AR125" i="68"/>
  <c r="AR127" i="68"/>
  <c r="AR130" i="68"/>
  <c r="AR126" i="68"/>
  <c r="AR131" i="68"/>
  <c r="AR129" i="68"/>
  <c r="AW125" i="68"/>
  <c r="AW126" i="68"/>
  <c r="AW129" i="68"/>
  <c r="AW130" i="68"/>
  <c r="AW131" i="68"/>
  <c r="AW128" i="68"/>
  <c r="AW127" i="68"/>
  <c r="AV129" i="68"/>
  <c r="AV128" i="68"/>
  <c r="AV125" i="68"/>
  <c r="AV130" i="68"/>
  <c r="AV131" i="68"/>
  <c r="AV127" i="68"/>
  <c r="AV126" i="68"/>
  <c r="BB125" i="68"/>
  <c r="BB129" i="68"/>
  <c r="BB130" i="68"/>
  <c r="BB131" i="68"/>
  <c r="BB127" i="68"/>
  <c r="BB128" i="68"/>
  <c r="BB126" i="68"/>
  <c r="AD127" i="68"/>
  <c r="AK125" i="68"/>
  <c r="T129" i="68"/>
  <c r="Q128" i="68"/>
  <c r="AU131" i="68"/>
  <c r="AU125" i="68"/>
  <c r="AU128" i="68"/>
  <c r="AU130" i="68"/>
  <c r="AU126" i="68"/>
  <c r="AU127" i="68"/>
  <c r="AU129" i="68"/>
  <c r="AD130" i="68"/>
  <c r="AK128" i="68"/>
  <c r="T127" i="68"/>
  <c r="Q125" i="68"/>
  <c r="AY125" i="68"/>
  <c r="AY130" i="68"/>
  <c r="AY128" i="68"/>
  <c r="AY126" i="68"/>
  <c r="AY129" i="68"/>
  <c r="AY131" i="68"/>
  <c r="AY127" i="68"/>
  <c r="AD128" i="68"/>
  <c r="T130" i="68"/>
  <c r="Q131" i="68"/>
  <c r="AS129" i="68"/>
  <c r="AS127" i="68"/>
  <c r="AS126" i="68"/>
  <c r="AS128" i="68"/>
  <c r="AS125" i="68"/>
  <c r="AS130" i="68"/>
  <c r="AS131" i="68"/>
  <c r="AX130" i="68"/>
  <c r="AX129" i="68"/>
  <c r="AX127" i="68"/>
  <c r="AX125" i="68"/>
  <c r="AX126" i="68"/>
  <c r="AX131" i="68"/>
  <c r="AX128" i="68"/>
  <c r="AT125" i="68"/>
  <c r="AT126" i="68"/>
  <c r="AT129" i="68"/>
  <c r="AT127" i="68"/>
  <c r="AT130" i="68"/>
  <c r="AT131" i="68"/>
  <c r="AT128" i="68"/>
  <c r="AD125" i="68"/>
  <c r="AK129" i="68"/>
  <c r="Q129" i="68"/>
  <c r="AQ131" i="68"/>
  <c r="AQ130" i="68"/>
  <c r="AQ129" i="68"/>
  <c r="AQ126" i="68"/>
  <c r="AQ127" i="68"/>
  <c r="AQ125" i="68"/>
  <c r="AQ128" i="68"/>
  <c r="BA128" i="68"/>
  <c r="BA125" i="68"/>
  <c r="BA130" i="68"/>
  <c r="BA127" i="68"/>
  <c r="BA126" i="68"/>
  <c r="BA131" i="68"/>
  <c r="BA129" i="68"/>
  <c r="X111" i="70"/>
  <c r="X53" i="70"/>
  <c r="X74" i="70"/>
  <c r="X94" i="70" s="1"/>
  <c r="X33" i="70"/>
  <c r="Y2" i="70"/>
  <c r="Y123" i="68"/>
  <c r="Y78" i="68"/>
  <c r="Y102" i="68" s="1"/>
  <c r="Y56" i="68"/>
  <c r="Y35" i="68"/>
  <c r="Z2" i="68"/>
  <c r="Y111" i="69"/>
  <c r="Y53" i="69"/>
  <c r="Y74" i="69"/>
  <c r="Y94" i="69" s="1"/>
  <c r="Y33" i="69"/>
  <c r="Z2" i="69"/>
  <c r="Z123" i="67"/>
  <c r="Z78" i="67"/>
  <c r="Z102" i="67" s="1"/>
  <c r="Z56" i="67"/>
  <c r="Z35" i="67"/>
  <c r="AA2" i="67"/>
  <c r="O28" i="64"/>
  <c r="O29" i="64" s="1"/>
  <c r="O30" i="67" s="1"/>
  <c r="AR28" i="64"/>
  <c r="AR29" i="64" s="1"/>
  <c r="AR30" i="67" s="1"/>
  <c r="AG28" i="64"/>
  <c r="AG29" i="64" s="1"/>
  <c r="AG30" i="67" s="1"/>
  <c r="BA28" i="64"/>
  <c r="BA29" i="64" s="1"/>
  <c r="BA30" i="67" s="1"/>
  <c r="AJ28" i="64"/>
  <c r="AJ29" i="64" s="1"/>
  <c r="AJ30" i="67" s="1"/>
  <c r="Y28" i="64"/>
  <c r="Y29" i="64" s="1"/>
  <c r="Y30" i="67" s="1"/>
  <c r="AS28" i="64"/>
  <c r="AS29" i="64" s="1"/>
  <c r="AS30" i="67" s="1"/>
  <c r="AB28" i="64"/>
  <c r="AB29" i="64" s="1"/>
  <c r="AB30" i="67" s="1"/>
  <c r="Q28" i="64"/>
  <c r="Q29" i="64" s="1"/>
  <c r="Q30" i="67" s="1"/>
  <c r="BC28" i="64"/>
  <c r="BC29" i="64" s="1"/>
  <c r="BC30" i="67" s="1"/>
  <c r="AK28" i="64"/>
  <c r="AK29" i="64" s="1"/>
  <c r="AK30" i="67" s="1"/>
  <c r="T28" i="64"/>
  <c r="T29" i="64" s="1"/>
  <c r="T30" i="67" s="1"/>
  <c r="AV28" i="64"/>
  <c r="AV29" i="64" s="1"/>
  <c r="AV30" i="67" s="1"/>
  <c r="AU28" i="64"/>
  <c r="AU29" i="64" s="1"/>
  <c r="AU30" i="67" s="1"/>
  <c r="AC28" i="64"/>
  <c r="AC29" i="64" s="1"/>
  <c r="AC30" i="67" s="1"/>
  <c r="AQ28" i="64"/>
  <c r="AQ29" i="64" s="1"/>
  <c r="AQ30" i="67" s="1"/>
  <c r="AN28" i="64"/>
  <c r="AN29" i="64" s="1"/>
  <c r="AN30" i="67" s="1"/>
  <c r="AM28" i="64"/>
  <c r="AM29" i="64" s="1"/>
  <c r="AM30" i="67" s="1"/>
  <c r="U28" i="64"/>
  <c r="U29" i="64" s="1"/>
  <c r="U30" i="67" s="1"/>
  <c r="AH28" i="64"/>
  <c r="AH29" i="64" s="1"/>
  <c r="AH30" i="67" s="1"/>
  <c r="AF28" i="64"/>
  <c r="AF29" i="64" s="1"/>
  <c r="AF30" i="67" s="1"/>
  <c r="AY28" i="64"/>
  <c r="AY29" i="64" s="1"/>
  <c r="AY30" i="67" s="1"/>
  <c r="AE28" i="64"/>
  <c r="AE29" i="64" s="1"/>
  <c r="AE30" i="67" s="1"/>
  <c r="M28" i="64"/>
  <c r="AW28" i="64"/>
  <c r="AW29" i="64" s="1"/>
  <c r="AW30" i="67" s="1"/>
  <c r="X28" i="64"/>
  <c r="X29" i="64" s="1"/>
  <c r="X30" i="67" s="1"/>
  <c r="AI28" i="64"/>
  <c r="AI29" i="64" s="1"/>
  <c r="AI30" i="67" s="1"/>
  <c r="W28" i="64"/>
  <c r="W29" i="64" s="1"/>
  <c r="W30" i="67" s="1"/>
  <c r="AZ28" i="64"/>
  <c r="AZ29" i="64" s="1"/>
  <c r="AZ30" i="67" s="1"/>
  <c r="AO28" i="64"/>
  <c r="AO29" i="64" s="1"/>
  <c r="AO30" i="67" s="1"/>
  <c r="P28" i="64"/>
  <c r="P29" i="64" s="1"/>
  <c r="P30" i="67" s="1"/>
  <c r="BD28" i="64"/>
  <c r="BD29" i="64" s="1"/>
  <c r="BD30" i="67" s="1"/>
  <c r="Y76" i="62"/>
  <c r="AF76" i="62"/>
  <c r="S76" i="62"/>
  <c r="AA76" i="62"/>
  <c r="AB76" i="62"/>
  <c r="X54" i="62"/>
  <c r="AW76" i="62"/>
  <c r="AV54" i="62"/>
  <c r="AP76" i="62"/>
  <c r="W54" i="62"/>
  <c r="O76" i="62"/>
  <c r="AJ54" i="62"/>
  <c r="AB54" i="62"/>
  <c r="T54" i="62"/>
  <c r="AH76" i="62"/>
  <c r="AM54" i="62"/>
  <c r="AR76" i="62"/>
  <c r="AT76" i="62"/>
  <c r="AV76" i="62"/>
  <c r="AC76" i="62"/>
  <c r="BD76" i="62"/>
  <c r="AM76" i="62"/>
  <c r="AR54" i="62"/>
  <c r="BA76" i="62"/>
  <c r="AD3" i="60"/>
  <c r="V3" i="60"/>
  <c r="N3" i="60"/>
  <c r="AS76" i="62"/>
  <c r="Q54" i="62"/>
  <c r="AH3" i="60"/>
  <c r="R3" i="60"/>
  <c r="AJ76" i="62"/>
  <c r="Q76" i="62"/>
  <c r="AX76" i="62"/>
  <c r="AT54" i="62"/>
  <c r="P76" i="62"/>
  <c r="H2" i="64"/>
  <c r="G111" i="64"/>
  <c r="G53" i="64"/>
  <c r="G74" i="64"/>
  <c r="G33" i="64"/>
  <c r="Z76" i="62"/>
  <c r="W76" i="62"/>
  <c r="AD3" i="61"/>
  <c r="AC3" i="61"/>
  <c r="AF3" i="61"/>
  <c r="N76" i="62"/>
  <c r="U3" i="61"/>
  <c r="AI76" i="62"/>
  <c r="P3" i="61"/>
  <c r="S3" i="61"/>
  <c r="AG76" i="62"/>
  <c r="T76" i="62"/>
  <c r="AQ76" i="62"/>
  <c r="BB76" i="62"/>
  <c r="AY76" i="62"/>
  <c r="AK76" i="62"/>
  <c r="AK54" i="62"/>
  <c r="AL54" i="62"/>
  <c r="AE54" i="62"/>
  <c r="AD54" i="62"/>
  <c r="AA54" i="62"/>
  <c r="V54" i="62"/>
  <c r="O54" i="62"/>
  <c r="N54" i="62"/>
  <c r="AX54" i="62"/>
  <c r="AZ54" i="62"/>
  <c r="AP54" i="62"/>
  <c r="AG54" i="62"/>
  <c r="Z54" i="62"/>
  <c r="AF54" i="62"/>
  <c r="AQ54" i="62"/>
  <c r="AW54" i="62"/>
  <c r="BB54" i="62"/>
  <c r="AU54" i="62"/>
  <c r="U76" i="62"/>
  <c r="R54" i="62"/>
  <c r="AN54" i="62"/>
  <c r="X76" i="62"/>
  <c r="R76" i="62"/>
  <c r="AE76" i="62"/>
  <c r="AZ76" i="62"/>
  <c r="V76" i="62"/>
  <c r="AI54" i="62"/>
  <c r="AH54" i="62"/>
  <c r="AO54" i="62"/>
  <c r="Y54" i="62"/>
  <c r="AO76" i="62"/>
  <c r="AN76" i="62"/>
  <c r="AC54" i="62"/>
  <c r="S54" i="62"/>
  <c r="P54" i="62"/>
  <c r="U54" i="62"/>
  <c r="BC54" i="62"/>
  <c r="AY54" i="62"/>
  <c r="BD54" i="62"/>
  <c r="U3" i="60"/>
  <c r="AB3" i="60"/>
  <c r="AF3" i="60"/>
  <c r="Z3" i="60"/>
  <c r="AA3" i="60"/>
  <c r="X3" i="60"/>
  <c r="Y3" i="60"/>
  <c r="AE3" i="60"/>
  <c r="S3" i="60"/>
  <c r="T3" i="60"/>
  <c r="AG3" i="60"/>
  <c r="W3" i="60"/>
  <c r="Q3" i="60"/>
  <c r="AC3" i="60"/>
  <c r="O3" i="60"/>
  <c r="P3" i="60"/>
  <c r="X3" i="61"/>
  <c r="N3" i="61"/>
  <c r="AE3" i="61"/>
  <c r="W3" i="61"/>
  <c r="V3" i="61"/>
  <c r="O3" i="61"/>
  <c r="AA3" i="61"/>
  <c r="AG3" i="61"/>
  <c r="Q3" i="61"/>
  <c r="Y3" i="61"/>
  <c r="AL76" i="62"/>
  <c r="BC76" i="62"/>
  <c r="AD76" i="62"/>
  <c r="AU76" i="62"/>
  <c r="BA54" i="62"/>
  <c r="AS54" i="62"/>
  <c r="Y111" i="70" l="1"/>
  <c r="Y53" i="70"/>
  <c r="Y74" i="70"/>
  <c r="Y94" i="70" s="1"/>
  <c r="Y33" i="70"/>
  <c r="Z2" i="70"/>
  <c r="Z123" i="68"/>
  <c r="Z78" i="68"/>
  <c r="Z102" i="68" s="1"/>
  <c r="Z56" i="68"/>
  <c r="Z35" i="68"/>
  <c r="AA2" i="68"/>
  <c r="Z53" i="69"/>
  <c r="Z111" i="69"/>
  <c r="Z74" i="69"/>
  <c r="Z94" i="69" s="1"/>
  <c r="Z33" i="69"/>
  <c r="AA2" i="69"/>
  <c r="AA123" i="67"/>
  <c r="AA78" i="67"/>
  <c r="AA102" i="67" s="1"/>
  <c r="AA56" i="67"/>
  <c r="AA35" i="67"/>
  <c r="AB2" i="67"/>
  <c r="I2" i="64"/>
  <c r="H111" i="64"/>
  <c r="H53" i="64"/>
  <c r="H74" i="64"/>
  <c r="H33" i="64"/>
  <c r="M76" i="62"/>
  <c r="L59" i="64"/>
  <c r="L72" i="64" s="1"/>
  <c r="L76" i="67" s="1"/>
  <c r="K59" i="64"/>
  <c r="K72" i="64" s="1"/>
  <c r="K76" i="67" s="1"/>
  <c r="J59" i="64"/>
  <c r="J72" i="64" s="1"/>
  <c r="J76" i="67" s="1"/>
  <c r="I59" i="64"/>
  <c r="I72" i="64" s="1"/>
  <c r="I76" i="67" s="1"/>
  <c r="H59" i="64"/>
  <c r="H72" i="64" s="1"/>
  <c r="H76" i="67" s="1"/>
  <c r="G59" i="64"/>
  <c r="G72" i="64" s="1"/>
  <c r="G76" i="67" s="1"/>
  <c r="F59" i="64"/>
  <c r="F72" i="64" s="1"/>
  <c r="F76" i="67" s="1"/>
  <c r="E59" i="64"/>
  <c r="M54" i="62"/>
  <c r="L38" i="64"/>
  <c r="L51" i="64" s="1"/>
  <c r="L54" i="67" s="1"/>
  <c r="K38" i="64"/>
  <c r="K51" i="64" s="1"/>
  <c r="K54" i="67" s="1"/>
  <c r="J38" i="64"/>
  <c r="J51" i="64" s="1"/>
  <c r="J54" i="67" s="1"/>
  <c r="I38" i="64"/>
  <c r="I51" i="64" s="1"/>
  <c r="I54" i="67" s="1"/>
  <c r="H38" i="64"/>
  <c r="H51" i="64" s="1"/>
  <c r="H54" i="67" s="1"/>
  <c r="G38" i="64"/>
  <c r="G51" i="64" s="1"/>
  <c r="G54" i="67" s="1"/>
  <c r="F38" i="64"/>
  <c r="F51" i="64" s="1"/>
  <c r="F54" i="67" s="1"/>
  <c r="L7" i="64"/>
  <c r="K7" i="64"/>
  <c r="J7" i="64"/>
  <c r="I7" i="64"/>
  <c r="H7" i="64"/>
  <c r="G7" i="64"/>
  <c r="F7" i="64"/>
  <c r="Z74" i="70" l="1"/>
  <c r="Z94" i="70" s="1"/>
  <c r="Z111" i="70"/>
  <c r="Z33" i="70"/>
  <c r="AA2" i="70"/>
  <c r="Z53" i="70"/>
  <c r="AA78" i="68"/>
  <c r="AA102" i="68" s="1"/>
  <c r="AA123" i="68"/>
  <c r="AB2" i="68"/>
  <c r="AA56" i="68"/>
  <c r="AA35" i="68"/>
  <c r="AA111" i="69"/>
  <c r="AA74" i="69"/>
  <c r="AA94" i="69" s="1"/>
  <c r="AA53" i="69"/>
  <c r="AA33" i="69"/>
  <c r="AB2" i="69"/>
  <c r="AB123" i="67"/>
  <c r="AB78" i="67"/>
  <c r="AB102" i="67" s="1"/>
  <c r="AB56" i="67"/>
  <c r="AC2" i="67"/>
  <c r="AB35" i="67"/>
  <c r="F112" i="64"/>
  <c r="I112" i="64"/>
  <c r="E72" i="64"/>
  <c r="E112" i="64"/>
  <c r="J112" i="64"/>
  <c r="K112" i="64"/>
  <c r="L112" i="64"/>
  <c r="L3" i="61" s="1"/>
  <c r="G112" i="64"/>
  <c r="H112" i="64"/>
  <c r="J2" i="64"/>
  <c r="I111" i="64"/>
  <c r="I74" i="64"/>
  <c r="I33" i="64"/>
  <c r="I53" i="64"/>
  <c r="M29" i="64"/>
  <c r="M30" i="67" s="1"/>
  <c r="L75" i="62"/>
  <c r="L76" i="62" s="1"/>
  <c r="K75" i="62"/>
  <c r="K76" i="62" s="1"/>
  <c r="J62" i="62"/>
  <c r="I62" i="62"/>
  <c r="H62" i="62"/>
  <c r="G62" i="62"/>
  <c r="F62" i="62"/>
  <c r="L40" i="62"/>
  <c r="K40" i="62"/>
  <c r="J40" i="62"/>
  <c r="I40" i="62"/>
  <c r="H40" i="62"/>
  <c r="G40" i="62"/>
  <c r="F40" i="62"/>
  <c r="L7" i="62"/>
  <c r="L7" i="68" s="1"/>
  <c r="L3" i="71" s="1"/>
  <c r="K7" i="62"/>
  <c r="K7" i="68" s="1"/>
  <c r="K3" i="71" s="1"/>
  <c r="J7" i="62"/>
  <c r="J7" i="68" s="1"/>
  <c r="J3" i="71" s="1"/>
  <c r="I7" i="62"/>
  <c r="I7" i="68" s="1"/>
  <c r="I3" i="71" s="1"/>
  <c r="H7" i="62"/>
  <c r="H7" i="68" s="1"/>
  <c r="H3" i="71" s="1"/>
  <c r="G7" i="62"/>
  <c r="G7" i="68" s="1"/>
  <c r="G3" i="71" s="1"/>
  <c r="F7" i="62"/>
  <c r="F7" i="68" s="1"/>
  <c r="F3" i="71" s="1"/>
  <c r="F2" i="62"/>
  <c r="F123" i="62" s="1"/>
  <c r="D21" i="61"/>
  <c r="D20" i="61"/>
  <c r="D19" i="61"/>
  <c r="D18" i="61"/>
  <c r="B18" i="61"/>
  <c r="E13" i="61" s="1"/>
  <c r="D16" i="61"/>
  <c r="AH9" i="61"/>
  <c r="AG9" i="61"/>
  <c r="AF9" i="61"/>
  <c r="AE9" i="61"/>
  <c r="AD9" i="61"/>
  <c r="AC9" i="61"/>
  <c r="AB9" i="61"/>
  <c r="AA9" i="61"/>
  <c r="Z9" i="61"/>
  <c r="Y9" i="61"/>
  <c r="X9" i="61"/>
  <c r="W9" i="61"/>
  <c r="V9" i="61"/>
  <c r="U9" i="61"/>
  <c r="T9" i="61"/>
  <c r="S9" i="61"/>
  <c r="R9" i="61"/>
  <c r="Q9" i="61"/>
  <c r="P9" i="61"/>
  <c r="O9" i="61"/>
  <c r="N9" i="61"/>
  <c r="M9" i="61"/>
  <c r="L9" i="61"/>
  <c r="K9" i="61"/>
  <c r="J9" i="61"/>
  <c r="I9" i="61"/>
  <c r="H9" i="61"/>
  <c r="G9" i="61"/>
  <c r="F9" i="61"/>
  <c r="E9" i="61"/>
  <c r="AH8" i="61"/>
  <c r="AG7" i="61" s="1"/>
  <c r="AG8" i="61"/>
  <c r="AF7" i="61" s="1"/>
  <c r="AF8" i="61"/>
  <c r="AE7" i="61" s="1"/>
  <c r="AE8" i="61"/>
  <c r="AD7" i="61" s="1"/>
  <c r="AD8" i="61"/>
  <c r="AC7" i="61" s="1"/>
  <c r="AC8" i="61"/>
  <c r="AB8" i="61"/>
  <c r="AA7" i="61" s="1"/>
  <c r="AA8" i="61"/>
  <c r="Z7" i="61" s="1"/>
  <c r="Z8" i="61"/>
  <c r="Y7" i="61" s="1"/>
  <c r="Y8" i="61"/>
  <c r="X7" i="61" s="1"/>
  <c r="X8" i="61"/>
  <c r="W7" i="61" s="1"/>
  <c r="W8" i="61"/>
  <c r="V7" i="61" s="1"/>
  <c r="V8" i="61"/>
  <c r="U7" i="61" s="1"/>
  <c r="U8" i="61"/>
  <c r="T7" i="61" s="1"/>
  <c r="T8" i="61"/>
  <c r="S7" i="61" s="1"/>
  <c r="S8" i="61"/>
  <c r="R7" i="61" s="1"/>
  <c r="R8" i="61"/>
  <c r="Q7" i="61" s="1"/>
  <c r="Q8" i="61"/>
  <c r="P7" i="61" s="1"/>
  <c r="P8" i="61"/>
  <c r="O7" i="61" s="1"/>
  <c r="O8" i="61"/>
  <c r="N7" i="61" s="1"/>
  <c r="N8" i="61"/>
  <c r="M7" i="61" s="1"/>
  <c r="M8" i="61"/>
  <c r="L7" i="61" s="1"/>
  <c r="L8" i="61"/>
  <c r="K7" i="61" s="1"/>
  <c r="K8" i="61"/>
  <c r="J7" i="61" s="1"/>
  <c r="J8" i="61"/>
  <c r="I7" i="61" s="1"/>
  <c r="I8" i="61"/>
  <c r="H7" i="61" s="1"/>
  <c r="F7" i="61"/>
  <c r="F8" i="61"/>
  <c r="E7" i="61" s="1"/>
  <c r="E8" i="61"/>
  <c r="AH7" i="61"/>
  <c r="AB7" i="61"/>
  <c r="G7" i="61"/>
  <c r="F2" i="61"/>
  <c r="G2" i="61" s="1"/>
  <c r="H2" i="61" s="1"/>
  <c r="I2" i="61" s="1"/>
  <c r="J2" i="61" s="1"/>
  <c r="K2" i="61" s="1"/>
  <c r="L2" i="61" s="1"/>
  <c r="M2" i="61" s="1"/>
  <c r="N2" i="61" s="1"/>
  <c r="O2" i="61" s="1"/>
  <c r="P2" i="61" s="1"/>
  <c r="Q2" i="61" s="1"/>
  <c r="R2" i="61" s="1"/>
  <c r="S2" i="61" s="1"/>
  <c r="T2" i="61" s="1"/>
  <c r="U2" i="61" s="1"/>
  <c r="V2" i="61" s="1"/>
  <c r="W2" i="61" s="1"/>
  <c r="X2" i="61" s="1"/>
  <c r="Y2" i="61" s="1"/>
  <c r="Z2" i="61" s="1"/>
  <c r="AA2" i="61" s="1"/>
  <c r="AB2" i="61" s="1"/>
  <c r="AC2" i="61" s="1"/>
  <c r="AD2" i="61" s="1"/>
  <c r="AE2" i="61" s="1"/>
  <c r="AF2" i="61" s="1"/>
  <c r="AG2" i="61" s="1"/>
  <c r="AH2" i="61" s="1"/>
  <c r="AI2" i="61" s="1"/>
  <c r="AJ2" i="61" s="1"/>
  <c r="AK2" i="61" s="1"/>
  <c r="AL2" i="61" s="1"/>
  <c r="AM2" i="61" s="1"/>
  <c r="AN2" i="61" s="1"/>
  <c r="AO2" i="61" s="1"/>
  <c r="AP2" i="61" s="1"/>
  <c r="AQ2" i="61" s="1"/>
  <c r="AR2" i="61" s="1"/>
  <c r="AS2" i="61" s="1"/>
  <c r="AT2" i="61" s="1"/>
  <c r="AU2" i="61" s="1"/>
  <c r="AV2" i="61" s="1"/>
  <c r="AW2" i="61" s="1"/>
  <c r="AX2" i="61" s="1"/>
  <c r="AY2" i="61" s="1"/>
  <c r="AZ2" i="61" s="1"/>
  <c r="BA2" i="61" s="1"/>
  <c r="BB2" i="61" s="1"/>
  <c r="BC2" i="61" s="1"/>
  <c r="BD2" i="61" s="1"/>
  <c r="O8" i="60"/>
  <c r="M9" i="60"/>
  <c r="B18" i="60"/>
  <c r="E13" i="60" s="1"/>
  <c r="H75" i="62" l="1"/>
  <c r="H76" i="62" s="1"/>
  <c r="H62" i="68"/>
  <c r="I75" i="62"/>
  <c r="I76" i="62" s="1"/>
  <c r="I62" i="68"/>
  <c r="J75" i="62"/>
  <c r="J76" i="62" s="1"/>
  <c r="J62" i="68"/>
  <c r="F75" i="62"/>
  <c r="F76" i="62" s="1"/>
  <c r="F62" i="68"/>
  <c r="G75" i="62"/>
  <c r="G76" i="62" s="1"/>
  <c r="G62" i="68"/>
  <c r="G53" i="62"/>
  <c r="G54" i="62" s="1"/>
  <c r="G40" i="68"/>
  <c r="G4" i="71" s="1"/>
  <c r="H53" i="62"/>
  <c r="H54" i="62" s="1"/>
  <c r="H40" i="68"/>
  <c r="H4" i="71" s="1"/>
  <c r="I53" i="62"/>
  <c r="I54" i="62" s="1"/>
  <c r="I40" i="68"/>
  <c r="J53" i="62"/>
  <c r="J54" i="62" s="1"/>
  <c r="J40" i="68"/>
  <c r="J4" i="71" s="1"/>
  <c r="K53" i="62"/>
  <c r="K54" i="62" s="1"/>
  <c r="K40" i="68"/>
  <c r="L53" i="62"/>
  <c r="L54" i="62" s="1"/>
  <c r="L40" i="68"/>
  <c r="F53" i="62"/>
  <c r="F54" i="62" s="1"/>
  <c r="F40" i="68"/>
  <c r="F4" i="71" s="1"/>
  <c r="F29" i="68"/>
  <c r="F30" i="68" s="1"/>
  <c r="G29" i="68"/>
  <c r="G30" i="68" s="1"/>
  <c r="H29" i="68"/>
  <c r="H30" i="68" s="1"/>
  <c r="I29" i="68"/>
  <c r="I30" i="68" s="1"/>
  <c r="J29" i="68"/>
  <c r="J30" i="68" s="1"/>
  <c r="K29" i="68"/>
  <c r="K30" i="68" s="1"/>
  <c r="L29" i="68"/>
  <c r="L30" i="68" s="1"/>
  <c r="E76" i="62"/>
  <c r="E76" i="67"/>
  <c r="AA111" i="70"/>
  <c r="AA74" i="70"/>
  <c r="AA94" i="70" s="1"/>
  <c r="AA33" i="70"/>
  <c r="AB2" i="70"/>
  <c r="AA53" i="70"/>
  <c r="AB78" i="68"/>
  <c r="AB102" i="68" s="1"/>
  <c r="AB123" i="68"/>
  <c r="AC2" i="68"/>
  <c r="AB56" i="68"/>
  <c r="AB35" i="68"/>
  <c r="AB53" i="69"/>
  <c r="AB111" i="69"/>
  <c r="AB74" i="69"/>
  <c r="AB94" i="69" s="1"/>
  <c r="AB33" i="69"/>
  <c r="AC2" i="69"/>
  <c r="AC123" i="67"/>
  <c r="AC56" i="67"/>
  <c r="AC35" i="67"/>
  <c r="AC78" i="67"/>
  <c r="AC102" i="67" s="1"/>
  <c r="AD2" i="67"/>
  <c r="J124" i="62"/>
  <c r="H124" i="62"/>
  <c r="G124" i="62"/>
  <c r="I124" i="62"/>
  <c r="K124" i="62"/>
  <c r="L124" i="62"/>
  <c r="F124" i="62"/>
  <c r="G2" i="62"/>
  <c r="G123" i="62" s="1"/>
  <c r="F78" i="62"/>
  <c r="F35" i="62"/>
  <c r="F56" i="62"/>
  <c r="J3" i="61"/>
  <c r="I3" i="61"/>
  <c r="H3" i="61"/>
  <c r="K2" i="64"/>
  <c r="J74" i="64"/>
  <c r="J33" i="64"/>
  <c r="J111" i="64"/>
  <c r="J53" i="64"/>
  <c r="E3" i="61"/>
  <c r="E14" i="61" s="1"/>
  <c r="G3" i="61"/>
  <c r="K3" i="61"/>
  <c r="F3" i="61"/>
  <c r="M3" i="61"/>
  <c r="E19" i="61"/>
  <c r="E20" i="60"/>
  <c r="E21" i="60"/>
  <c r="E18" i="61"/>
  <c r="F13" i="61"/>
  <c r="E21" i="61"/>
  <c r="E20" i="61"/>
  <c r="F75" i="68" l="1"/>
  <c r="F76" i="68" s="1"/>
  <c r="F5" i="71"/>
  <c r="F8" i="71" s="1"/>
  <c r="J75" i="68"/>
  <c r="J76" i="68" s="1"/>
  <c r="J5" i="71"/>
  <c r="J8" i="71" s="1"/>
  <c r="I75" i="68"/>
  <c r="I76" i="68" s="1"/>
  <c r="I5" i="71"/>
  <c r="G75" i="68"/>
  <c r="G76" i="68" s="1"/>
  <c r="G5" i="71"/>
  <c r="G8" i="71" s="1"/>
  <c r="H75" i="68"/>
  <c r="H76" i="68" s="1"/>
  <c r="H5" i="71"/>
  <c r="H8" i="71" s="1"/>
  <c r="I124" i="68"/>
  <c r="I131" i="68" s="1"/>
  <c r="I4" i="71"/>
  <c r="L124" i="68"/>
  <c r="L130" i="68" s="1"/>
  <c r="L4" i="71"/>
  <c r="L8" i="71" s="1"/>
  <c r="K124" i="68"/>
  <c r="K130" i="68" s="1"/>
  <c r="K4" i="71"/>
  <c r="K8" i="71" s="1"/>
  <c r="J124" i="68"/>
  <c r="J127" i="68" s="1"/>
  <c r="F124" i="68"/>
  <c r="F125" i="68" s="1"/>
  <c r="H124" i="68"/>
  <c r="H125" i="68" s="1"/>
  <c r="G124" i="68"/>
  <c r="G129" i="68" s="1"/>
  <c r="AB111" i="70"/>
  <c r="AB74" i="70"/>
  <c r="AB94" i="70" s="1"/>
  <c r="AB33" i="70"/>
  <c r="AB53" i="70"/>
  <c r="AC2" i="70"/>
  <c r="AC123" i="68"/>
  <c r="AC78" i="68"/>
  <c r="AC102" i="68" s="1"/>
  <c r="AC56" i="68"/>
  <c r="AC35" i="68"/>
  <c r="AD2" i="68"/>
  <c r="AC111" i="69"/>
  <c r="AC74" i="69"/>
  <c r="AC94" i="69" s="1"/>
  <c r="AC53" i="69"/>
  <c r="AD2" i="69"/>
  <c r="AC33" i="69"/>
  <c r="AD123" i="67"/>
  <c r="AD78" i="67"/>
  <c r="AD102" i="67" s="1"/>
  <c r="AE2" i="67"/>
  <c r="AD56" i="67"/>
  <c r="AD35" i="67"/>
  <c r="H2" i="62"/>
  <c r="H123" i="62" s="1"/>
  <c r="G78" i="62"/>
  <c r="G35" i="62"/>
  <c r="G56" i="62"/>
  <c r="L2" i="64"/>
  <c r="K74" i="64"/>
  <c r="K33" i="64"/>
  <c r="K111" i="64"/>
  <c r="K53" i="64"/>
  <c r="F3" i="60"/>
  <c r="E3" i="60"/>
  <c r="K3" i="60"/>
  <c r="I3" i="60"/>
  <c r="H3" i="60"/>
  <c r="M3" i="60"/>
  <c r="G3" i="60"/>
  <c r="L3" i="60"/>
  <c r="J3" i="60"/>
  <c r="F20" i="61"/>
  <c r="F21" i="61"/>
  <c r="G13" i="61"/>
  <c r="F18" i="61"/>
  <c r="F19" i="61"/>
  <c r="F14" i="61"/>
  <c r="AH9" i="60"/>
  <c r="AG8" i="60" s="1"/>
  <c r="AG9" i="60"/>
  <c r="AF9" i="60"/>
  <c r="AE8" i="60" s="1"/>
  <c r="AE9" i="60"/>
  <c r="AD9" i="60"/>
  <c r="AC8" i="60" s="1"/>
  <c r="AC9" i="60"/>
  <c r="AB9" i="60"/>
  <c r="AA9" i="60"/>
  <c r="Z8" i="60" s="1"/>
  <c r="Z9" i="60"/>
  <c r="Y9" i="60"/>
  <c r="X8" i="60" s="1"/>
  <c r="X9" i="60"/>
  <c r="W8" i="60" s="1"/>
  <c r="W9" i="60"/>
  <c r="V9" i="60"/>
  <c r="U8" i="60" s="1"/>
  <c r="U9" i="60"/>
  <c r="T8" i="60" s="1"/>
  <c r="T9" i="60"/>
  <c r="S9" i="60"/>
  <c r="R9" i="60"/>
  <c r="P8" i="60" s="1"/>
  <c r="O7" i="60" s="1"/>
  <c r="P9" i="60"/>
  <c r="N8" i="60" s="1"/>
  <c r="O9" i="60"/>
  <c r="N9" i="60"/>
  <c r="L8" i="60"/>
  <c r="L9" i="60"/>
  <c r="K8" i="60" s="1"/>
  <c r="K9" i="60"/>
  <c r="J9" i="60"/>
  <c r="I8" i="60" s="1"/>
  <c r="H7" i="60" s="1"/>
  <c r="I9" i="60"/>
  <c r="H8" i="60" s="1"/>
  <c r="H9" i="60"/>
  <c r="G8" i="60" s="1"/>
  <c r="G9" i="60"/>
  <c r="F9" i="60"/>
  <c r="AH8" i="60"/>
  <c r="AD8" i="60"/>
  <c r="I128" i="68" l="1"/>
  <c r="I130" i="68"/>
  <c r="I125" i="68"/>
  <c r="I126" i="68"/>
  <c r="L128" i="68"/>
  <c r="L125" i="68"/>
  <c r="L126" i="68"/>
  <c r="I127" i="68"/>
  <c r="I129" i="68"/>
  <c r="L127" i="68"/>
  <c r="L131" i="68"/>
  <c r="K126" i="68"/>
  <c r="L129" i="68"/>
  <c r="K128" i="68"/>
  <c r="K131" i="68"/>
  <c r="I8" i="71"/>
  <c r="K127" i="68"/>
  <c r="K125" i="68"/>
  <c r="K129" i="68"/>
  <c r="J126" i="68"/>
  <c r="J129" i="68"/>
  <c r="J125" i="68"/>
  <c r="J131" i="68"/>
  <c r="J128" i="68"/>
  <c r="J130" i="68"/>
  <c r="F126" i="68"/>
  <c r="F127" i="68"/>
  <c r="F130" i="68"/>
  <c r="F129" i="68"/>
  <c r="F128" i="68"/>
  <c r="F131" i="68"/>
  <c r="H130" i="68"/>
  <c r="H127" i="68"/>
  <c r="H128" i="68"/>
  <c r="H131" i="68"/>
  <c r="H129" i="68"/>
  <c r="H126" i="68"/>
  <c r="G131" i="68"/>
  <c r="G126" i="68"/>
  <c r="G128" i="68"/>
  <c r="G130" i="68"/>
  <c r="G127" i="68"/>
  <c r="G125" i="68"/>
  <c r="AC111" i="70"/>
  <c r="AC74" i="70"/>
  <c r="AC94" i="70" s="1"/>
  <c r="AC33" i="70"/>
  <c r="AC53" i="70"/>
  <c r="AD2" i="70"/>
  <c r="AD78" i="68"/>
  <c r="AD102" i="68" s="1"/>
  <c r="AD123" i="68"/>
  <c r="AD56" i="68"/>
  <c r="AD35" i="68"/>
  <c r="AE2" i="68"/>
  <c r="AD111" i="69"/>
  <c r="AD74" i="69"/>
  <c r="AD94" i="69" s="1"/>
  <c r="AD53" i="69"/>
  <c r="AE2" i="69"/>
  <c r="AD33" i="69"/>
  <c r="AE78" i="67"/>
  <c r="AE102" i="67" s="1"/>
  <c r="AE123" i="67"/>
  <c r="AF2" i="67"/>
  <c r="AE56" i="67"/>
  <c r="AE35" i="67"/>
  <c r="AF8" i="60"/>
  <c r="AB8" i="60"/>
  <c r="I2" i="62"/>
  <c r="I123" i="62" s="1"/>
  <c r="H78" i="62"/>
  <c r="H35" i="62"/>
  <c r="H56" i="62"/>
  <c r="M2" i="64"/>
  <c r="L74" i="64"/>
  <c r="L33" i="64"/>
  <c r="L111" i="64"/>
  <c r="L53" i="64"/>
  <c r="M8" i="60"/>
  <c r="L7" i="60" s="1"/>
  <c r="V8" i="60"/>
  <c r="Y8" i="60"/>
  <c r="X7" i="60" s="1"/>
  <c r="F8" i="60"/>
  <c r="E7" i="60" s="1"/>
  <c r="E18" i="60" s="1"/>
  <c r="E8" i="60"/>
  <c r="E19" i="60" s="1"/>
  <c r="R8" i="60"/>
  <c r="Q7" i="60" s="1"/>
  <c r="Q8" i="60"/>
  <c r="P7" i="60" s="1"/>
  <c r="J8" i="60"/>
  <c r="I7" i="60" s="1"/>
  <c r="S8" i="60"/>
  <c r="R7" i="60" s="1"/>
  <c r="AA8" i="60"/>
  <c r="E14" i="60"/>
  <c r="G20" i="61"/>
  <c r="G21" i="61"/>
  <c r="H13" i="61"/>
  <c r="G18" i="61"/>
  <c r="G19" i="61"/>
  <c r="G14" i="61"/>
  <c r="AH7" i="60"/>
  <c r="D21" i="60"/>
  <c r="D20" i="60"/>
  <c r="D19" i="60"/>
  <c r="D18" i="60"/>
  <c r="D16" i="60"/>
  <c r="AC7" i="60"/>
  <c r="Y7" i="60"/>
  <c r="U7" i="60"/>
  <c r="M7" i="60"/>
  <c r="AG7" i="60"/>
  <c r="AF7" i="60"/>
  <c r="AE7" i="60"/>
  <c r="AD7" i="60"/>
  <c r="AB7" i="60"/>
  <c r="AA7" i="60"/>
  <c r="Z7" i="60"/>
  <c r="W7" i="60"/>
  <c r="V7" i="60"/>
  <c r="T7" i="60"/>
  <c r="S7" i="60"/>
  <c r="N7" i="60"/>
  <c r="K7" i="60"/>
  <c r="J7" i="60"/>
  <c r="G7" i="60"/>
  <c r="F7" i="60"/>
  <c r="F2" i="60"/>
  <c r="G2" i="60" s="1"/>
  <c r="H2" i="60" s="1"/>
  <c r="I2" i="60" s="1"/>
  <c r="J2" i="60" s="1"/>
  <c r="K2" i="60" s="1"/>
  <c r="L2" i="60" s="1"/>
  <c r="M2" i="60" s="1"/>
  <c r="N2" i="60" s="1"/>
  <c r="O2" i="60" s="1"/>
  <c r="P2" i="60" s="1"/>
  <c r="Q2" i="60" s="1"/>
  <c r="R2" i="60" s="1"/>
  <c r="S2" i="60" s="1"/>
  <c r="T2" i="60" s="1"/>
  <c r="U2" i="60" s="1"/>
  <c r="V2" i="60" s="1"/>
  <c r="W2" i="60" s="1"/>
  <c r="X2" i="60" s="1"/>
  <c r="Y2" i="60" s="1"/>
  <c r="Z2" i="60" s="1"/>
  <c r="AA2" i="60" s="1"/>
  <c r="AB2" i="60" s="1"/>
  <c r="AC2" i="60" s="1"/>
  <c r="AD2" i="60" s="1"/>
  <c r="AE2" i="60" s="1"/>
  <c r="AF2" i="60" s="1"/>
  <c r="AG2" i="60" s="1"/>
  <c r="AH2" i="60" s="1"/>
  <c r="AI2" i="60" s="1"/>
  <c r="AJ2" i="60" s="1"/>
  <c r="AK2" i="60" s="1"/>
  <c r="AL2" i="60" s="1"/>
  <c r="AM2" i="60" s="1"/>
  <c r="AN2" i="60" s="1"/>
  <c r="AO2" i="60" s="1"/>
  <c r="AP2" i="60" s="1"/>
  <c r="AQ2" i="60" s="1"/>
  <c r="AR2" i="60" s="1"/>
  <c r="AS2" i="60" s="1"/>
  <c r="AT2" i="60" s="1"/>
  <c r="AU2" i="60" s="1"/>
  <c r="AV2" i="60" s="1"/>
  <c r="AW2" i="60" s="1"/>
  <c r="AX2" i="60" s="1"/>
  <c r="AY2" i="60" s="1"/>
  <c r="AZ2" i="60" s="1"/>
  <c r="BA2" i="60" s="1"/>
  <c r="BB2" i="60" s="1"/>
  <c r="BC2" i="60" s="1"/>
  <c r="BD2" i="60" s="1"/>
  <c r="AD111" i="70" l="1"/>
  <c r="AD74" i="70"/>
  <c r="AD94" i="70" s="1"/>
  <c r="AE2" i="70"/>
  <c r="AD53" i="70"/>
  <c r="AD33" i="70"/>
  <c r="AE123" i="68"/>
  <c r="AE78" i="68"/>
  <c r="AE102" i="68" s="1"/>
  <c r="AE56" i="68"/>
  <c r="AE35" i="68"/>
  <c r="AF2" i="68"/>
  <c r="AE111" i="69"/>
  <c r="AE74" i="69"/>
  <c r="AE94" i="69" s="1"/>
  <c r="AE53" i="69"/>
  <c r="AF2" i="69"/>
  <c r="AE33" i="69"/>
  <c r="AF123" i="67"/>
  <c r="AG2" i="67"/>
  <c r="AF56" i="67"/>
  <c r="AF35" i="67"/>
  <c r="AF78" i="67"/>
  <c r="AF102" i="67" s="1"/>
  <c r="J2" i="62"/>
  <c r="J123" i="62" s="1"/>
  <c r="I78" i="62"/>
  <c r="I56" i="62"/>
  <c r="I35" i="62"/>
  <c r="N2" i="64"/>
  <c r="M74" i="64"/>
  <c r="M33" i="64"/>
  <c r="M111" i="64"/>
  <c r="M53" i="64"/>
  <c r="H21" i="61"/>
  <c r="I13" i="61"/>
  <c r="H18" i="61"/>
  <c r="H19" i="61"/>
  <c r="H14" i="61"/>
  <c r="H20" i="61"/>
  <c r="F13" i="60"/>
  <c r="AF2" i="70" l="1"/>
  <c r="AE53" i="70"/>
  <c r="AE74" i="70"/>
  <c r="AE94" i="70" s="1"/>
  <c r="AE33" i="70"/>
  <c r="AE111" i="70"/>
  <c r="AF123" i="68"/>
  <c r="AF78" i="68"/>
  <c r="AF102" i="68" s="1"/>
  <c r="AF56" i="68"/>
  <c r="AF35" i="68"/>
  <c r="AG2" i="68"/>
  <c r="AF111" i="69"/>
  <c r="AF74" i="69"/>
  <c r="AF94" i="69" s="1"/>
  <c r="AF53" i="69"/>
  <c r="AG2" i="69"/>
  <c r="AF33" i="69"/>
  <c r="AG123" i="67"/>
  <c r="AH2" i="67"/>
  <c r="AG56" i="67"/>
  <c r="AG35" i="67"/>
  <c r="AG78" i="67"/>
  <c r="AG102" i="67" s="1"/>
  <c r="K2" i="62"/>
  <c r="K123" i="62" s="1"/>
  <c r="J56" i="62"/>
  <c r="J78" i="62"/>
  <c r="J35" i="62"/>
  <c r="O2" i="64"/>
  <c r="N111" i="64"/>
  <c r="N53" i="64"/>
  <c r="N74" i="64"/>
  <c r="N33" i="64"/>
  <c r="I21" i="61"/>
  <c r="J13" i="61"/>
  <c r="I18" i="61"/>
  <c r="I19" i="61"/>
  <c r="I14" i="61"/>
  <c r="I20" i="61"/>
  <c r="F18" i="60"/>
  <c r="G13" i="60"/>
  <c r="F14" i="60"/>
  <c r="F21" i="60"/>
  <c r="F20" i="60"/>
  <c r="F19" i="60"/>
  <c r="AF111" i="70" l="1"/>
  <c r="AF53" i="70"/>
  <c r="AF33" i="70"/>
  <c r="AF74" i="70"/>
  <c r="AF94" i="70" s="1"/>
  <c r="AG2" i="70"/>
  <c r="AG123" i="68"/>
  <c r="AG78" i="68"/>
  <c r="AG102" i="68" s="1"/>
  <c r="AG56" i="68"/>
  <c r="AG35" i="68"/>
  <c r="AH2" i="68"/>
  <c r="AG111" i="69"/>
  <c r="AG53" i="69"/>
  <c r="AG74" i="69"/>
  <c r="AG94" i="69" s="1"/>
  <c r="AG33" i="69"/>
  <c r="AH2" i="69"/>
  <c r="AH123" i="67"/>
  <c r="AH78" i="67"/>
  <c r="AH102" i="67" s="1"/>
  <c r="AI2" i="67"/>
  <c r="AH56" i="67"/>
  <c r="AH35" i="67"/>
  <c r="L2" i="62"/>
  <c r="L123" i="62" s="1"/>
  <c r="K56" i="62"/>
  <c r="K78" i="62"/>
  <c r="K35" i="62"/>
  <c r="P2" i="64"/>
  <c r="O111" i="64"/>
  <c r="O53" i="64"/>
  <c r="O74" i="64"/>
  <c r="O33" i="64"/>
  <c r="J18" i="61"/>
  <c r="J19" i="61"/>
  <c r="J14" i="61"/>
  <c r="J20" i="61"/>
  <c r="J21" i="61"/>
  <c r="K13" i="61"/>
  <c r="G21" i="60"/>
  <c r="G19" i="60"/>
  <c r="G20" i="60"/>
  <c r="H13" i="60"/>
  <c r="G14" i="60"/>
  <c r="G18" i="60"/>
  <c r="AG111" i="70" l="1"/>
  <c r="AG53" i="70"/>
  <c r="AG33" i="70"/>
  <c r="AG74" i="70"/>
  <c r="AG94" i="70" s="1"/>
  <c r="AH2" i="70"/>
  <c r="AH78" i="68"/>
  <c r="AH102" i="68" s="1"/>
  <c r="AH123" i="68"/>
  <c r="AH56" i="68"/>
  <c r="AH35" i="68"/>
  <c r="AI2" i="68"/>
  <c r="AH53" i="69"/>
  <c r="AH74" i="69"/>
  <c r="AH94" i="69" s="1"/>
  <c r="AH111" i="69"/>
  <c r="AH33" i="69"/>
  <c r="AI2" i="69"/>
  <c r="AI123" i="67"/>
  <c r="AJ2" i="67"/>
  <c r="AI56" i="67"/>
  <c r="AI35" i="67"/>
  <c r="AI78" i="67"/>
  <c r="AI102" i="67" s="1"/>
  <c r="M2" i="62"/>
  <c r="M123" i="62" s="1"/>
  <c r="L56" i="62"/>
  <c r="L78" i="62"/>
  <c r="L35" i="62"/>
  <c r="Q2" i="64"/>
  <c r="P111" i="64"/>
  <c r="P53" i="64"/>
  <c r="P74" i="64"/>
  <c r="P33" i="64"/>
  <c r="K18" i="61"/>
  <c r="K19" i="61"/>
  <c r="K14" i="61"/>
  <c r="K20" i="61"/>
  <c r="K21" i="61"/>
  <c r="L13" i="61"/>
  <c r="H20" i="60"/>
  <c r="I13" i="60"/>
  <c r="H14" i="60"/>
  <c r="H21" i="60"/>
  <c r="H19" i="60"/>
  <c r="H18" i="60"/>
  <c r="AH74" i="70" l="1"/>
  <c r="AH94" i="70" s="1"/>
  <c r="AH33" i="70"/>
  <c r="AH53" i="70"/>
  <c r="AH111" i="70"/>
  <c r="AI2" i="70"/>
  <c r="AI123" i="68"/>
  <c r="AI78" i="68"/>
  <c r="AI102" i="68" s="1"/>
  <c r="AJ2" i="68"/>
  <c r="AI35" i="68"/>
  <c r="AI56" i="68"/>
  <c r="AI74" i="69"/>
  <c r="AI94" i="69" s="1"/>
  <c r="AI111" i="69"/>
  <c r="AI33" i="69"/>
  <c r="AI53" i="69"/>
  <c r="AJ2" i="69"/>
  <c r="AJ123" i="67"/>
  <c r="AJ56" i="67"/>
  <c r="AJ35" i="67"/>
  <c r="AJ78" i="67"/>
  <c r="AJ102" i="67" s="1"/>
  <c r="AK2" i="67"/>
  <c r="M78" i="62"/>
  <c r="M35" i="62"/>
  <c r="M56" i="62"/>
  <c r="N2" i="62"/>
  <c r="N123" i="62" s="1"/>
  <c r="R2" i="64"/>
  <c r="Q111" i="64"/>
  <c r="Q53" i="64"/>
  <c r="Q74" i="64"/>
  <c r="Q33" i="64"/>
  <c r="L19" i="61"/>
  <c r="L14" i="61"/>
  <c r="L20" i="61"/>
  <c r="L21" i="61"/>
  <c r="M13" i="61"/>
  <c r="L18" i="61"/>
  <c r="I19" i="60"/>
  <c r="I14" i="60"/>
  <c r="I20" i="60"/>
  <c r="J13" i="60"/>
  <c r="I21" i="60"/>
  <c r="I18" i="60"/>
  <c r="AI111" i="70" l="1"/>
  <c r="AI33" i="70"/>
  <c r="AI74" i="70"/>
  <c r="AI94" i="70" s="1"/>
  <c r="AJ2" i="70"/>
  <c r="AI53" i="70"/>
  <c r="AJ78" i="68"/>
  <c r="AJ102" i="68" s="1"/>
  <c r="AJ123" i="68"/>
  <c r="AK2" i="68"/>
  <c r="AJ35" i="68"/>
  <c r="AJ56" i="68"/>
  <c r="AJ53" i="69"/>
  <c r="AJ74" i="69"/>
  <c r="AJ94" i="69" s="1"/>
  <c r="AJ111" i="69"/>
  <c r="AJ33" i="69"/>
  <c r="AK2" i="69"/>
  <c r="AK123" i="67"/>
  <c r="AK56" i="67"/>
  <c r="AK35" i="67"/>
  <c r="AK78" i="67"/>
  <c r="AK102" i="67" s="1"/>
  <c r="AL2" i="67"/>
  <c r="O2" i="62"/>
  <c r="O123" i="62" s="1"/>
  <c r="N78" i="62"/>
  <c r="N35" i="62"/>
  <c r="N56" i="62"/>
  <c r="S2" i="64"/>
  <c r="R74" i="64"/>
  <c r="R33" i="64"/>
  <c r="R111" i="64"/>
  <c r="R53" i="64"/>
  <c r="M19" i="61"/>
  <c r="M14" i="61"/>
  <c r="M20" i="61"/>
  <c r="M21" i="61"/>
  <c r="N13" i="61"/>
  <c r="M18" i="61"/>
  <c r="J20" i="60"/>
  <c r="J14" i="60"/>
  <c r="K13" i="60"/>
  <c r="J21" i="60"/>
  <c r="J19" i="60"/>
  <c r="J18" i="60"/>
  <c r="AJ33" i="70" l="1"/>
  <c r="AJ74" i="70"/>
  <c r="AJ94" i="70" s="1"/>
  <c r="AJ111" i="70"/>
  <c r="AJ53" i="70"/>
  <c r="AK2" i="70"/>
  <c r="AK123" i="68"/>
  <c r="AK56" i="68"/>
  <c r="AK35" i="68"/>
  <c r="AL2" i="68"/>
  <c r="AK78" i="68"/>
  <c r="AK102" i="68" s="1"/>
  <c r="AK111" i="69"/>
  <c r="AK74" i="69"/>
  <c r="AK94" i="69" s="1"/>
  <c r="AL2" i="69"/>
  <c r="AK53" i="69"/>
  <c r="AK33" i="69"/>
  <c r="AL78" i="67"/>
  <c r="AL102" i="67" s="1"/>
  <c r="AL123" i="67"/>
  <c r="AL56" i="67"/>
  <c r="AM2" i="67"/>
  <c r="AL35" i="67"/>
  <c r="P2" i="62"/>
  <c r="P123" i="62" s="1"/>
  <c r="O78" i="62"/>
  <c r="O35" i="62"/>
  <c r="O56" i="62"/>
  <c r="T2" i="64"/>
  <c r="S74" i="64"/>
  <c r="S33" i="64"/>
  <c r="S111" i="64"/>
  <c r="S53" i="64"/>
  <c r="N20" i="61"/>
  <c r="N21" i="61"/>
  <c r="O13" i="61"/>
  <c r="N18" i="61"/>
  <c r="N19" i="61"/>
  <c r="N14" i="61"/>
  <c r="L13" i="60"/>
  <c r="K14" i="60"/>
  <c r="K21" i="60"/>
  <c r="K20" i="60"/>
  <c r="K19" i="60"/>
  <c r="K18" i="60"/>
  <c r="AK111" i="70" l="1"/>
  <c r="AK33" i="70"/>
  <c r="AK74" i="70"/>
  <c r="AK94" i="70" s="1"/>
  <c r="AK53" i="70"/>
  <c r="AL2" i="70"/>
  <c r="AL123" i="68"/>
  <c r="AL78" i="68"/>
  <c r="AL102" i="68" s="1"/>
  <c r="AL56" i="68"/>
  <c r="AL35" i="68"/>
  <c r="AM2" i="68"/>
  <c r="AL74" i="69"/>
  <c r="AL94" i="69" s="1"/>
  <c r="AL111" i="69"/>
  <c r="AL53" i="69"/>
  <c r="AM2" i="69"/>
  <c r="AL33" i="69"/>
  <c r="AM78" i="67"/>
  <c r="AM102" i="67" s="1"/>
  <c r="AM123" i="67"/>
  <c r="AM56" i="67"/>
  <c r="AN2" i="67"/>
  <c r="AM35" i="67"/>
  <c r="Q2" i="62"/>
  <c r="Q123" i="62" s="1"/>
  <c r="P78" i="62"/>
  <c r="P35" i="62"/>
  <c r="P56" i="62"/>
  <c r="U2" i="64"/>
  <c r="T74" i="64"/>
  <c r="T33" i="64"/>
  <c r="T111" i="64"/>
  <c r="T53" i="64"/>
  <c r="O20" i="61"/>
  <c r="O21" i="61"/>
  <c r="P13" i="61"/>
  <c r="O18" i="61"/>
  <c r="O19" i="61"/>
  <c r="O14" i="61"/>
  <c r="L20" i="60"/>
  <c r="M13" i="60"/>
  <c r="L21" i="60"/>
  <c r="L14" i="60"/>
  <c r="L19" i="60"/>
  <c r="L18" i="60"/>
  <c r="AL111" i="70" l="1"/>
  <c r="AL74" i="70"/>
  <c r="AL94" i="70" s="1"/>
  <c r="AM2" i="70"/>
  <c r="AL53" i="70"/>
  <c r="AL33" i="70"/>
  <c r="AM123" i="68"/>
  <c r="AM56" i="68"/>
  <c r="AM35" i="68"/>
  <c r="AM78" i="68"/>
  <c r="AM102" i="68" s="1"/>
  <c r="AN2" i="68"/>
  <c r="AM74" i="69"/>
  <c r="AM94" i="69" s="1"/>
  <c r="AM111" i="69"/>
  <c r="AM53" i="69"/>
  <c r="AN2" i="69"/>
  <c r="AM33" i="69"/>
  <c r="AN123" i="67"/>
  <c r="AN78" i="67"/>
  <c r="AN102" i="67" s="1"/>
  <c r="AO2" i="67"/>
  <c r="AN35" i="67"/>
  <c r="AN56" i="67"/>
  <c r="R2" i="62"/>
  <c r="R123" i="62" s="1"/>
  <c r="Q78" i="62"/>
  <c r="Q56" i="62"/>
  <c r="Q35" i="62"/>
  <c r="V2" i="64"/>
  <c r="U33" i="64"/>
  <c r="U111" i="64"/>
  <c r="U53" i="64"/>
  <c r="U74" i="64"/>
  <c r="P21" i="61"/>
  <c r="Q13" i="61"/>
  <c r="P18" i="61"/>
  <c r="P19" i="61"/>
  <c r="P14" i="61"/>
  <c r="P20" i="61"/>
  <c r="M21" i="60"/>
  <c r="N13" i="60"/>
  <c r="M19" i="60"/>
  <c r="M20" i="60"/>
  <c r="M14" i="60"/>
  <c r="M18" i="60"/>
  <c r="AM111" i="70" l="1"/>
  <c r="AM74" i="70"/>
  <c r="AM94" i="70" s="1"/>
  <c r="AN2" i="70"/>
  <c r="AM53" i="70"/>
  <c r="AM33" i="70"/>
  <c r="AN123" i="68"/>
  <c r="AN78" i="68"/>
  <c r="AN102" i="68" s="1"/>
  <c r="AN56" i="68"/>
  <c r="AN35" i="68"/>
  <c r="AO2" i="68"/>
  <c r="AN111" i="69"/>
  <c r="AN74" i="69"/>
  <c r="AN94" i="69" s="1"/>
  <c r="AN53" i="69"/>
  <c r="AO2" i="69"/>
  <c r="AN33" i="69"/>
  <c r="AO123" i="67"/>
  <c r="AO78" i="67"/>
  <c r="AO102" i="67" s="1"/>
  <c r="AO35" i="67"/>
  <c r="AO56" i="67"/>
  <c r="AP2" i="67"/>
  <c r="S2" i="62"/>
  <c r="S123" i="62" s="1"/>
  <c r="R56" i="62"/>
  <c r="R78" i="62"/>
  <c r="R35" i="62"/>
  <c r="W2" i="64"/>
  <c r="V111" i="64"/>
  <c r="V53" i="64"/>
  <c r="V74" i="64"/>
  <c r="V33" i="64"/>
  <c r="Q21" i="61"/>
  <c r="Q18" i="61"/>
  <c r="Q19" i="61"/>
  <c r="Q14" i="61"/>
  <c r="Q20" i="61"/>
  <c r="N20" i="60"/>
  <c r="N14" i="60"/>
  <c r="O13" i="60"/>
  <c r="N21" i="60"/>
  <c r="N19" i="60"/>
  <c r="N18" i="60"/>
  <c r="AN111" i="70" l="1"/>
  <c r="AN74" i="70"/>
  <c r="AN94" i="70" s="1"/>
  <c r="AN53" i="70"/>
  <c r="AN33" i="70"/>
  <c r="AO2" i="70"/>
  <c r="AO123" i="68"/>
  <c r="AO78" i="68"/>
  <c r="AO102" i="68" s="1"/>
  <c r="AO56" i="68"/>
  <c r="AO35" i="68"/>
  <c r="AP2" i="68"/>
  <c r="AO111" i="69"/>
  <c r="AO53" i="69"/>
  <c r="AO74" i="69"/>
  <c r="AO94" i="69" s="1"/>
  <c r="AO33" i="69"/>
  <c r="AP2" i="69"/>
  <c r="AP78" i="67"/>
  <c r="AP102" i="67" s="1"/>
  <c r="AP123" i="67"/>
  <c r="AP35" i="67"/>
  <c r="AP56" i="67"/>
  <c r="AQ2" i="67"/>
  <c r="T2" i="62"/>
  <c r="T123" i="62" s="1"/>
  <c r="S56" i="62"/>
  <c r="S78" i="62"/>
  <c r="S35" i="62"/>
  <c r="X2" i="64"/>
  <c r="W111" i="64"/>
  <c r="W53" i="64"/>
  <c r="W74" i="64"/>
  <c r="W33" i="64"/>
  <c r="P13" i="60"/>
  <c r="O14" i="60"/>
  <c r="O21" i="60"/>
  <c r="O20" i="60"/>
  <c r="O19" i="60"/>
  <c r="O18" i="60"/>
  <c r="AO111" i="70" l="1"/>
  <c r="AO53" i="70"/>
  <c r="AO33" i="70"/>
  <c r="AP2" i="70"/>
  <c r="AO74" i="70"/>
  <c r="AO94" i="70" s="1"/>
  <c r="AP123" i="68"/>
  <c r="AP78" i="68"/>
  <c r="AP102" i="68" s="1"/>
  <c r="AP56" i="68"/>
  <c r="AP35" i="68"/>
  <c r="AQ2" i="68"/>
  <c r="AP111" i="69"/>
  <c r="AP53" i="69"/>
  <c r="AP74" i="69"/>
  <c r="AP94" i="69" s="1"/>
  <c r="AP33" i="69"/>
  <c r="AQ2" i="69"/>
  <c r="AQ123" i="67"/>
  <c r="AQ78" i="67"/>
  <c r="AQ102" i="67" s="1"/>
  <c r="AQ35" i="67"/>
  <c r="AQ56" i="67"/>
  <c r="AR2" i="67"/>
  <c r="U2" i="62"/>
  <c r="U123" i="62" s="1"/>
  <c r="T56" i="62"/>
  <c r="T78" i="62"/>
  <c r="T35" i="62"/>
  <c r="Y2" i="64"/>
  <c r="X111" i="64"/>
  <c r="X53" i="64"/>
  <c r="X74" i="64"/>
  <c r="X33" i="64"/>
  <c r="P18" i="60"/>
  <c r="P14" i="60"/>
  <c r="P21" i="60"/>
  <c r="Q13" i="60"/>
  <c r="P19" i="60"/>
  <c r="P20" i="60"/>
  <c r="AP74" i="70" l="1"/>
  <c r="AP94" i="70" s="1"/>
  <c r="AP33" i="70"/>
  <c r="AP111" i="70"/>
  <c r="AP53" i="70"/>
  <c r="AQ2" i="70"/>
  <c r="AQ123" i="68"/>
  <c r="AQ78" i="68"/>
  <c r="AQ102" i="68" s="1"/>
  <c r="AQ56" i="68"/>
  <c r="AR2" i="68"/>
  <c r="AQ35" i="68"/>
  <c r="AQ111" i="69"/>
  <c r="AQ74" i="69"/>
  <c r="AQ94" i="69" s="1"/>
  <c r="AQ33" i="69"/>
  <c r="AR2" i="69"/>
  <c r="AQ53" i="69"/>
  <c r="AR123" i="67"/>
  <c r="AR56" i="67"/>
  <c r="AR78" i="67"/>
  <c r="AR102" i="67" s="1"/>
  <c r="AS2" i="67"/>
  <c r="AR35" i="67"/>
  <c r="V2" i="62"/>
  <c r="V123" i="62" s="1"/>
  <c r="U78" i="62"/>
  <c r="U35" i="62"/>
  <c r="U56" i="62"/>
  <c r="Z2" i="64"/>
  <c r="Y53" i="64"/>
  <c r="Y74" i="64"/>
  <c r="Y33" i="64"/>
  <c r="Y111" i="64"/>
  <c r="Q21" i="60"/>
  <c r="Q14" i="60"/>
  <c r="Q19" i="60"/>
  <c r="Q20" i="60"/>
  <c r="Q18" i="60"/>
  <c r="AQ111" i="70" l="1"/>
  <c r="AQ33" i="70"/>
  <c r="AR2" i="70"/>
  <c r="AQ74" i="70"/>
  <c r="AQ94" i="70" s="1"/>
  <c r="AQ53" i="70"/>
  <c r="AR78" i="68"/>
  <c r="AR102" i="68" s="1"/>
  <c r="AR123" i="68"/>
  <c r="AR56" i="68"/>
  <c r="AS2" i="68"/>
  <c r="AR35" i="68"/>
  <c r="AR111" i="69"/>
  <c r="AR53" i="69"/>
  <c r="AR74" i="69"/>
  <c r="AR94" i="69" s="1"/>
  <c r="AR33" i="69"/>
  <c r="AS2" i="69"/>
  <c r="AS123" i="67"/>
  <c r="AS56" i="67"/>
  <c r="AS35" i="67"/>
  <c r="AS78" i="67"/>
  <c r="AS102" i="67" s="1"/>
  <c r="AT2" i="67"/>
  <c r="W2" i="62"/>
  <c r="W123" i="62" s="1"/>
  <c r="V78" i="62"/>
  <c r="V35" i="62"/>
  <c r="V56" i="62"/>
  <c r="AA2" i="64"/>
  <c r="Z74" i="64"/>
  <c r="Z33" i="64"/>
  <c r="Z111" i="64"/>
  <c r="Z53" i="64"/>
  <c r="AR33" i="70" l="1"/>
  <c r="AR111" i="70"/>
  <c r="AR74" i="70"/>
  <c r="AR94" i="70" s="1"/>
  <c r="AR53" i="70"/>
  <c r="AS2" i="70"/>
  <c r="AS123" i="68"/>
  <c r="AS78" i="68"/>
  <c r="AS102" i="68" s="1"/>
  <c r="AS56" i="68"/>
  <c r="AS35" i="68"/>
  <c r="AT2" i="68"/>
  <c r="AS111" i="69"/>
  <c r="AS74" i="69"/>
  <c r="AS94" i="69" s="1"/>
  <c r="AT2" i="69"/>
  <c r="AS53" i="69"/>
  <c r="AS33" i="69"/>
  <c r="AT123" i="67"/>
  <c r="AT78" i="67"/>
  <c r="AT102" i="67" s="1"/>
  <c r="AT35" i="67"/>
  <c r="AT56" i="67"/>
  <c r="AU2" i="67"/>
  <c r="X2" i="62"/>
  <c r="X123" i="62" s="1"/>
  <c r="W78" i="62"/>
  <c r="W35" i="62"/>
  <c r="W56" i="62"/>
  <c r="AB2" i="64"/>
  <c r="AA74" i="64"/>
  <c r="AA33" i="64"/>
  <c r="AA111" i="64"/>
  <c r="AA53" i="64"/>
  <c r="AS111" i="70" l="1"/>
  <c r="AS33" i="70"/>
  <c r="AS74" i="70"/>
  <c r="AS94" i="70" s="1"/>
  <c r="AS53" i="70"/>
  <c r="AT2" i="70"/>
  <c r="AT78" i="68"/>
  <c r="AT102" i="68" s="1"/>
  <c r="AT123" i="68"/>
  <c r="AT56" i="68"/>
  <c r="AT35" i="68"/>
  <c r="AU2" i="68"/>
  <c r="AT74" i="69"/>
  <c r="AT94" i="69" s="1"/>
  <c r="AT53" i="69"/>
  <c r="AT111" i="69"/>
  <c r="AU2" i="69"/>
  <c r="AT33" i="69"/>
  <c r="AU78" i="67"/>
  <c r="AU102" i="67" s="1"/>
  <c r="AU123" i="67"/>
  <c r="AU35" i="67"/>
  <c r="AU56" i="67"/>
  <c r="AV2" i="67"/>
  <c r="Y2" i="62"/>
  <c r="Y123" i="62" s="1"/>
  <c r="X78" i="62"/>
  <c r="X35" i="62"/>
  <c r="X56" i="62"/>
  <c r="AC2" i="64"/>
  <c r="AB74" i="64"/>
  <c r="AB33" i="64"/>
  <c r="AB111" i="64"/>
  <c r="AB53" i="64"/>
  <c r="AT111" i="70" l="1"/>
  <c r="AT74" i="70"/>
  <c r="AT94" i="70" s="1"/>
  <c r="AU2" i="70"/>
  <c r="AT53" i="70"/>
  <c r="AT33" i="70"/>
  <c r="AU123" i="68"/>
  <c r="AU78" i="68"/>
  <c r="AU102" i="68" s="1"/>
  <c r="AU56" i="68"/>
  <c r="AU35" i="68"/>
  <c r="AV2" i="68"/>
  <c r="AU74" i="69"/>
  <c r="AU94" i="69" s="1"/>
  <c r="AU53" i="69"/>
  <c r="AU111" i="69"/>
  <c r="AV2" i="69"/>
  <c r="AU33" i="69"/>
  <c r="AV123" i="67"/>
  <c r="AV56" i="67"/>
  <c r="AW2" i="67"/>
  <c r="AV78" i="67"/>
  <c r="AV102" i="67" s="1"/>
  <c r="AV35" i="67"/>
  <c r="Z2" i="62"/>
  <c r="Z123" i="62" s="1"/>
  <c r="Y35" i="62"/>
  <c r="Y56" i="62"/>
  <c r="Y78" i="62"/>
  <c r="AD2" i="64"/>
  <c r="AC74" i="64"/>
  <c r="AC33" i="64"/>
  <c r="AC111" i="64"/>
  <c r="AC53" i="64"/>
  <c r="AV2" i="70" l="1"/>
  <c r="AU111" i="70"/>
  <c r="AU53" i="70"/>
  <c r="AU74" i="70"/>
  <c r="AU94" i="70" s="1"/>
  <c r="AU33" i="70"/>
  <c r="AV123" i="68"/>
  <c r="AV78" i="68"/>
  <c r="AV102" i="68" s="1"/>
  <c r="AV56" i="68"/>
  <c r="AV35" i="68"/>
  <c r="AW2" i="68"/>
  <c r="AV111" i="69"/>
  <c r="AV74" i="69"/>
  <c r="AV94" i="69" s="1"/>
  <c r="AV53" i="69"/>
  <c r="AV33" i="69"/>
  <c r="AW2" i="69"/>
  <c r="AW123" i="67"/>
  <c r="AW56" i="67"/>
  <c r="AW78" i="67"/>
  <c r="AW102" i="67" s="1"/>
  <c r="AW35" i="67"/>
  <c r="AX2" i="67"/>
  <c r="AA2" i="62"/>
  <c r="AA123" i="62" s="1"/>
  <c r="Z56" i="62"/>
  <c r="Z78" i="62"/>
  <c r="Z35" i="62"/>
  <c r="AE2" i="64"/>
  <c r="AD111" i="64"/>
  <c r="AD53" i="64"/>
  <c r="AD74" i="64"/>
  <c r="AD33" i="64"/>
  <c r="AV111" i="70" l="1"/>
  <c r="AV53" i="70"/>
  <c r="AV74" i="70"/>
  <c r="AV94" i="70" s="1"/>
  <c r="AV33" i="70"/>
  <c r="AW2" i="70"/>
  <c r="AW123" i="68"/>
  <c r="AW78" i="68"/>
  <c r="AW102" i="68" s="1"/>
  <c r="AW56" i="68"/>
  <c r="AW35" i="68"/>
  <c r="AX2" i="68"/>
  <c r="AW111" i="69"/>
  <c r="AW53" i="69"/>
  <c r="AW33" i="69"/>
  <c r="AW74" i="69"/>
  <c r="AW94" i="69" s="1"/>
  <c r="AX2" i="69"/>
  <c r="AX78" i="67"/>
  <c r="AX102" i="67" s="1"/>
  <c r="AX123" i="67"/>
  <c r="AY2" i="67"/>
  <c r="AX35" i="67"/>
  <c r="AX56" i="67"/>
  <c r="AB2" i="62"/>
  <c r="AB123" i="62" s="1"/>
  <c r="AA56" i="62"/>
  <c r="AA78" i="62"/>
  <c r="AA35" i="62"/>
  <c r="AF2" i="64"/>
  <c r="AE111" i="64"/>
  <c r="AE53" i="64"/>
  <c r="AE74" i="64"/>
  <c r="AE33" i="64"/>
  <c r="AW111" i="70" l="1"/>
  <c r="AW53" i="70"/>
  <c r="AW74" i="70"/>
  <c r="AW94" i="70" s="1"/>
  <c r="AW33" i="70"/>
  <c r="AX2" i="70"/>
  <c r="AX78" i="68"/>
  <c r="AX102" i="68" s="1"/>
  <c r="AX123" i="68"/>
  <c r="AX56" i="68"/>
  <c r="AX35" i="68"/>
  <c r="AY2" i="68"/>
  <c r="AX53" i="69"/>
  <c r="AX111" i="69"/>
  <c r="AX74" i="69"/>
  <c r="AX94" i="69" s="1"/>
  <c r="AX33" i="69"/>
  <c r="AY2" i="69"/>
  <c r="AY123" i="67"/>
  <c r="AZ2" i="67"/>
  <c r="AY78" i="67"/>
  <c r="AY102" i="67" s="1"/>
  <c r="AY35" i="67"/>
  <c r="AY56" i="67"/>
  <c r="AC2" i="62"/>
  <c r="AC123" i="62" s="1"/>
  <c r="AB56" i="62"/>
  <c r="AB78" i="62"/>
  <c r="AB35" i="62"/>
  <c r="AG2" i="64"/>
  <c r="AF111" i="64"/>
  <c r="AF53" i="64"/>
  <c r="AF74" i="64"/>
  <c r="AF33" i="64"/>
  <c r="AX111" i="70" l="1"/>
  <c r="AX74" i="70"/>
  <c r="AX94" i="70" s="1"/>
  <c r="AX33" i="70"/>
  <c r="AX53" i="70"/>
  <c r="AY2" i="70"/>
  <c r="AY123" i="68"/>
  <c r="AY78" i="68"/>
  <c r="AY102" i="68" s="1"/>
  <c r="AZ2" i="68"/>
  <c r="AY35" i="68"/>
  <c r="AY56" i="68"/>
  <c r="AY111" i="69"/>
  <c r="AY74" i="69"/>
  <c r="AY94" i="69" s="1"/>
  <c r="AY33" i="69"/>
  <c r="AY53" i="69"/>
  <c r="AZ2" i="69"/>
  <c r="AZ123" i="67"/>
  <c r="AZ78" i="67"/>
  <c r="AZ102" i="67" s="1"/>
  <c r="AZ56" i="67"/>
  <c r="BA2" i="67"/>
  <c r="AZ35" i="67"/>
  <c r="AD2" i="62"/>
  <c r="AD123" i="62" s="1"/>
  <c r="AC56" i="62"/>
  <c r="AC78" i="62"/>
  <c r="AC35" i="62"/>
  <c r="AH2" i="64"/>
  <c r="AG53" i="64"/>
  <c r="AG74" i="64"/>
  <c r="AG33" i="64"/>
  <c r="AG111" i="64"/>
  <c r="AY111" i="70" l="1"/>
  <c r="AY74" i="70"/>
  <c r="AY94" i="70" s="1"/>
  <c r="AY33" i="70"/>
  <c r="AZ2" i="70"/>
  <c r="AY53" i="70"/>
  <c r="AZ78" i="68"/>
  <c r="AZ102" i="68" s="1"/>
  <c r="AZ123" i="68"/>
  <c r="BA2" i="68"/>
  <c r="AZ35" i="68"/>
  <c r="AZ56" i="68"/>
  <c r="AZ53" i="69"/>
  <c r="AZ111" i="69"/>
  <c r="AZ74" i="69"/>
  <c r="AZ94" i="69" s="1"/>
  <c r="AZ33" i="69"/>
  <c r="BA2" i="69"/>
  <c r="BA123" i="67"/>
  <c r="BA78" i="67"/>
  <c r="BA102" i="67" s="1"/>
  <c r="BA56" i="67"/>
  <c r="BA35" i="67"/>
  <c r="BB2" i="67"/>
  <c r="AE2" i="62"/>
  <c r="AE123" i="62" s="1"/>
  <c r="AD78" i="62"/>
  <c r="AD35" i="62"/>
  <c r="AD56" i="62"/>
  <c r="AI2" i="64"/>
  <c r="AH74" i="64"/>
  <c r="AH33" i="64"/>
  <c r="AH111" i="64"/>
  <c r="AH53" i="64"/>
  <c r="AZ111" i="70" l="1"/>
  <c r="AZ33" i="70"/>
  <c r="AZ53" i="70"/>
  <c r="BA2" i="70"/>
  <c r="AZ74" i="70"/>
  <c r="AZ94" i="70" s="1"/>
  <c r="BA123" i="68"/>
  <c r="BA78" i="68"/>
  <c r="BA102" i="68" s="1"/>
  <c r="BA56" i="68"/>
  <c r="BA35" i="68"/>
  <c r="BB2" i="68"/>
  <c r="BA111" i="69"/>
  <c r="BA74" i="69"/>
  <c r="BA94" i="69" s="1"/>
  <c r="BA53" i="69"/>
  <c r="BB2" i="69"/>
  <c r="BA33" i="69"/>
  <c r="BB78" i="67"/>
  <c r="BB102" i="67" s="1"/>
  <c r="BB123" i="67"/>
  <c r="BB35" i="67"/>
  <c r="BB56" i="67"/>
  <c r="BC2" i="67"/>
  <c r="AF2" i="62"/>
  <c r="AF123" i="62" s="1"/>
  <c r="AE78" i="62"/>
  <c r="AE35" i="62"/>
  <c r="AE56" i="62"/>
  <c r="AJ2" i="64"/>
  <c r="AI74" i="64"/>
  <c r="AI33" i="64"/>
  <c r="AI111" i="64"/>
  <c r="AI53" i="64"/>
  <c r="BA111" i="70" l="1"/>
  <c r="BA33" i="70"/>
  <c r="BA53" i="70"/>
  <c r="BB2" i="70"/>
  <c r="BA74" i="70"/>
  <c r="BA94" i="70" s="1"/>
  <c r="BB123" i="68"/>
  <c r="BB78" i="68"/>
  <c r="BB102" i="68" s="1"/>
  <c r="BB56" i="68"/>
  <c r="BB35" i="68"/>
  <c r="BC2" i="68"/>
  <c r="BB111" i="69"/>
  <c r="BB74" i="69"/>
  <c r="BB94" i="69" s="1"/>
  <c r="BB53" i="69"/>
  <c r="BC2" i="69"/>
  <c r="BB33" i="69"/>
  <c r="BC123" i="67"/>
  <c r="BC78" i="67"/>
  <c r="BC102" i="67" s="1"/>
  <c r="BC35" i="67"/>
  <c r="BC56" i="67"/>
  <c r="BD2" i="67"/>
  <c r="AG2" i="62"/>
  <c r="AG123" i="62" s="1"/>
  <c r="AF78" i="62"/>
  <c r="AF35" i="62"/>
  <c r="AF56" i="62"/>
  <c r="AK2" i="64"/>
  <c r="AJ74" i="64"/>
  <c r="AJ33" i="64"/>
  <c r="AJ111" i="64"/>
  <c r="AJ53" i="64"/>
  <c r="BB111" i="70" l="1"/>
  <c r="BB74" i="70"/>
  <c r="BB94" i="70" s="1"/>
  <c r="BC2" i="70"/>
  <c r="BB53" i="70"/>
  <c r="BB33" i="70"/>
  <c r="BC123" i="68"/>
  <c r="BC78" i="68"/>
  <c r="BC102" i="68" s="1"/>
  <c r="BC56" i="68"/>
  <c r="BC35" i="68"/>
  <c r="BD2" i="68"/>
  <c r="BC74" i="69"/>
  <c r="BC94" i="69" s="1"/>
  <c r="BC111" i="69"/>
  <c r="BC53" i="69"/>
  <c r="BD2" i="69"/>
  <c r="BC33" i="69"/>
  <c r="BD123" i="67"/>
  <c r="BD78" i="67"/>
  <c r="BD102" i="67" s="1"/>
  <c r="BD56" i="67"/>
  <c r="BD35" i="67"/>
  <c r="AH2" i="62"/>
  <c r="AH123" i="62" s="1"/>
  <c r="AG56" i="62"/>
  <c r="AG78" i="62"/>
  <c r="AG35" i="62"/>
  <c r="AL2" i="64"/>
  <c r="AK33" i="64"/>
  <c r="AK74" i="64"/>
  <c r="AK111" i="64"/>
  <c r="AK53" i="64"/>
  <c r="BC111" i="70" l="1"/>
  <c r="BD2" i="70"/>
  <c r="BC53" i="70"/>
  <c r="BC74" i="70"/>
  <c r="BC94" i="70" s="1"/>
  <c r="BC33" i="70"/>
  <c r="BD123" i="68"/>
  <c r="BD78" i="68"/>
  <c r="BD102" i="68" s="1"/>
  <c r="BD56" i="68"/>
  <c r="BD35" i="68"/>
  <c r="BD111" i="69"/>
  <c r="BD74" i="69"/>
  <c r="BD94" i="69" s="1"/>
  <c r="BD53" i="69"/>
  <c r="BD33" i="69"/>
  <c r="AI2" i="62"/>
  <c r="AI123" i="62" s="1"/>
  <c r="AH56" i="62"/>
  <c r="AH78" i="62"/>
  <c r="AH35" i="62"/>
  <c r="AM2" i="64"/>
  <c r="AL111" i="64"/>
  <c r="AL53" i="64"/>
  <c r="AL74" i="64"/>
  <c r="AL33" i="64"/>
  <c r="BD111" i="70" l="1"/>
  <c r="BD53" i="70"/>
  <c r="BD74" i="70"/>
  <c r="BD94" i="70" s="1"/>
  <c r="BD33" i="70"/>
  <c r="AJ2" i="62"/>
  <c r="AJ123" i="62" s="1"/>
  <c r="AI56" i="62"/>
  <c r="AI78" i="62"/>
  <c r="AI35" i="62"/>
  <c r="AN2" i="64"/>
  <c r="AM111" i="64"/>
  <c r="AM53" i="64"/>
  <c r="AM74" i="64"/>
  <c r="AM33" i="64"/>
  <c r="AK2" i="62" l="1"/>
  <c r="AK123" i="62" s="1"/>
  <c r="AJ56" i="62"/>
  <c r="AJ78" i="62"/>
  <c r="AJ35" i="62"/>
  <c r="AO2" i="64"/>
  <c r="AN111" i="64"/>
  <c r="AN53" i="64"/>
  <c r="AN74" i="64"/>
  <c r="AN33" i="64"/>
  <c r="AL2" i="62" l="1"/>
  <c r="AL123" i="62" s="1"/>
  <c r="AK78" i="62"/>
  <c r="AK35" i="62"/>
  <c r="AK56" i="62"/>
  <c r="AP2" i="64"/>
  <c r="AO53" i="64"/>
  <c r="AO74" i="64"/>
  <c r="AO33" i="64"/>
  <c r="AO111" i="64"/>
  <c r="AM2" i="62" l="1"/>
  <c r="AM123" i="62" s="1"/>
  <c r="AL78" i="62"/>
  <c r="AL35" i="62"/>
  <c r="AL56" i="62"/>
  <c r="AQ2" i="64"/>
  <c r="AP74" i="64"/>
  <c r="AP33" i="64"/>
  <c r="AP111" i="64"/>
  <c r="AP53" i="64"/>
  <c r="AN2" i="62" l="1"/>
  <c r="AN123" i="62" s="1"/>
  <c r="AM78" i="62"/>
  <c r="AM35" i="62"/>
  <c r="AM56" i="62"/>
  <c r="AR2" i="64"/>
  <c r="AQ74" i="64"/>
  <c r="AQ33" i="64"/>
  <c r="AQ111" i="64"/>
  <c r="AQ53" i="64"/>
  <c r="AO2" i="62" l="1"/>
  <c r="AO123" i="62" s="1"/>
  <c r="AN78" i="62"/>
  <c r="AN35" i="62"/>
  <c r="AN56" i="62"/>
  <c r="AS2" i="64"/>
  <c r="AR74" i="64"/>
  <c r="AR33" i="64"/>
  <c r="AR111" i="64"/>
  <c r="AR53" i="64"/>
  <c r="AP2" i="62" l="1"/>
  <c r="AP123" i="62" s="1"/>
  <c r="AO35" i="62"/>
  <c r="AO56" i="62"/>
  <c r="AO78" i="62"/>
  <c r="AT2" i="64"/>
  <c r="AS74" i="64"/>
  <c r="AS111" i="64"/>
  <c r="AS53" i="64"/>
  <c r="AS33" i="64"/>
  <c r="AQ2" i="62" l="1"/>
  <c r="AQ123" i="62" s="1"/>
  <c r="AP56" i="62"/>
  <c r="AP78" i="62"/>
  <c r="AP35" i="62"/>
  <c r="AU2" i="64"/>
  <c r="AT111" i="64"/>
  <c r="AT53" i="64"/>
  <c r="AT74" i="64"/>
  <c r="AT33" i="64"/>
  <c r="AR2" i="62" l="1"/>
  <c r="AR123" i="62" s="1"/>
  <c r="AQ56" i="62"/>
  <c r="AQ78" i="62"/>
  <c r="AQ35" i="62"/>
  <c r="AV2" i="64"/>
  <c r="AU111" i="64"/>
  <c r="AU53" i="64"/>
  <c r="AU74" i="64"/>
  <c r="AU33" i="64"/>
  <c r="AS2" i="62" l="1"/>
  <c r="AS123" i="62" s="1"/>
  <c r="AR56" i="62"/>
  <c r="AR78" i="62"/>
  <c r="AR35" i="62"/>
  <c r="AW2" i="64"/>
  <c r="AV111" i="64"/>
  <c r="AV53" i="64"/>
  <c r="AV74" i="64"/>
  <c r="AV33" i="64"/>
  <c r="AT2" i="62" l="1"/>
  <c r="AT123" i="62" s="1"/>
  <c r="AS56" i="62"/>
  <c r="AS78" i="62"/>
  <c r="AS35" i="62"/>
  <c r="AX2" i="64"/>
  <c r="AW74" i="64"/>
  <c r="AW33" i="64"/>
  <c r="AW53" i="64"/>
  <c r="AW111" i="64"/>
  <c r="AU2" i="62" l="1"/>
  <c r="AU123" i="62" s="1"/>
  <c r="AT78" i="62"/>
  <c r="AT35" i="62"/>
  <c r="AT56" i="62"/>
  <c r="AY2" i="64"/>
  <c r="AX74" i="64"/>
  <c r="AX33" i="64"/>
  <c r="AX111" i="64"/>
  <c r="AX53" i="64"/>
  <c r="AV2" i="62" l="1"/>
  <c r="AV123" i="62" s="1"/>
  <c r="AU78" i="62"/>
  <c r="AU35" i="62"/>
  <c r="AU56" i="62"/>
  <c r="AZ2" i="64"/>
  <c r="AY74" i="64"/>
  <c r="AY33" i="64"/>
  <c r="AY111" i="64"/>
  <c r="AY53" i="64"/>
  <c r="AW2" i="62" l="1"/>
  <c r="AW123" i="62" s="1"/>
  <c r="AV78" i="62"/>
  <c r="AV35" i="62"/>
  <c r="AV56" i="62"/>
  <c r="BA2" i="64"/>
  <c r="AZ74" i="64"/>
  <c r="AZ33" i="64"/>
  <c r="AZ111" i="64"/>
  <c r="AZ53" i="64"/>
  <c r="AX2" i="62" l="1"/>
  <c r="AX123" i="62" s="1"/>
  <c r="AW35" i="62"/>
  <c r="AW56" i="62"/>
  <c r="AW78" i="62"/>
  <c r="BB2" i="64"/>
  <c r="BA74" i="64"/>
  <c r="BA33" i="64"/>
  <c r="BA111" i="64"/>
  <c r="BA53" i="64"/>
  <c r="AY2" i="62" l="1"/>
  <c r="AY123" i="62" s="1"/>
  <c r="AX56" i="62"/>
  <c r="AX78" i="62"/>
  <c r="AX35" i="62"/>
  <c r="BC2" i="64"/>
  <c r="BB111" i="64"/>
  <c r="BB53" i="64"/>
  <c r="BB74" i="64"/>
  <c r="BB33" i="64"/>
  <c r="AZ2" i="62" l="1"/>
  <c r="AZ123" i="62" s="1"/>
  <c r="AY56" i="62"/>
  <c r="AY78" i="62"/>
  <c r="AY35" i="62"/>
  <c r="BD2" i="64"/>
  <c r="BC111" i="64"/>
  <c r="BC53" i="64"/>
  <c r="BC74" i="64"/>
  <c r="BC33" i="64"/>
  <c r="BA2" i="62" l="1"/>
  <c r="BA123" i="62" s="1"/>
  <c r="AZ56" i="62"/>
  <c r="AZ78" i="62"/>
  <c r="AZ35" i="62"/>
  <c r="BD111" i="64"/>
  <c r="BD53" i="64"/>
  <c r="BD74" i="64"/>
  <c r="BD33" i="64"/>
  <c r="BB2" i="62" l="1"/>
  <c r="BB123" i="62" s="1"/>
  <c r="BA56" i="62"/>
  <c r="BA78" i="62"/>
  <c r="BA35" i="62"/>
  <c r="BC2" i="62" l="1"/>
  <c r="BC123" i="62" s="1"/>
  <c r="BB78" i="62"/>
  <c r="BB35" i="62"/>
  <c r="BB56" i="62"/>
  <c r="BD2" i="62" l="1"/>
  <c r="BD123" i="62" s="1"/>
  <c r="BC78" i="62"/>
  <c r="BC35" i="62"/>
  <c r="BC56" i="62"/>
  <c r="BD78" i="62" l="1"/>
  <c r="BD35" i="62"/>
  <c r="BD56" i="62"/>
  <c r="J25" i="64" l="1"/>
  <c r="K25" i="64"/>
  <c r="L25" i="64"/>
  <c r="I25" i="64"/>
  <c r="F25" i="64"/>
  <c r="H25" i="64"/>
  <c r="G25" i="64"/>
  <c r="I28" i="64" l="1"/>
  <c r="I29" i="64" s="1"/>
  <c r="I30" i="67" s="1"/>
  <c r="L28" i="64"/>
  <c r="L29" i="64" s="1"/>
  <c r="L30" i="67" s="1"/>
  <c r="K28" i="64"/>
  <c r="K29" i="64" s="1"/>
  <c r="K30" i="67" s="1"/>
  <c r="J28" i="64"/>
  <c r="J29" i="64" s="1"/>
  <c r="J30" i="67" s="1"/>
  <c r="H28" i="64"/>
  <c r="H29" i="64" s="1"/>
  <c r="H30" i="67" s="1"/>
  <c r="F28" i="64"/>
  <c r="F29" i="64" s="1"/>
  <c r="F30" i="67" s="1"/>
  <c r="G28" i="64"/>
  <c r="G29" i="64" s="1"/>
  <c r="G30" i="67" s="1"/>
  <c r="I131" i="64"/>
  <c r="J131" i="64"/>
  <c r="K131" i="64"/>
  <c r="F131" i="64"/>
  <c r="L131" i="64"/>
  <c r="E131" i="64"/>
  <c r="H131" i="64"/>
  <c r="G131" i="64"/>
  <c r="AU131" i="64"/>
  <c r="Q131" i="64"/>
  <c r="BD131" i="64"/>
  <c r="AP131" i="64"/>
  <c r="Y131" i="64"/>
  <c r="P131" i="64"/>
  <c r="X131" i="64"/>
  <c r="AF131" i="64"/>
  <c r="O131" i="64"/>
  <c r="Z131" i="64"/>
  <c r="BB131" i="64"/>
  <c r="AH131" i="64"/>
  <c r="W131" i="64"/>
  <c r="AG131" i="64"/>
  <c r="AO131" i="64"/>
  <c r="AN131" i="64"/>
  <c r="AM131" i="64"/>
  <c r="BA131" i="64"/>
  <c r="AX131" i="64"/>
  <c r="V131" i="64"/>
  <c r="AW131" i="64"/>
  <c r="AV131" i="64"/>
  <c r="T131" i="64"/>
  <c r="AE131" i="64"/>
  <c r="AS131" i="64"/>
  <c r="U131" i="64"/>
  <c r="BC131" i="64"/>
  <c r="R131" i="64"/>
  <c r="AL131" i="64"/>
  <c r="AI131" i="64"/>
  <c r="AR131" i="64"/>
  <c r="AC131" i="64"/>
  <c r="AY131" i="64"/>
  <c r="AK131" i="64"/>
  <c r="S131" i="64"/>
  <c r="AB131" i="64"/>
  <c r="AD131" i="64"/>
  <c r="L99" i="67" l="1"/>
  <c r="AH99" i="67"/>
  <c r="AJ131" i="64"/>
  <c r="AQ131" i="64"/>
  <c r="AQ133" i="64" s="1"/>
  <c r="AQ133" i="70" s="1"/>
  <c r="AZ131" i="64"/>
  <c r="AZ133" i="64" s="1"/>
  <c r="AZ133" i="70" s="1"/>
  <c r="AT131" i="64"/>
  <c r="AT133" i="64" s="1"/>
  <c r="AT133" i="70" s="1"/>
  <c r="N131" i="64"/>
  <c r="N133" i="64" s="1"/>
  <c r="N133" i="70" s="1"/>
  <c r="M131" i="64"/>
  <c r="M133" i="64" s="1"/>
  <c r="M133" i="70" s="1"/>
  <c r="AA131" i="64"/>
  <c r="AA133" i="64" s="1"/>
  <c r="AA133" i="70" s="1"/>
  <c r="F117" i="64"/>
  <c r="G114" i="64"/>
  <c r="AR118" i="64"/>
  <c r="Y117" i="64"/>
  <c r="AY115" i="64"/>
  <c r="AF114" i="64"/>
  <c r="N119" i="64"/>
  <c r="U116" i="64"/>
  <c r="T118" i="64"/>
  <c r="H114" i="64"/>
  <c r="J119" i="64"/>
  <c r="BD114" i="64"/>
  <c r="AS116" i="64"/>
  <c r="F114" i="64"/>
  <c r="I114" i="64"/>
  <c r="AO117" i="64"/>
  <c r="O119" i="64"/>
  <c r="AK119" i="64"/>
  <c r="E119" i="64"/>
  <c r="AP115" i="64"/>
  <c r="AL116" i="64"/>
  <c r="S115" i="64"/>
  <c r="K115" i="64"/>
  <c r="Z115" i="64"/>
  <c r="AD113" i="64"/>
  <c r="Q113" i="64"/>
  <c r="H116" i="64"/>
  <c r="I119" i="64"/>
  <c r="AN117" i="64"/>
  <c r="R118" i="64"/>
  <c r="BA113" i="64"/>
  <c r="AE119" i="64"/>
  <c r="AT119" i="64"/>
  <c r="AA118" i="64"/>
  <c r="AH115" i="64"/>
  <c r="AX118" i="64"/>
  <c r="W119" i="64"/>
  <c r="AW117" i="64"/>
  <c r="G117" i="64"/>
  <c r="V116" i="64"/>
  <c r="L118" i="64"/>
  <c r="AM113" i="64"/>
  <c r="AU114" i="64"/>
  <c r="AZ119" i="64"/>
  <c r="AG118" i="64"/>
  <c r="AV118" i="64"/>
  <c r="AC117" i="64"/>
  <c r="BC115" i="64"/>
  <c r="AJ114" i="64"/>
  <c r="M115" i="64"/>
  <c r="AB115" i="64"/>
  <c r="AQ115" i="64"/>
  <c r="X114" i="64"/>
  <c r="BB116" i="64"/>
  <c r="AI115" i="64"/>
  <c r="P114" i="64"/>
  <c r="AY114" i="64"/>
  <c r="AU116" i="64"/>
  <c r="BC119" i="64"/>
  <c r="AJ118" i="64"/>
  <c r="Q117" i="64"/>
  <c r="AY118" i="64"/>
  <c r="AF117" i="64"/>
  <c r="M116" i="64"/>
  <c r="AM114" i="64"/>
  <c r="AC119" i="64"/>
  <c r="BC117" i="64"/>
  <c r="AJ116" i="64"/>
  <c r="Q115" i="64"/>
  <c r="AR119" i="64"/>
  <c r="Y118" i="64"/>
  <c r="AY116" i="64"/>
  <c r="AF115" i="64"/>
  <c r="M114" i="64"/>
  <c r="AN118" i="64"/>
  <c r="U117" i="64"/>
  <c r="AU115" i="64"/>
  <c r="AB114" i="64"/>
  <c r="BC118" i="64"/>
  <c r="AJ117" i="64"/>
  <c r="Q116" i="64"/>
  <c r="AQ114" i="64"/>
  <c r="Q119" i="64"/>
  <c r="AQ117" i="64"/>
  <c r="X116" i="64"/>
  <c r="AX114" i="64"/>
  <c r="AF119" i="64"/>
  <c r="M118" i="64"/>
  <c r="AM116" i="64"/>
  <c r="T115" i="64"/>
  <c r="R113" i="64"/>
  <c r="AQ113" i="64"/>
  <c r="AZ113" i="64"/>
  <c r="X113" i="64"/>
  <c r="AP113" i="64"/>
  <c r="AN113" i="64"/>
  <c r="H117" i="64"/>
  <c r="I116" i="64"/>
  <c r="E114" i="64"/>
  <c r="J117" i="64"/>
  <c r="J113" i="64"/>
  <c r="M113" i="64"/>
  <c r="AU119" i="64"/>
  <c r="AB118" i="64"/>
  <c r="AQ118" i="64"/>
  <c r="X117" i="64"/>
  <c r="AX115" i="64"/>
  <c r="AE114" i="64"/>
  <c r="U119" i="64"/>
  <c r="AU117" i="64"/>
  <c r="AB116" i="64"/>
  <c r="BB114" i="64"/>
  <c r="AJ119" i="64"/>
  <c r="Q118" i="64"/>
  <c r="AQ116" i="64"/>
  <c r="X115" i="64"/>
  <c r="AY119" i="64"/>
  <c r="AF118" i="64"/>
  <c r="M117" i="64"/>
  <c r="AM115" i="64"/>
  <c r="T114" i="64"/>
  <c r="AU118" i="64"/>
  <c r="AB117" i="64"/>
  <c r="BB115" i="64"/>
  <c r="AI114" i="64"/>
  <c r="BB118" i="64"/>
  <c r="AI117" i="64"/>
  <c r="P116" i="64"/>
  <c r="AP114" i="64"/>
  <c r="X119" i="64"/>
  <c r="AX117" i="64"/>
  <c r="AE116" i="64"/>
  <c r="L115" i="64"/>
  <c r="AV113" i="64"/>
  <c r="Y113" i="64"/>
  <c r="AF113" i="64"/>
  <c r="AW113" i="64"/>
  <c r="H115" i="64"/>
  <c r="F119" i="64"/>
  <c r="F115" i="64"/>
  <c r="K118" i="64"/>
  <c r="N117" i="64"/>
  <c r="R119" i="64"/>
  <c r="AF116" i="64"/>
  <c r="G119" i="64"/>
  <c r="G118" i="64"/>
  <c r="AM119" i="64"/>
  <c r="AT116" i="64"/>
  <c r="AA115" i="64"/>
  <c r="BB119" i="64"/>
  <c r="AI118" i="64"/>
  <c r="P117" i="64"/>
  <c r="W114" i="64"/>
  <c r="M119" i="64"/>
  <c r="AM117" i="64"/>
  <c r="T116" i="64"/>
  <c r="AT114" i="64"/>
  <c r="AB119" i="64"/>
  <c r="BB117" i="64"/>
  <c r="AI116" i="64"/>
  <c r="P115" i="64"/>
  <c r="AQ119" i="64"/>
  <c r="X118" i="64"/>
  <c r="AX116" i="64"/>
  <c r="AE115" i="64"/>
  <c r="L114" i="64"/>
  <c r="AM118" i="64"/>
  <c r="T117" i="64"/>
  <c r="AT115" i="64"/>
  <c r="AA114" i="64"/>
  <c r="AT118" i="64"/>
  <c r="AA117" i="64"/>
  <c r="BA115" i="64"/>
  <c r="AH114" i="64"/>
  <c r="P119" i="64"/>
  <c r="AP117" i="64"/>
  <c r="W116" i="64"/>
  <c r="AW114" i="64"/>
  <c r="AH113" i="64"/>
  <c r="O113" i="64"/>
  <c r="AE113" i="64"/>
  <c r="AO113" i="64"/>
  <c r="J115" i="64"/>
  <c r="I117" i="64"/>
  <c r="E117" i="64"/>
  <c r="K114" i="64"/>
  <c r="I113" i="64"/>
  <c r="Y115" i="64"/>
  <c r="AY117" i="64"/>
  <c r="BA116" i="64"/>
  <c r="O114" i="64"/>
  <c r="AE117" i="64"/>
  <c r="L116" i="64"/>
  <c r="AL114" i="64"/>
  <c r="T119" i="64"/>
  <c r="AT117" i="64"/>
  <c r="AA116" i="64"/>
  <c r="BA114" i="64"/>
  <c r="AI119" i="64"/>
  <c r="P118" i="64"/>
  <c r="AP116" i="64"/>
  <c r="W115" i="64"/>
  <c r="AX119" i="64"/>
  <c r="AE118" i="64"/>
  <c r="L117" i="64"/>
  <c r="AL115" i="64"/>
  <c r="S114" i="64"/>
  <c r="AL118" i="64"/>
  <c r="S117" i="64"/>
  <c r="AS115" i="64"/>
  <c r="Z114" i="64"/>
  <c r="BA118" i="64"/>
  <c r="AH117" i="64"/>
  <c r="O116" i="64"/>
  <c r="AO114" i="64"/>
  <c r="BB113" i="64"/>
  <c r="N113" i="64"/>
  <c r="V113" i="64"/>
  <c r="AB113" i="64"/>
  <c r="AX113" i="64"/>
  <c r="K117" i="64"/>
  <c r="J118" i="64"/>
  <c r="F113" i="64"/>
  <c r="AN115" i="64"/>
  <c r="AR117" i="64"/>
  <c r="AN119" i="64"/>
  <c r="AD116" i="64"/>
  <c r="AL119" i="64"/>
  <c r="S118" i="64"/>
  <c r="AP118" i="64"/>
  <c r="W117" i="64"/>
  <c r="AW115" i="64"/>
  <c r="AD114" i="64"/>
  <c r="L119" i="64"/>
  <c r="AL117" i="64"/>
  <c r="S116" i="64"/>
  <c r="AS114" i="64"/>
  <c r="AA119" i="64"/>
  <c r="BA117" i="64"/>
  <c r="AH116" i="64"/>
  <c r="O115" i="64"/>
  <c r="AP119" i="64"/>
  <c r="W118" i="64"/>
  <c r="AW116" i="64"/>
  <c r="AD115" i="64"/>
  <c r="AW119" i="64"/>
  <c r="AD118" i="64"/>
  <c r="BD116" i="64"/>
  <c r="AK115" i="64"/>
  <c r="R114" i="64"/>
  <c r="AS118" i="64"/>
  <c r="Z117" i="64"/>
  <c r="AZ115" i="64"/>
  <c r="AG114" i="64"/>
  <c r="AY113" i="64"/>
  <c r="BC113" i="64"/>
  <c r="AI113" i="64"/>
  <c r="W113" i="64"/>
  <c r="S113" i="64"/>
  <c r="AL113" i="64"/>
  <c r="AJ113" i="64"/>
  <c r="J116" i="64"/>
  <c r="F116" i="64"/>
  <c r="K116" i="64"/>
  <c r="F118" i="64"/>
  <c r="L113" i="64"/>
  <c r="AR116" i="64"/>
  <c r="U114" i="64"/>
  <c r="Y116" i="64"/>
  <c r="U118" i="64"/>
  <c r="G115" i="64"/>
  <c r="AV114" i="64"/>
  <c r="AD119" i="64"/>
  <c r="BD117" i="64"/>
  <c r="AK116" i="64"/>
  <c r="R115" i="64"/>
  <c r="BA119" i="64"/>
  <c r="AH118" i="64"/>
  <c r="O117" i="64"/>
  <c r="AO115" i="64"/>
  <c r="V114" i="64"/>
  <c r="AW118" i="64"/>
  <c r="AD117" i="64"/>
  <c r="BD115" i="64"/>
  <c r="AK114" i="64"/>
  <c r="S119" i="64"/>
  <c r="AS117" i="64"/>
  <c r="Z116" i="64"/>
  <c r="AZ114" i="64"/>
  <c r="AH119" i="64"/>
  <c r="O118" i="64"/>
  <c r="AO116" i="64"/>
  <c r="V115" i="64"/>
  <c r="AO119" i="64"/>
  <c r="V118" i="64"/>
  <c r="AV116" i="64"/>
  <c r="AC115" i="64"/>
  <c r="BD119" i="64"/>
  <c r="AK118" i="64"/>
  <c r="R117" i="64"/>
  <c r="AR115" i="64"/>
  <c r="Y114" i="64"/>
  <c r="U113" i="64"/>
  <c r="AR113" i="64"/>
  <c r="AT113" i="64"/>
  <c r="AA113" i="64"/>
  <c r="T113" i="64"/>
  <c r="AU113" i="64"/>
  <c r="P113" i="64"/>
  <c r="H119" i="64"/>
  <c r="E118" i="64"/>
  <c r="H118" i="64"/>
  <c r="E116" i="64"/>
  <c r="K113" i="64"/>
  <c r="H113" i="64"/>
  <c r="Y119" i="64"/>
  <c r="G116" i="64"/>
  <c r="AZ118" i="64"/>
  <c r="AG117" i="64"/>
  <c r="N116" i="64"/>
  <c r="AN114" i="64"/>
  <c r="V119" i="64"/>
  <c r="AV117" i="64"/>
  <c r="AC116" i="64"/>
  <c r="BC114" i="64"/>
  <c r="AS119" i="64"/>
  <c r="Z118" i="64"/>
  <c r="AZ116" i="64"/>
  <c r="AG115" i="64"/>
  <c r="N114" i="64"/>
  <c r="AO118" i="64"/>
  <c r="V117" i="64"/>
  <c r="AV115" i="64"/>
  <c r="AC114" i="64"/>
  <c r="BD118" i="64"/>
  <c r="AK117" i="64"/>
  <c r="R116" i="64"/>
  <c r="AR114" i="64"/>
  <c r="Z119" i="64"/>
  <c r="AZ117" i="64"/>
  <c r="AG116" i="64"/>
  <c r="N115" i="64"/>
  <c r="AG119" i="64"/>
  <c r="N118" i="64"/>
  <c r="AN116" i="64"/>
  <c r="U115" i="64"/>
  <c r="AV119" i="64"/>
  <c r="AC118" i="64"/>
  <c r="BC116" i="64"/>
  <c r="AJ115" i="64"/>
  <c r="Q114" i="64"/>
  <c r="AS113" i="64"/>
  <c r="AK113" i="64"/>
  <c r="AC113" i="64"/>
  <c r="Z113" i="64"/>
  <c r="AG113" i="64"/>
  <c r="BD113" i="64"/>
  <c r="I118" i="64"/>
  <c r="E115" i="64"/>
  <c r="I115" i="64"/>
  <c r="J114" i="64"/>
  <c r="K119" i="64"/>
  <c r="G113" i="64"/>
  <c r="S133" i="64"/>
  <c r="S133" i="70" s="1"/>
  <c r="U133" i="64"/>
  <c r="U133" i="70" s="1"/>
  <c r="AN133" i="64"/>
  <c r="AN133" i="70" s="1"/>
  <c r="L133" i="64"/>
  <c r="L133" i="70" s="1"/>
  <c r="AO133" i="64"/>
  <c r="AO133" i="70" s="1"/>
  <c r="AK133" i="64"/>
  <c r="AK133" i="70" s="1"/>
  <c r="K133" i="64"/>
  <c r="K133" i="70" s="1"/>
  <c r="E113" i="64"/>
  <c r="AC133" i="64"/>
  <c r="AC133" i="70" s="1"/>
  <c r="W133" i="64"/>
  <c r="W133" i="70" s="1"/>
  <c r="AW133" i="64"/>
  <c r="AW133" i="70" s="1"/>
  <c r="X134" i="64"/>
  <c r="X135" i="64" s="1"/>
  <c r="X32" i="67" s="1"/>
  <c r="BD134" i="64"/>
  <c r="BD135" i="64" s="1"/>
  <c r="BD32" i="67" s="1"/>
  <c r="BC133" i="64"/>
  <c r="BC133" i="70" s="1"/>
  <c r="AX133" i="64"/>
  <c r="AX133" i="70" s="1"/>
  <c r="AP133" i="64"/>
  <c r="AP133" i="70" s="1"/>
  <c r="AC134" i="64"/>
  <c r="AC135" i="64" s="1"/>
  <c r="AC32" i="67" s="1"/>
  <c r="F134" i="64"/>
  <c r="F135" i="64" s="1"/>
  <c r="F32" i="67" s="1"/>
  <c r="BA133" i="64"/>
  <c r="BA133" i="70" s="1"/>
  <c r="J134" i="64"/>
  <c r="J135" i="64" s="1"/>
  <c r="J32" i="67" s="1"/>
  <c r="AY133" i="64"/>
  <c r="AY133" i="70" s="1"/>
  <c r="AM133" i="64"/>
  <c r="AM133" i="70" s="1"/>
  <c r="AH133" i="64"/>
  <c r="AH133" i="70" s="1"/>
  <c r="AN134" i="64"/>
  <c r="AN135" i="64" s="1"/>
  <c r="AN32" i="67" s="1"/>
  <c r="G133" i="64"/>
  <c r="G133" i="70" s="1"/>
  <c r="E134" i="64"/>
  <c r="AS133" i="64"/>
  <c r="AS133" i="70" s="1"/>
  <c r="AK134" i="64"/>
  <c r="AK135" i="64" s="1"/>
  <c r="X133" i="64"/>
  <c r="X133" i="70" s="1"/>
  <c r="BD133" i="64"/>
  <c r="BD133" i="70" s="1"/>
  <c r="Y134" i="64"/>
  <c r="Y135" i="64" s="1"/>
  <c r="Y32" i="67" s="1"/>
  <c r="AF134" i="64"/>
  <c r="AF135" i="64" s="1"/>
  <c r="AF32" i="67" s="1"/>
  <c r="AW134" i="64"/>
  <c r="AW135" i="64" s="1"/>
  <c r="AW32" i="67" s="1"/>
  <c r="H133" i="64"/>
  <c r="H133" i="70" s="1"/>
  <c r="J133" i="64"/>
  <c r="J133" i="70" s="1"/>
  <c r="I134" i="64"/>
  <c r="I135" i="64" s="1"/>
  <c r="AR134" i="64"/>
  <c r="AR135" i="64" s="1"/>
  <c r="Q134" i="64"/>
  <c r="Q135" i="64" s="1"/>
  <c r="AD133" i="64"/>
  <c r="AD133" i="70" s="1"/>
  <c r="AL133" i="64"/>
  <c r="AL133" i="70" s="1"/>
  <c r="AE133" i="64"/>
  <c r="AE133" i="70" s="1"/>
  <c r="V133" i="64"/>
  <c r="V133" i="70" s="1"/>
  <c r="BB133" i="64"/>
  <c r="BB133" i="70" s="1"/>
  <c r="Q133" i="64"/>
  <c r="Q133" i="70" s="1"/>
  <c r="AO134" i="64"/>
  <c r="AO135" i="64" s="1"/>
  <c r="E133" i="64"/>
  <c r="E133" i="70" s="1"/>
  <c r="AF133" i="64"/>
  <c r="AF133" i="70" s="1"/>
  <c r="AB133" i="64"/>
  <c r="AB133" i="70" s="1"/>
  <c r="AR133" i="64"/>
  <c r="AR133" i="70" s="1"/>
  <c r="U134" i="64"/>
  <c r="U135" i="64" s="1"/>
  <c r="U32" i="67" s="1"/>
  <c r="P133" i="64"/>
  <c r="P133" i="70" s="1"/>
  <c r="AU133" i="64"/>
  <c r="AU133" i="70" s="1"/>
  <c r="I133" i="64"/>
  <c r="I133" i="70" s="1"/>
  <c r="L134" i="64"/>
  <c r="L135" i="64" s="1"/>
  <c r="AI133" i="64"/>
  <c r="AI133" i="70" s="1"/>
  <c r="T133" i="64"/>
  <c r="T133" i="70" s="1"/>
  <c r="Z133" i="64"/>
  <c r="Z133" i="70" s="1"/>
  <c r="W134" i="64"/>
  <c r="W135" i="64" s="1"/>
  <c r="S134" i="64"/>
  <c r="S135" i="64" s="1"/>
  <c r="S32" i="67" s="1"/>
  <c r="R133" i="64"/>
  <c r="R133" i="70" s="1"/>
  <c r="AV133" i="64"/>
  <c r="AV133" i="70" s="1"/>
  <c r="AG133" i="64"/>
  <c r="AG133" i="70" s="1"/>
  <c r="O133" i="64"/>
  <c r="O133" i="70" s="1"/>
  <c r="Y133" i="64"/>
  <c r="Y133" i="70" s="1"/>
  <c r="P134" i="64"/>
  <c r="P135" i="64" s="1"/>
  <c r="K134" i="64"/>
  <c r="K135" i="64" s="1"/>
  <c r="K32" i="67" s="1"/>
  <c r="Z134" i="64"/>
  <c r="Z135" i="64" s="1"/>
  <c r="Z32" i="67" s="1"/>
  <c r="AG134" i="64"/>
  <c r="AG135" i="64" s="1"/>
  <c r="AG32" i="67" s="1"/>
  <c r="AM134" i="64"/>
  <c r="AM135" i="64" s="1"/>
  <c r="AM32" i="67" s="1"/>
  <c r="BA134" i="64"/>
  <c r="BA135" i="64" s="1"/>
  <c r="BA32" i="67" s="1"/>
  <c r="AD134" i="64"/>
  <c r="AD135" i="64" s="1"/>
  <c r="AD32" i="67" s="1"/>
  <c r="AP134" i="64"/>
  <c r="AP135" i="64" s="1"/>
  <c r="AP32" i="67" s="1"/>
  <c r="AV134" i="64"/>
  <c r="AV135" i="64" s="1"/>
  <c r="AV32" i="67" s="1"/>
  <c r="AH134" i="64"/>
  <c r="AH135" i="64" s="1"/>
  <c r="AH32" i="67" s="1"/>
  <c r="O134" i="64"/>
  <c r="O135" i="64" s="1"/>
  <c r="O32" i="67" s="1"/>
  <c r="AE134" i="64"/>
  <c r="AE135" i="64" s="1"/>
  <c r="AE32" i="67" s="1"/>
  <c r="AY134" i="64"/>
  <c r="AY135" i="64" s="1"/>
  <c r="AY32" i="67" s="1"/>
  <c r="BB134" i="64"/>
  <c r="BB135" i="64" s="1"/>
  <c r="BB32" i="67" s="1"/>
  <c r="R134" i="64"/>
  <c r="R135" i="64" s="1"/>
  <c r="R32" i="67" s="1"/>
  <c r="V134" i="64"/>
  <c r="V135" i="64" s="1"/>
  <c r="V32" i="67" s="1"/>
  <c r="AB134" i="64"/>
  <c r="AB135" i="64" s="1"/>
  <c r="AB32" i="67" s="1"/>
  <c r="AX134" i="64"/>
  <c r="AX135" i="64" s="1"/>
  <c r="AX32" i="67" s="1"/>
  <c r="AS134" i="64"/>
  <c r="AS135" i="64" s="1"/>
  <c r="AS32" i="67" s="1"/>
  <c r="BC134" i="64"/>
  <c r="BC135" i="64" s="1"/>
  <c r="BC32" i="67" s="1"/>
  <c r="AI134" i="64"/>
  <c r="AI135" i="64" s="1"/>
  <c r="AI32" i="67" s="1"/>
  <c r="AL134" i="64"/>
  <c r="AL135" i="64" s="1"/>
  <c r="AL32" i="67" s="1"/>
  <c r="H134" i="64"/>
  <c r="H135" i="64" s="1"/>
  <c r="H32" i="67" s="1"/>
  <c r="T134" i="64"/>
  <c r="T135" i="64" s="1"/>
  <c r="T32" i="67" s="1"/>
  <c r="AU134" i="64"/>
  <c r="AU135" i="64" s="1"/>
  <c r="AU32" i="67" s="1"/>
  <c r="G134" i="64"/>
  <c r="G135" i="64" s="1"/>
  <c r="G32" i="67" s="1"/>
  <c r="F133" i="64"/>
  <c r="F133" i="70" s="1"/>
  <c r="AJ133" i="64"/>
  <c r="AJ133" i="70" s="1"/>
  <c r="AD99" i="67" l="1"/>
  <c r="AK99" i="67"/>
  <c r="K99" i="67"/>
  <c r="AB99" i="67"/>
  <c r="AV99" i="67"/>
  <c r="U99" i="67"/>
  <c r="AY99" i="67"/>
  <c r="R99" i="67"/>
  <c r="AO99" i="67"/>
  <c r="O99" i="67"/>
  <c r="AM99" i="67"/>
  <c r="T99" i="67"/>
  <c r="M99" i="67"/>
  <c r="AQ99" i="67"/>
  <c r="H99" i="67"/>
  <c r="BA99" i="67"/>
  <c r="I99" i="67"/>
  <c r="G99" i="67"/>
  <c r="AC99" i="67"/>
  <c r="X99" i="67"/>
  <c r="P99" i="67"/>
  <c r="AR99" i="67"/>
  <c r="V99" i="67"/>
  <c r="AE99" i="67"/>
  <c r="BD99" i="67"/>
  <c r="N99" i="67"/>
  <c r="AJ99" i="67"/>
  <c r="F99" i="67"/>
  <c r="AG99" i="67"/>
  <c r="J99" i="67"/>
  <c r="AX99" i="67"/>
  <c r="Z99" i="67"/>
  <c r="BB99" i="67"/>
  <c r="AW99" i="67"/>
  <c r="AS99" i="67"/>
  <c r="AN99" i="67"/>
  <c r="AI99" i="67"/>
  <c r="AU99" i="67"/>
  <c r="AT99" i="67"/>
  <c r="AP99" i="67"/>
  <c r="Q99" i="67"/>
  <c r="Y99" i="67"/>
  <c r="W99" i="67"/>
  <c r="S99" i="67"/>
  <c r="E99" i="67"/>
  <c r="AF99" i="67"/>
  <c r="BC99" i="67"/>
  <c r="AL99" i="67"/>
  <c r="AA99" i="67"/>
  <c r="AZ99" i="67"/>
  <c r="AO30" i="64"/>
  <c r="AO32" i="67"/>
  <c r="AR30" i="64"/>
  <c r="AR32" i="67"/>
  <c r="I30" i="64"/>
  <c r="I32" i="67"/>
  <c r="AK30" i="64"/>
  <c r="AK32" i="67"/>
  <c r="W30" i="64"/>
  <c r="W32" i="67"/>
  <c r="P30" i="64"/>
  <c r="P32" i="67"/>
  <c r="L30" i="64"/>
  <c r="L32" i="67"/>
  <c r="Q30" i="64"/>
  <c r="Q32" i="67"/>
  <c r="N134" i="64"/>
  <c r="N135" i="64" s="1"/>
  <c r="Y30" i="64"/>
  <c r="AQ134" i="64"/>
  <c r="AQ135" i="64" s="1"/>
  <c r="AQ32" i="67" s="1"/>
  <c r="K30" i="64"/>
  <c r="BD30" i="64"/>
  <c r="AW30" i="64"/>
  <c r="E135" i="64"/>
  <c r="B3" i="61"/>
  <c r="U30" i="64"/>
  <c r="X30" i="64"/>
  <c r="AN30" i="64"/>
  <c r="F30" i="64"/>
  <c r="AF30" i="64"/>
  <c r="J30" i="64"/>
  <c r="S30" i="64"/>
  <c r="AC30" i="64"/>
  <c r="AA134" i="64"/>
  <c r="AA135" i="64" s="1"/>
  <c r="AA32" i="67" s="1"/>
  <c r="AT134" i="64"/>
  <c r="AT135" i="64" s="1"/>
  <c r="AT32" i="67" s="1"/>
  <c r="AU30" i="64"/>
  <c r="AL30" i="64"/>
  <c r="AE30" i="64"/>
  <c r="T30" i="64"/>
  <c r="R30" i="64"/>
  <c r="O30" i="64"/>
  <c r="BB30" i="64"/>
  <c r="AH30" i="64"/>
  <c r="AD30" i="64"/>
  <c r="AG30" i="64"/>
  <c r="G30" i="64"/>
  <c r="AY30" i="64"/>
  <c r="BA30" i="64"/>
  <c r="Z30" i="64"/>
  <c r="AX30" i="64"/>
  <c r="AP30" i="64"/>
  <c r="AM30" i="64"/>
  <c r="AI30" i="64"/>
  <c r="AB30" i="64"/>
  <c r="AV30" i="64"/>
  <c r="AZ134" i="64"/>
  <c r="AZ135" i="64" s="1"/>
  <c r="AZ32" i="67" s="1"/>
  <c r="H30" i="64"/>
  <c r="BC30" i="64"/>
  <c r="V30" i="64"/>
  <c r="AJ134" i="64"/>
  <c r="AJ135" i="64" s="1"/>
  <c r="AJ32" i="67" s="1"/>
  <c r="AS30" i="64"/>
  <c r="M134" i="64"/>
  <c r="M135" i="64" s="1"/>
  <c r="M32" i="67" s="1"/>
  <c r="E30" i="64" l="1"/>
  <c r="E32" i="67"/>
  <c r="N30" i="64"/>
  <c r="N32" i="67"/>
  <c r="AQ30" i="64"/>
  <c r="E4" i="61"/>
  <c r="F4" i="61" s="1"/>
  <c r="AT30" i="64"/>
  <c r="AA30" i="64"/>
  <c r="AJ30" i="64"/>
  <c r="M30" i="64"/>
  <c r="AZ30" i="64"/>
  <c r="G4" i="61" l="1"/>
  <c r="F5" i="61"/>
  <c r="F16" i="61" s="1"/>
  <c r="F15" i="61"/>
  <c r="E15" i="61"/>
  <c r="E5" i="61"/>
  <c r="E16" i="61" s="1"/>
  <c r="G5" i="61" l="1"/>
  <c r="G16" i="61" s="1"/>
  <c r="G15" i="61"/>
  <c r="H4" i="61"/>
  <c r="I4" i="61" l="1"/>
  <c r="H5" i="61"/>
  <c r="H16" i="61" s="1"/>
  <c r="H15" i="61"/>
  <c r="I5" i="61" l="1"/>
  <c r="I16" i="61" s="1"/>
  <c r="I15" i="61"/>
  <c r="J4" i="61"/>
  <c r="J5" i="61" l="1"/>
  <c r="J16" i="61" s="1"/>
  <c r="J15" i="61"/>
  <c r="K4" i="61"/>
  <c r="K5" i="61" l="1"/>
  <c r="K16" i="61" s="1"/>
  <c r="K15" i="61"/>
  <c r="L4" i="61"/>
  <c r="L5" i="61" l="1"/>
  <c r="L16" i="61" s="1"/>
  <c r="L15" i="61"/>
  <c r="M4" i="61"/>
  <c r="M5" i="61" l="1"/>
  <c r="M16" i="61" s="1"/>
  <c r="M15" i="61"/>
  <c r="N4" i="61"/>
  <c r="N5" i="61" l="1"/>
  <c r="N16" i="61" s="1"/>
  <c r="N15" i="61"/>
  <c r="O4" i="61"/>
  <c r="O5" i="61" l="1"/>
  <c r="O16" i="61" s="1"/>
  <c r="O15" i="61"/>
  <c r="P4" i="61"/>
  <c r="P5" i="61" l="1"/>
  <c r="P16" i="61" s="1"/>
  <c r="P15" i="61"/>
  <c r="Q4" i="61"/>
  <c r="Q5" i="61" l="1"/>
  <c r="Q16" i="61" s="1"/>
  <c r="Q15" i="61"/>
  <c r="R4" i="61"/>
  <c r="R5" i="61" l="1"/>
  <c r="S4" i="61"/>
  <c r="S5" i="61" l="1"/>
  <c r="T4" i="61"/>
  <c r="T5" i="61" l="1"/>
  <c r="U4" i="61"/>
  <c r="U5" i="61" l="1"/>
  <c r="V4" i="61"/>
  <c r="V5" i="61" l="1"/>
  <c r="W4" i="61"/>
  <c r="W5" i="61" l="1"/>
  <c r="X4" i="61"/>
  <c r="X5" i="61" l="1"/>
  <c r="Y4" i="61"/>
  <c r="Y5" i="61" l="1"/>
  <c r="Z4" i="61"/>
  <c r="Z5" i="61" l="1"/>
  <c r="AA4" i="61"/>
  <c r="AA5" i="61" l="1"/>
  <c r="AB4" i="61"/>
  <c r="AB5" i="61" l="1"/>
  <c r="AC4" i="61"/>
  <c r="AC5" i="61" l="1"/>
  <c r="AD4" i="61"/>
  <c r="AD5" i="61" l="1"/>
  <c r="AE4" i="61"/>
  <c r="AE5" i="61" l="1"/>
  <c r="AF4" i="61"/>
  <c r="AF5" i="61" l="1"/>
  <c r="AG4" i="61"/>
  <c r="AG5" i="61" l="1"/>
  <c r="AH4" i="61"/>
  <c r="AH5" i="61" l="1"/>
  <c r="AI4" i="61"/>
  <c r="AJ4" i="61" l="1"/>
  <c r="AI5" i="61"/>
  <c r="AJ5" i="61" l="1"/>
  <c r="AK4" i="61"/>
  <c r="AK5" i="61" l="1"/>
  <c r="AL4" i="61"/>
  <c r="AL5" i="61" l="1"/>
  <c r="AM4" i="61"/>
  <c r="AM5" i="61" l="1"/>
  <c r="AN4" i="61"/>
  <c r="AN5" i="61" l="1"/>
  <c r="AO4" i="61"/>
  <c r="AO5" i="61" l="1"/>
  <c r="AP4" i="61"/>
  <c r="AP5" i="61" l="1"/>
  <c r="AQ4" i="61"/>
  <c r="AQ5" i="61" l="1"/>
  <c r="AR4" i="61"/>
  <c r="AR5" i="61" l="1"/>
  <c r="AS4" i="61"/>
  <c r="AS5" i="61" l="1"/>
  <c r="AT4" i="61"/>
  <c r="AT5" i="61" l="1"/>
  <c r="AU4" i="61"/>
  <c r="AU5" i="61" l="1"/>
  <c r="AV4" i="61"/>
  <c r="AV5" i="61" l="1"/>
  <c r="AW4" i="61"/>
  <c r="AW5" i="61" l="1"/>
  <c r="AX4" i="61"/>
  <c r="AX5" i="61" l="1"/>
  <c r="AY4" i="61"/>
  <c r="AY5" i="61" l="1"/>
  <c r="AZ4" i="61"/>
  <c r="AZ5" i="61" l="1"/>
  <c r="BA4" i="61"/>
  <c r="BA5" i="61" l="1"/>
  <c r="BB4" i="61"/>
  <c r="BB5" i="61" l="1"/>
  <c r="BC4" i="61"/>
  <c r="BC5" i="61" l="1"/>
  <c r="BD4" i="61"/>
  <c r="BD5" i="61" s="1"/>
  <c r="Q25" i="62" l="1"/>
  <c r="Q143" i="62" s="1"/>
  <c r="E25" i="62"/>
  <c r="E143" i="62" s="1"/>
  <c r="AE25" i="62"/>
  <c r="AE143" i="62" s="1"/>
  <c r="AL142" i="62"/>
  <c r="X141" i="62"/>
  <c r="J25" i="62"/>
  <c r="H138" i="62"/>
  <c r="AE141" i="62"/>
  <c r="AQ138" i="62"/>
  <c r="AC137" i="62"/>
  <c r="AC140" i="62"/>
  <c r="AC139" i="62"/>
  <c r="J139" i="62"/>
  <c r="AA140" i="62"/>
  <c r="AN138" i="62"/>
  <c r="AJ137" i="62"/>
  <c r="V138" i="62"/>
  <c r="W137" i="62"/>
  <c r="Y141" i="62"/>
  <c r="AD139" i="62"/>
  <c r="T141" i="62"/>
  <c r="AI138" i="62"/>
  <c r="I142" i="62"/>
  <c r="AS142" i="62"/>
  <c r="J142" i="62"/>
  <c r="AY137" i="62"/>
  <c r="S139" i="62"/>
  <c r="U142" i="62"/>
  <c r="V139" i="62"/>
  <c r="AS140" i="62"/>
  <c r="AZ136" i="62"/>
  <c r="AX138" i="62"/>
  <c r="W138" i="62"/>
  <c r="M141" i="62"/>
  <c r="M137" i="62"/>
  <c r="AB136" i="62"/>
  <c r="AQ25" i="62"/>
  <c r="AQ143" i="62" s="1"/>
  <c r="AM137" i="62"/>
  <c r="AA25" i="62"/>
  <c r="AA143" i="62" s="1"/>
  <c r="O137" i="62"/>
  <c r="AH25" i="62"/>
  <c r="AH143" i="62" s="1"/>
  <c r="L139" i="62"/>
  <c r="AQ141" i="62"/>
  <c r="AY25" i="62"/>
  <c r="AY143" i="62" s="1"/>
  <c r="AF137" i="62"/>
  <c r="L142" i="62"/>
  <c r="P137" i="62"/>
  <c r="AX139" i="62"/>
  <c r="AN137" i="62"/>
  <c r="BD136" i="62"/>
  <c r="AB25" i="62"/>
  <c r="AB143" i="62" s="1"/>
  <c r="AH137" i="62"/>
  <c r="K136" i="62"/>
  <c r="AQ137" i="62"/>
  <c r="G138" i="62"/>
  <c r="AI137" i="62"/>
  <c r="K137" i="62"/>
  <c r="W140" i="62"/>
  <c r="AO141" i="62"/>
  <c r="AV140" i="62"/>
  <c r="BC140" i="62"/>
  <c r="AR140" i="62"/>
  <c r="BC138" i="62"/>
  <c r="AU138" i="62"/>
  <c r="AO139" i="62"/>
  <c r="AU140" i="62"/>
  <c r="R138" i="62"/>
  <c r="J140" i="62"/>
  <c r="AU141" i="62"/>
  <c r="W139" i="62"/>
  <c r="R142" i="62"/>
  <c r="P142" i="62"/>
  <c r="Q138" i="62"/>
  <c r="AR25" i="62"/>
  <c r="AR143" i="62" s="1"/>
  <c r="AS138" i="62"/>
  <c r="AZ141" i="62"/>
  <c r="P141" i="62"/>
  <c r="M142" i="62"/>
  <c r="AX142" i="62"/>
  <c r="AH138" i="62"/>
  <c r="F138" i="62"/>
  <c r="AK138" i="62"/>
  <c r="M139" i="62"/>
  <c r="AS139" i="62"/>
  <c r="AZ25" i="62"/>
  <c r="AZ143" i="62" s="1"/>
  <c r="P25" i="62"/>
  <c r="P143" i="62" s="1"/>
  <c r="V25" i="62"/>
  <c r="V143" i="62" s="1"/>
  <c r="G137" i="62"/>
  <c r="BC142" i="62"/>
  <c r="R25" i="62"/>
  <c r="R143" i="62" s="1"/>
  <c r="AF139" i="62"/>
  <c r="X140" i="62"/>
  <c r="AF138" i="62"/>
  <c r="AE136" i="62"/>
  <c r="Q136" i="62"/>
  <c r="AT137" i="62"/>
  <c r="AQ142" i="62"/>
  <c r="AE139" i="62"/>
  <c r="G140" i="62"/>
  <c r="AC25" i="62"/>
  <c r="AC143" i="62" s="1"/>
  <c r="AZ142" i="62"/>
  <c r="AN142" i="62"/>
  <c r="L140" i="62"/>
  <c r="BA141" i="62"/>
  <c r="F136" i="62"/>
  <c r="AV139" i="62"/>
  <c r="AL137" i="62"/>
  <c r="AT140" i="62"/>
  <c r="I141" i="62"/>
  <c r="Q140" i="62"/>
  <c r="AT142" i="62"/>
  <c r="AD141" i="62"/>
  <c r="AV25" i="62"/>
  <c r="AV143" i="62" s="1"/>
  <c r="AA138" i="62"/>
  <c r="O139" i="62"/>
  <c r="AA142" i="62"/>
  <c r="K25" i="62"/>
  <c r="K143" i="62" s="1"/>
  <c r="J141" i="62"/>
  <c r="BC141" i="62"/>
  <c r="AE142" i="62"/>
  <c r="AL139" i="62"/>
  <c r="P139" i="62"/>
  <c r="F137" i="62"/>
  <c r="V140" i="62"/>
  <c r="T25" i="62"/>
  <c r="T143" i="62" s="1"/>
  <c r="U139" i="62"/>
  <c r="AT141" i="62"/>
  <c r="AV141" i="62"/>
  <c r="J138" i="62"/>
  <c r="R139" i="62"/>
  <c r="X137" i="62"/>
  <c r="AP139" i="62"/>
  <c r="F142" i="62"/>
  <c r="AG25" i="62"/>
  <c r="AG143" i="62" s="1"/>
  <c r="AH140" i="62"/>
  <c r="I136" i="62"/>
  <c r="AG140" i="62"/>
  <c r="AV142" i="62"/>
  <c r="AY138" i="62"/>
  <c r="AP140" i="62"/>
  <c r="AM25" i="62"/>
  <c r="AM143" i="62" s="1"/>
  <c r="BC139" i="62"/>
  <c r="AP137" i="62"/>
  <c r="AM136" i="62"/>
  <c r="K140" i="62"/>
  <c r="O138" i="62"/>
  <c r="Q139" i="62"/>
  <c r="AE140" i="62"/>
  <c r="G141" i="62"/>
  <c r="AC138" i="62"/>
  <c r="AP136" i="62"/>
  <c r="O141" i="62"/>
  <c r="L138" i="62"/>
  <c r="AZ137" i="62"/>
  <c r="Z137" i="62"/>
  <c r="AN25" i="62"/>
  <c r="AN143" i="62" s="1"/>
  <c r="AM141" i="62"/>
  <c r="I140" i="62"/>
  <c r="AR136" i="62"/>
  <c r="AF140" i="62"/>
  <c r="AA137" i="62"/>
  <c r="AO140" i="62"/>
  <c r="AI25" i="62"/>
  <c r="AI143" i="62" s="1"/>
  <c r="AA139" i="62"/>
  <c r="AW137" i="62"/>
  <c r="AN139" i="62"/>
  <c r="N141" i="62"/>
  <c r="AP138" i="62"/>
  <c r="V141" i="62"/>
  <c r="Y138" i="62"/>
  <c r="AD25" i="62"/>
  <c r="AD143" i="62" s="1"/>
  <c r="AK137" i="62"/>
  <c r="P140" i="62"/>
  <c r="T136" i="62"/>
  <c r="AF25" i="62"/>
  <c r="AF143" i="62" s="1"/>
  <c r="W141" i="62"/>
  <c r="AV137" i="62"/>
  <c r="T137" i="62"/>
  <c r="AW140" i="62"/>
  <c r="J136" i="62"/>
  <c r="AT138" i="62"/>
  <c r="AX137" i="62"/>
  <c r="T140" i="62"/>
  <c r="AV138" i="62"/>
  <c r="AG138" i="62"/>
  <c r="F140" i="62"/>
  <c r="L136" i="62"/>
  <c r="Z142" i="62"/>
  <c r="F25" i="62"/>
  <c r="F143" i="62" s="1"/>
  <c r="AC142" i="62"/>
  <c r="U141" i="62"/>
  <c r="AO142" i="62"/>
  <c r="AL136" i="62"/>
  <c r="U136" i="62"/>
  <c r="AY140" i="62"/>
  <c r="R136" i="62"/>
  <c r="AK25" i="62"/>
  <c r="AK143" i="62" s="1"/>
  <c r="W25" i="62"/>
  <c r="W143" i="62" s="1"/>
  <c r="AE137" i="62"/>
  <c r="G139" i="62"/>
  <c r="S136" i="62"/>
  <c r="AP141" i="62"/>
  <c r="BB139" i="62"/>
  <c r="AH141" i="62"/>
  <c r="AW138" i="62"/>
  <c r="AO136" i="62"/>
  <c r="AR139" i="62"/>
  <c r="AM142" i="62"/>
  <c r="AW25" i="62"/>
  <c r="AW143" i="62" s="1"/>
  <c r="AD142" i="62"/>
  <c r="S137" i="62"/>
  <c r="Z140" i="62"/>
  <c r="O142" i="62"/>
  <c r="S138" i="62"/>
  <c r="AI140" i="62"/>
  <c r="L25" i="62"/>
  <c r="L143" i="62" s="1"/>
  <c r="BB137" i="62"/>
  <c r="AC141" i="62"/>
  <c r="V136" i="62"/>
  <c r="AG141" i="62"/>
  <c r="I25" i="62"/>
  <c r="I143" i="62" s="1"/>
  <c r="AK139" i="62"/>
  <c r="R140" i="62"/>
  <c r="N25" i="62"/>
  <c r="N143" i="62" s="1"/>
  <c r="AW141" i="62"/>
  <c r="AI139" i="62"/>
  <c r="AU136" i="62"/>
  <c r="AZ138" i="62"/>
  <c r="AX25" i="62"/>
  <c r="AX143" i="62" s="1"/>
  <c r="M25" i="62"/>
  <c r="M143" i="62" s="1"/>
  <c r="AY142" i="62"/>
  <c r="AN140" i="62"/>
  <c r="Q28" i="62"/>
  <c r="Q29" i="62" s="1"/>
  <c r="Q30" i="62" s="1"/>
  <c r="AL141" i="62"/>
  <c r="T139" i="62"/>
  <c r="AI141" i="62"/>
  <c r="M138" i="62"/>
  <c r="O136" i="62"/>
  <c r="K141" i="62"/>
  <c r="AB141" i="62"/>
  <c r="X25" i="62"/>
  <c r="X143" i="62" s="1"/>
  <c r="AJ139" i="62"/>
  <c r="R137" i="62"/>
  <c r="Z138" i="62"/>
  <c r="S25" i="62"/>
  <c r="S143" i="62" s="1"/>
  <c r="AY139" i="62"/>
  <c r="W142" i="62"/>
  <c r="G136" i="62"/>
  <c r="AK142" i="62"/>
  <c r="AT25" i="62"/>
  <c r="AT143" i="62" s="1"/>
  <c r="N137" i="62"/>
  <c r="AH136" i="62"/>
  <c r="V137" i="62"/>
  <c r="AG139" i="62"/>
  <c r="P138" i="62"/>
  <c r="AR137" i="62"/>
  <c r="AM138" i="62"/>
  <c r="S140" i="62"/>
  <c r="Y25" i="62"/>
  <c r="Y143" i="62" s="1"/>
  <c r="N140" i="62"/>
  <c r="BD137" i="62"/>
  <c r="AG142" i="62"/>
  <c r="S142" i="62"/>
  <c r="S141" i="62"/>
  <c r="BA142" i="62"/>
  <c r="AF141" i="62"/>
  <c r="BC25" i="62"/>
  <c r="BC143" i="62" s="1"/>
  <c r="AB137" i="62"/>
  <c r="AB142" i="62"/>
  <c r="H141" i="62"/>
  <c r="AV136" i="62"/>
  <c r="AJ25" i="62"/>
  <c r="AJ143" i="62" s="1"/>
  <c r="H136" i="62"/>
  <c r="U140" i="62"/>
  <c r="AK141" i="62"/>
  <c r="BA137" i="62"/>
  <c r="F139" i="62"/>
  <c r="AB139" i="62"/>
  <c r="AD140" i="62"/>
  <c r="H140" i="62"/>
  <c r="M140" i="62"/>
  <c r="L137" i="62"/>
  <c r="T142" i="62"/>
  <c r="U137" i="62"/>
  <c r="X142" i="62"/>
  <c r="I137" i="62"/>
  <c r="AF142" i="62"/>
  <c r="BA139" i="62"/>
  <c r="AD136" i="62"/>
  <c r="AU142" i="62"/>
  <c r="N139" i="62"/>
  <c r="BD141" i="62"/>
  <c r="BB142" i="62"/>
  <c r="Q137" i="62"/>
  <c r="AJ138" i="62"/>
  <c r="Z136" i="62"/>
  <c r="AG137" i="62"/>
  <c r="BC136" i="62"/>
  <c r="AS137" i="62"/>
  <c r="AJ136" i="62"/>
  <c r="X139" i="62"/>
  <c r="AN136" i="62"/>
  <c r="AT136" i="62"/>
  <c r="AL138" i="62"/>
  <c r="G142" i="62"/>
  <c r="O140" i="62"/>
  <c r="AM139" i="62"/>
  <c r="N136" i="62"/>
  <c r="AW142" i="62"/>
  <c r="AB140" i="62"/>
  <c r="Q141" i="62"/>
  <c r="Y136" i="62"/>
  <c r="AR142" i="62"/>
  <c r="Z139" i="62"/>
  <c r="N138" i="62"/>
  <c r="AS136" i="62"/>
  <c r="AU137" i="62"/>
  <c r="AO137" i="62"/>
  <c r="N142" i="62"/>
  <c r="AA141" i="62"/>
  <c r="BD138" i="62"/>
  <c r="AE138" i="62"/>
  <c r="BD25" i="62"/>
  <c r="BD143" i="62" s="1"/>
  <c r="AU25" i="62"/>
  <c r="AU143" i="62" s="1"/>
  <c r="BB141" i="62"/>
  <c r="BA140" i="62"/>
  <c r="AJ140" i="62"/>
  <c r="AK140" i="62"/>
  <c r="AJ142" i="62"/>
  <c r="H139" i="62"/>
  <c r="K142" i="62"/>
  <c r="AU139" i="62"/>
  <c r="AB138" i="62"/>
  <c r="AI142" i="62"/>
  <c r="AW136" i="62"/>
  <c r="M136" i="62"/>
  <c r="U25" i="62"/>
  <c r="AM140" i="62"/>
  <c r="H137" i="62"/>
  <c r="J137" i="62"/>
  <c r="AO138" i="62"/>
  <c r="AC136" i="62"/>
  <c r="H142" i="62"/>
  <c r="F141" i="62"/>
  <c r="AZ140" i="62"/>
  <c r="R141" i="62"/>
  <c r="W136" i="62"/>
  <c r="AW139" i="62"/>
  <c r="AE28" i="62"/>
  <c r="AE29" i="62" s="1"/>
  <c r="AE30" i="62" s="1"/>
  <c r="AL25" i="62"/>
  <c r="AL143" i="62" s="1"/>
  <c r="BC137" i="62"/>
  <c r="AF136" i="62"/>
  <c r="AG136" i="62"/>
  <c r="AL140" i="62"/>
  <c r="P136" i="62"/>
  <c r="Y140" i="62"/>
  <c r="K138" i="62"/>
  <c r="AY141" i="62"/>
  <c r="AQ140" i="62"/>
  <c r="AY136" i="62"/>
  <c r="AI136" i="62"/>
  <c r="I138" i="62"/>
  <c r="BB140" i="62"/>
  <c r="AQ139" i="62"/>
  <c r="BD142" i="62"/>
  <c r="Z141" i="62"/>
  <c r="K139" i="62"/>
  <c r="AQ136" i="62"/>
  <c r="AR141" i="62"/>
  <c r="AN141" i="62"/>
  <c r="Y137" i="62"/>
  <c r="Y139" i="62"/>
  <c r="AD137" i="62"/>
  <c r="T138" i="62"/>
  <c r="Z25" i="62"/>
  <c r="BA138" i="62"/>
  <c r="BD140" i="62"/>
  <c r="L141" i="62"/>
  <c r="AO25" i="62"/>
  <c r="AO143" i="62" s="1"/>
  <c r="AH139" i="62"/>
  <c r="BB138" i="62"/>
  <c r="BA136" i="62"/>
  <c r="V142" i="62"/>
  <c r="AD138" i="62"/>
  <c r="U138" i="62"/>
  <c r="AP25" i="62"/>
  <c r="AH142" i="62"/>
  <c r="AA136" i="62"/>
  <c r="AP142" i="62"/>
  <c r="AZ139" i="62"/>
  <c r="X136" i="62"/>
  <c r="I139" i="62"/>
  <c r="AX140" i="62"/>
  <c r="BA25" i="62"/>
  <c r="BA143" i="62" s="1"/>
  <c r="BB136" i="62"/>
  <c r="H25" i="62"/>
  <c r="AX136" i="62"/>
  <c r="O25" i="62"/>
  <c r="AS25" i="62"/>
  <c r="AS143" i="62" s="1"/>
  <c r="G25" i="62"/>
  <c r="BD139" i="62"/>
  <c r="BB25" i="62"/>
  <c r="BB143" i="62" s="1"/>
  <c r="Q142" i="62"/>
  <c r="AX141" i="62"/>
  <c r="AJ141" i="62"/>
  <c r="AS141" i="62"/>
  <c r="AK136" i="62"/>
  <c r="AT139" i="62"/>
  <c r="X138" i="62"/>
  <c r="Y142" i="62"/>
  <c r="AR138" i="62"/>
  <c r="E141" i="62"/>
  <c r="E138" i="62"/>
  <c r="E137" i="62"/>
  <c r="E139" i="62"/>
  <c r="E142" i="62"/>
  <c r="E136" i="62"/>
  <c r="E140" i="62"/>
  <c r="E28" i="62"/>
  <c r="E29" i="62" s="1"/>
  <c r="E30" i="62" s="1"/>
  <c r="AM28" i="62"/>
  <c r="AM29" i="62" s="1"/>
  <c r="AM30" i="62" s="1"/>
  <c r="AT28" i="62"/>
  <c r="AT29" i="62" s="1"/>
  <c r="AT30" i="62" s="1"/>
  <c r="AF28" i="62"/>
  <c r="AF29" i="62" s="1"/>
  <c r="AF30" i="62" s="1"/>
  <c r="AN28" i="62"/>
  <c r="AN29" i="62" s="1"/>
  <c r="AN30" i="62" s="1"/>
  <c r="AV28" i="62"/>
  <c r="AV29" i="62" s="1"/>
  <c r="AV30" i="62" s="1"/>
  <c r="AG28" i="62"/>
  <c r="AG29" i="62" s="1"/>
  <c r="AG30" i="62" s="1"/>
  <c r="R28" i="62"/>
  <c r="R29" i="62" s="1"/>
  <c r="R30" i="62" s="1"/>
  <c r="AH28" i="62"/>
  <c r="AH29" i="62" s="1"/>
  <c r="AH30" i="62" s="1"/>
  <c r="K28" i="62"/>
  <c r="K29" i="62" s="1"/>
  <c r="K30" i="62" s="1"/>
  <c r="AI28" i="62"/>
  <c r="AI29" i="62" s="1"/>
  <c r="AI30" i="62" s="1"/>
  <c r="AR28" i="62"/>
  <c r="AR29" i="62" s="1"/>
  <c r="AR30" i="62" s="1"/>
  <c r="AW28" i="62"/>
  <c r="AW29" i="62" s="1"/>
  <c r="AW30" i="62" s="1"/>
  <c r="AC28" i="62" l="1"/>
  <c r="AC29" i="62" s="1"/>
  <c r="AC30" i="62" s="1"/>
  <c r="T28" i="62"/>
  <c r="T29" i="62" s="1"/>
  <c r="T30" i="62" s="1"/>
  <c r="AZ28" i="62"/>
  <c r="AZ29" i="62" s="1"/>
  <c r="AZ30" i="62" s="1"/>
  <c r="AU28" i="62"/>
  <c r="AU29" i="62" s="1"/>
  <c r="AU30" i="62" s="1"/>
  <c r="Y28" i="62"/>
  <c r="Y29" i="62" s="1"/>
  <c r="Y30" i="62" s="1"/>
  <c r="AL28" i="62"/>
  <c r="AL29" i="62" s="1"/>
  <c r="AL30" i="62" s="1"/>
  <c r="I28" i="62"/>
  <c r="I29" i="62" s="1"/>
  <c r="I30" i="62" s="1"/>
  <c r="M28" i="62"/>
  <c r="M29" i="62" s="1"/>
  <c r="M30" i="62" s="1"/>
  <c r="AK28" i="62"/>
  <c r="AK29" i="62" s="1"/>
  <c r="AK30" i="62" s="1"/>
  <c r="AD28" i="62"/>
  <c r="AD29" i="62" s="1"/>
  <c r="AD30" i="62" s="1"/>
  <c r="X28" i="62"/>
  <c r="X29" i="62" s="1"/>
  <c r="X30" i="62" s="1"/>
  <c r="AX28" i="62"/>
  <c r="AX29" i="62" s="1"/>
  <c r="AX30" i="62" s="1"/>
  <c r="AJ28" i="62"/>
  <c r="AJ29" i="62" s="1"/>
  <c r="AJ30" i="62" s="1"/>
  <c r="N28" i="62"/>
  <c r="N29" i="62" s="1"/>
  <c r="N30" i="62" s="1"/>
  <c r="L28" i="62"/>
  <c r="L29" i="62" s="1"/>
  <c r="L30" i="62" s="1"/>
  <c r="F28" i="62"/>
  <c r="F29" i="62" s="1"/>
  <c r="F30" i="62" s="1"/>
  <c r="AB28" i="62"/>
  <c r="AB29" i="62" s="1"/>
  <c r="AB30" i="62" s="1"/>
  <c r="F128" i="62"/>
  <c r="AP131" i="62"/>
  <c r="AA130" i="62"/>
  <c r="AL129" i="62"/>
  <c r="AV125" i="62"/>
  <c r="AO28" i="62"/>
  <c r="AO29" i="62" s="1"/>
  <c r="AO30" i="62" s="1"/>
  <c r="R126" i="62"/>
  <c r="BD28" i="62"/>
  <c r="BD29" i="62" s="1"/>
  <c r="BD30" i="62" s="1"/>
  <c r="BA28" i="62"/>
  <c r="BA29" i="62" s="1"/>
  <c r="BA30" i="62" s="1"/>
  <c r="BC28" i="62"/>
  <c r="BC29" i="62" s="1"/>
  <c r="BC30" i="62" s="1"/>
  <c r="O28" i="62"/>
  <c r="O29" i="62" s="1"/>
  <c r="O30" i="62" s="1"/>
  <c r="O143" i="62"/>
  <c r="O145" i="62" s="1"/>
  <c r="H28" i="62"/>
  <c r="H29" i="62" s="1"/>
  <c r="H30" i="62" s="1"/>
  <c r="H143" i="62"/>
  <c r="H145" i="62" s="1"/>
  <c r="AQ28" i="62"/>
  <c r="AQ29" i="62" s="1"/>
  <c r="AQ30" i="62" s="1"/>
  <c r="J28" i="62"/>
  <c r="J29" i="62" s="1"/>
  <c r="J30" i="62" s="1"/>
  <c r="J143" i="62"/>
  <c r="J146" i="62" s="1"/>
  <c r="J147" i="62" s="1"/>
  <c r="AP28" i="62"/>
  <c r="AP29" i="62" s="1"/>
  <c r="AP30" i="62" s="1"/>
  <c r="AP143" i="62"/>
  <c r="AP146" i="62" s="1"/>
  <c r="AP147" i="62" s="1"/>
  <c r="U28" i="62"/>
  <c r="U29" i="62" s="1"/>
  <c r="U30" i="62" s="1"/>
  <c r="U143" i="62"/>
  <c r="U145" i="62" s="1"/>
  <c r="G28" i="62"/>
  <c r="G29" i="62" s="1"/>
  <c r="G30" i="62" s="1"/>
  <c r="G143" i="62"/>
  <c r="G145" i="62" s="1"/>
  <c r="Z28" i="62"/>
  <c r="Z29" i="62" s="1"/>
  <c r="Z30" i="62" s="1"/>
  <c r="Z143" i="62"/>
  <c r="Z145" i="62" s="1"/>
  <c r="J126" i="62"/>
  <c r="O129" i="62"/>
  <c r="AI125" i="62"/>
  <c r="AG125" i="62"/>
  <c r="P28" i="62"/>
  <c r="P29" i="62" s="1"/>
  <c r="P30" i="62" s="1"/>
  <c r="W28" i="62"/>
  <c r="W29" i="62" s="1"/>
  <c r="W30" i="62" s="1"/>
  <c r="S28" i="62"/>
  <c r="S29" i="62" s="1"/>
  <c r="S30" i="62" s="1"/>
  <c r="Y131" i="62"/>
  <c r="Q131" i="62"/>
  <c r="AO145" i="62"/>
  <c r="AE126" i="62"/>
  <c r="M125" i="62"/>
  <c r="V126" i="62"/>
  <c r="BD127" i="62"/>
  <c r="AC125" i="62"/>
  <c r="AJ129" i="62"/>
  <c r="AO127" i="62"/>
  <c r="AB127" i="62"/>
  <c r="BB28" i="62"/>
  <c r="BB29" i="62" s="1"/>
  <c r="BB30" i="62" s="1"/>
  <c r="AK125" i="62"/>
  <c r="AS130" i="62"/>
  <c r="AD126" i="62"/>
  <c r="BA127" i="62"/>
  <c r="AR131" i="62"/>
  <c r="W146" i="62"/>
  <c r="W147" i="62" s="1"/>
  <c r="W32" i="62" s="1"/>
  <c r="AT145" i="62"/>
  <c r="BA145" i="62"/>
  <c r="X125" i="62"/>
  <c r="AX130" i="62"/>
  <c r="AA125" i="62"/>
  <c r="BA125" i="62"/>
  <c r="K127" i="62"/>
  <c r="BC125" i="62"/>
  <c r="G125" i="62"/>
  <c r="T127" i="62"/>
  <c r="Z130" i="62"/>
  <c r="S131" i="62"/>
  <c r="AW128" i="62"/>
  <c r="AT125" i="62"/>
  <c r="I128" i="62"/>
  <c r="L130" i="62"/>
  <c r="P125" i="62"/>
  <c r="AU126" i="62"/>
  <c r="AU145" i="62"/>
  <c r="N145" i="62"/>
  <c r="U127" i="62"/>
  <c r="AN130" i="62"/>
  <c r="M145" i="62"/>
  <c r="AZ127" i="62"/>
  <c r="AZ129" i="62"/>
  <c r="AM129" i="62"/>
  <c r="N127" i="62"/>
  <c r="BC145" i="62"/>
  <c r="E128" i="62"/>
  <c r="X127" i="62"/>
  <c r="AJ130" i="62"/>
  <c r="AS145" i="62"/>
  <c r="BB146" i="62"/>
  <c r="BB147" i="62" s="1"/>
  <c r="BB31" i="62" s="1"/>
  <c r="AD127" i="62"/>
  <c r="AQ129" i="62"/>
  <c r="R130" i="62"/>
  <c r="AI131" i="62"/>
  <c r="Z125" i="62"/>
  <c r="AS126" i="62"/>
  <c r="N128" i="62"/>
  <c r="T131" i="62"/>
  <c r="AK130" i="62"/>
  <c r="BD126" i="62"/>
  <c r="AY128" i="62"/>
  <c r="AU125" i="62"/>
  <c r="E126" i="62"/>
  <c r="AY130" i="62"/>
  <c r="BA129" i="62"/>
  <c r="AU131" i="62"/>
  <c r="U129" i="62"/>
  <c r="N129" i="62"/>
  <c r="AH125" i="62"/>
  <c r="S145" i="62"/>
  <c r="AI128" i="62"/>
  <c r="V130" i="62"/>
  <c r="AT128" i="62"/>
  <c r="V131" i="62"/>
  <c r="K130" i="62"/>
  <c r="BB130" i="62"/>
  <c r="G131" i="62"/>
  <c r="AD125" i="62"/>
  <c r="H125" i="62"/>
  <c r="Y145" i="62"/>
  <c r="N126" i="62"/>
  <c r="Z127" i="62"/>
  <c r="M127" i="62"/>
  <c r="AD131" i="62"/>
  <c r="AH128" i="62"/>
  <c r="AU128" i="62"/>
  <c r="N131" i="62"/>
  <c r="Q130" i="62"/>
  <c r="BA128" i="62"/>
  <c r="H129" i="62"/>
  <c r="BB126" i="62"/>
  <c r="AW145" i="62"/>
  <c r="AX146" i="62"/>
  <c r="AX147" i="62" s="1"/>
  <c r="AX31" i="62" s="1"/>
  <c r="BA126" i="62"/>
  <c r="BD129" i="62"/>
  <c r="Y126" i="62"/>
  <c r="BB129" i="62"/>
  <c r="AO126" i="62"/>
  <c r="AB129" i="62"/>
  <c r="AJ127" i="62"/>
  <c r="AF131" i="62"/>
  <c r="AD129" i="62"/>
  <c r="BA131" i="62"/>
  <c r="AM131" i="62"/>
  <c r="L145" i="62"/>
  <c r="E129" i="62"/>
  <c r="BB127" i="62"/>
  <c r="I127" i="62"/>
  <c r="H126" i="62"/>
  <c r="AB128" i="62"/>
  <c r="S129" i="62"/>
  <c r="AR128" i="62"/>
  <c r="AK131" i="62"/>
  <c r="AL130" i="62"/>
  <c r="R129" i="62"/>
  <c r="E125" i="62"/>
  <c r="AZ128" i="62"/>
  <c r="AJ131" i="62"/>
  <c r="H130" i="62"/>
  <c r="P127" i="62"/>
  <c r="X145" i="62"/>
  <c r="S127" i="62"/>
  <c r="AW146" i="62"/>
  <c r="AW147" i="62" s="1"/>
  <c r="AW32" i="62" s="1"/>
  <c r="BD145" i="62"/>
  <c r="AM128" i="62"/>
  <c r="BD130" i="62"/>
  <c r="U126" i="62"/>
  <c r="AZ126" i="62"/>
  <c r="I145" i="62"/>
  <c r="AK145" i="62"/>
  <c r="E131" i="62"/>
  <c r="E130" i="62"/>
  <c r="BB145" i="62"/>
  <c r="AS28" i="62"/>
  <c r="AS29" i="62" s="1"/>
  <c r="AS30" i="62" s="1"/>
  <c r="AX129" i="62"/>
  <c r="Y128" i="62"/>
  <c r="AQ130" i="62"/>
  <c r="AQ146" i="62"/>
  <c r="AQ147" i="62" s="1"/>
  <c r="AQ128" i="62"/>
  <c r="AY146" i="62"/>
  <c r="AY147" i="62" s="1"/>
  <c r="Y129" i="62"/>
  <c r="AF126" i="62"/>
  <c r="AF146" i="62"/>
  <c r="AF147" i="62" s="1"/>
  <c r="AF129" i="62"/>
  <c r="AL145" i="62"/>
  <c r="K131" i="62"/>
  <c r="AS128" i="62"/>
  <c r="AS146" i="62"/>
  <c r="AS147" i="62" s="1"/>
  <c r="Y146" i="62"/>
  <c r="Y147" i="62" s="1"/>
  <c r="Y130" i="62"/>
  <c r="N146" i="62"/>
  <c r="N147" i="62" s="1"/>
  <c r="AL127" i="62"/>
  <c r="AJ146" i="62"/>
  <c r="AJ147" i="62" s="1"/>
  <c r="AB125" i="62"/>
  <c r="T128" i="62"/>
  <c r="S126" i="62"/>
  <c r="BB128" i="62"/>
  <c r="AV127" i="62"/>
  <c r="Y127" i="62"/>
  <c r="AA128" i="62"/>
  <c r="AP126" i="62"/>
  <c r="AE131" i="62"/>
  <c r="AV145" i="62"/>
  <c r="F146" i="62"/>
  <c r="F147" i="62" s="1"/>
  <c r="AQ131" i="62"/>
  <c r="BC131" i="62"/>
  <c r="AR145" i="62"/>
  <c r="AU129" i="62"/>
  <c r="W129" i="62"/>
  <c r="AB145" i="62"/>
  <c r="AQ145" i="62"/>
  <c r="V128" i="62"/>
  <c r="T130" i="62"/>
  <c r="AC131" i="62"/>
  <c r="AC146" i="62"/>
  <c r="AC147" i="62" s="1"/>
  <c r="AC129" i="62"/>
  <c r="AJ145" i="62"/>
  <c r="AB126" i="62"/>
  <c r="AM127" i="62"/>
  <c r="AJ128" i="62"/>
  <c r="O125" i="62"/>
  <c r="AY131" i="62"/>
  <c r="AO125" i="62"/>
  <c r="AP130" i="62"/>
  <c r="R125" i="62"/>
  <c r="F145" i="62"/>
  <c r="T129" i="62"/>
  <c r="W130" i="62"/>
  <c r="AI145" i="62"/>
  <c r="AN145" i="62"/>
  <c r="AC127" i="62"/>
  <c r="AG145" i="62"/>
  <c r="BC130" i="62"/>
  <c r="AD130" i="62"/>
  <c r="BA130" i="62"/>
  <c r="G126" i="62"/>
  <c r="Q127" i="62"/>
  <c r="AO128" i="62"/>
  <c r="K126" i="62"/>
  <c r="BD125" i="62"/>
  <c r="L128" i="62"/>
  <c r="AB146" i="62"/>
  <c r="AB147" i="62" s="1"/>
  <c r="U131" i="62"/>
  <c r="AD128" i="62"/>
  <c r="AC128" i="62"/>
  <c r="AR127" i="62"/>
  <c r="BD128" i="62"/>
  <c r="AX125" i="62"/>
  <c r="BB125" i="62"/>
  <c r="AA127" i="62"/>
  <c r="AA146" i="62"/>
  <c r="AA147" i="62" s="1"/>
  <c r="BA146" i="62"/>
  <c r="BA147" i="62" s="1"/>
  <c r="K128" i="62"/>
  <c r="P129" i="62"/>
  <c r="P146" i="62"/>
  <c r="P147" i="62" s="1"/>
  <c r="P131" i="62"/>
  <c r="P130" i="62"/>
  <c r="BC126" i="62"/>
  <c r="H128" i="62"/>
  <c r="AT126" i="62"/>
  <c r="AT146" i="62"/>
  <c r="AT147" i="62" s="1"/>
  <c r="AT130" i="62"/>
  <c r="S130" i="62"/>
  <c r="O128" i="62"/>
  <c r="O127" i="62"/>
  <c r="AO146" i="62"/>
  <c r="AO147" i="62" s="1"/>
  <c r="S146" i="62"/>
  <c r="S147" i="62" s="1"/>
  <c r="AY129" i="62"/>
  <c r="AX126" i="62"/>
  <c r="AF145" i="62"/>
  <c r="Z126" i="62"/>
  <c r="G130" i="62"/>
  <c r="AM145" i="62"/>
  <c r="J130" i="62"/>
  <c r="AT131" i="62"/>
  <c r="L129" i="62"/>
  <c r="Q125" i="62"/>
  <c r="V145" i="62"/>
  <c r="AX131" i="62"/>
  <c r="AN126" i="62"/>
  <c r="AH145" i="62"/>
  <c r="AL131" i="62"/>
  <c r="AN125" i="62"/>
  <c r="Q129" i="62"/>
  <c r="I129" i="62"/>
  <c r="L125" i="62"/>
  <c r="AV146" i="62"/>
  <c r="AV147" i="62" s="1"/>
  <c r="AV129" i="62"/>
  <c r="AV128" i="62"/>
  <c r="AR126" i="62"/>
  <c r="AH129" i="62"/>
  <c r="AH126" i="62"/>
  <c r="AH127" i="62"/>
  <c r="AH146" i="62"/>
  <c r="AH147" i="62" s="1"/>
  <c r="AU127" i="62"/>
  <c r="AU146" i="62"/>
  <c r="AU147" i="62" s="1"/>
  <c r="AG130" i="62"/>
  <c r="AI129" i="62"/>
  <c r="U128" i="62"/>
  <c r="Z131" i="62"/>
  <c r="AT127" i="62"/>
  <c r="T125" i="62"/>
  <c r="AP127" i="62"/>
  <c r="AA126" i="62"/>
  <c r="AZ130" i="62"/>
  <c r="AE129" i="62"/>
  <c r="AP125" i="62"/>
  <c r="AE146" i="62"/>
  <c r="AE147" i="62" s="1"/>
  <c r="P145" i="62"/>
  <c r="R131" i="62"/>
  <c r="BC127" i="62"/>
  <c r="G127" i="62"/>
  <c r="AX128" i="62"/>
  <c r="O126" i="62"/>
  <c r="M130" i="62"/>
  <c r="AY126" i="62"/>
  <c r="W126" i="62"/>
  <c r="AC126" i="62"/>
  <c r="AE145" i="62"/>
  <c r="X129" i="62"/>
  <c r="X126" i="62"/>
  <c r="X146" i="62"/>
  <c r="X147" i="62" s="1"/>
  <c r="X130" i="62"/>
  <c r="AH131" i="62"/>
  <c r="AE127" i="62"/>
  <c r="Z128" i="62"/>
  <c r="AN146" i="62"/>
  <c r="AN147" i="62" s="1"/>
  <c r="AN127" i="62"/>
  <c r="AN131" i="62"/>
  <c r="BC146" i="62"/>
  <c r="BC147" i="62" s="1"/>
  <c r="BC128" i="62"/>
  <c r="Q126" i="62"/>
  <c r="I126" i="62"/>
  <c r="L126" i="62"/>
  <c r="V146" i="62"/>
  <c r="V147" i="62" s="1"/>
  <c r="V125" i="62"/>
  <c r="AW127" i="62"/>
  <c r="G128" i="62"/>
  <c r="AL146" i="62"/>
  <c r="AL147" i="62" s="1"/>
  <c r="AL125" i="62"/>
  <c r="AL128" i="62"/>
  <c r="L131" i="62"/>
  <c r="J127" i="62"/>
  <c r="J125" i="62"/>
  <c r="J129" i="62"/>
  <c r="J128" i="62"/>
  <c r="N130" i="62"/>
  <c r="Q128" i="62"/>
  <c r="AY127" i="62"/>
  <c r="V129" i="62"/>
  <c r="K145" i="62"/>
  <c r="I130" i="62"/>
  <c r="AZ131" i="62"/>
  <c r="AF127" i="62"/>
  <c r="AZ145" i="62"/>
  <c r="W128" i="62"/>
  <c r="AR129" i="62"/>
  <c r="AQ126" i="62"/>
  <c r="P126" i="62"/>
  <c r="AA145" i="62"/>
  <c r="W127" i="62"/>
  <c r="J131" i="62"/>
  <c r="V127" i="62"/>
  <c r="AQ127" i="62"/>
  <c r="E145" i="62"/>
  <c r="AK146" i="62"/>
  <c r="AK147" i="62" s="1"/>
  <c r="AK127" i="62"/>
  <c r="F130" i="62"/>
  <c r="F131" i="62"/>
  <c r="AE125" i="62"/>
  <c r="F129" i="62"/>
  <c r="AW129" i="62"/>
  <c r="AK126" i="62"/>
  <c r="AN128" i="62"/>
  <c r="AR125" i="62"/>
  <c r="L127" i="62"/>
  <c r="AV131" i="62"/>
  <c r="F126" i="62"/>
  <c r="AA131" i="62"/>
  <c r="AT129" i="62"/>
  <c r="AC145" i="62"/>
  <c r="AU130" i="62"/>
  <c r="BC129" i="62"/>
  <c r="K146" i="62"/>
  <c r="K147" i="62" s="1"/>
  <c r="AM126" i="62"/>
  <c r="AX127" i="62"/>
  <c r="AS131" i="62"/>
  <c r="AJ126" i="62"/>
  <c r="AE130" i="62"/>
  <c r="E146" i="62"/>
  <c r="E127" i="62"/>
  <c r="AR130" i="62"/>
  <c r="BD131" i="62"/>
  <c r="AI126" i="62"/>
  <c r="AI146" i="62"/>
  <c r="AI147" i="62" s="1"/>
  <c r="AG146" i="62"/>
  <c r="AG147" i="62" s="1"/>
  <c r="AG129" i="62"/>
  <c r="W125" i="62"/>
  <c r="M146" i="62"/>
  <c r="M147" i="62" s="1"/>
  <c r="M126" i="62"/>
  <c r="M131" i="62"/>
  <c r="AK129" i="62"/>
  <c r="AW131" i="62"/>
  <c r="X128" i="62"/>
  <c r="AG126" i="62"/>
  <c r="BB131" i="62"/>
  <c r="AD146" i="62"/>
  <c r="AD147" i="62" s="1"/>
  <c r="X131" i="62"/>
  <c r="M129" i="62"/>
  <c r="H127" i="62"/>
  <c r="AF130" i="62"/>
  <c r="AG131" i="62"/>
  <c r="W131" i="62"/>
  <c r="AB130" i="62"/>
  <c r="AI130" i="62"/>
  <c r="AK128" i="62"/>
  <c r="AC130" i="62"/>
  <c r="O131" i="62"/>
  <c r="AH130" i="62"/>
  <c r="W145" i="62"/>
  <c r="U130" i="62"/>
  <c r="AG127" i="62"/>
  <c r="T126" i="62"/>
  <c r="O130" i="62"/>
  <c r="K129" i="62"/>
  <c r="P128" i="62"/>
  <c r="AL126" i="62"/>
  <c r="G129" i="62"/>
  <c r="AF128" i="62"/>
  <c r="M128" i="62"/>
  <c r="AS127" i="62"/>
  <c r="AZ146" i="62"/>
  <c r="AZ147" i="62" s="1"/>
  <c r="Q145" i="62"/>
  <c r="AQ125" i="62"/>
  <c r="AY125" i="62"/>
  <c r="AF125" i="62"/>
  <c r="H131" i="62"/>
  <c r="AW125" i="62"/>
  <c r="AS125" i="62"/>
  <c r="Y125" i="62"/>
  <c r="N125" i="62"/>
  <c r="AJ125" i="62"/>
  <c r="AB131" i="62"/>
  <c r="AG128" i="62"/>
  <c r="AN129" i="62"/>
  <c r="AX145" i="62"/>
  <c r="AW130" i="62"/>
  <c r="Z129" i="62"/>
  <c r="AV126" i="62"/>
  <c r="AD145" i="62"/>
  <c r="AW126" i="62"/>
  <c r="AM130" i="62"/>
  <c r="AM146" i="62"/>
  <c r="AM147" i="62" s="1"/>
  <c r="I125" i="62"/>
  <c r="AV130" i="62"/>
  <c r="AE128" i="62"/>
  <c r="R145" i="62"/>
  <c r="R127" i="62"/>
  <c r="AO130" i="62"/>
  <c r="AY145" i="62"/>
  <c r="AS129" i="62"/>
  <c r="AI127" i="62"/>
  <c r="AA129" i="62"/>
  <c r="T145" i="62"/>
  <c r="S128" i="62"/>
  <c r="I131" i="62"/>
  <c r="T146" i="62"/>
  <c r="T147" i="62" s="1"/>
  <c r="AP128" i="62"/>
  <c r="F125" i="62"/>
  <c r="V28" i="62"/>
  <c r="V29" i="62" s="1"/>
  <c r="V30" i="62" s="1"/>
  <c r="AA28" i="62"/>
  <c r="AA29" i="62" s="1"/>
  <c r="AA30" i="62" s="1"/>
  <c r="S125" i="62"/>
  <c r="U125" i="62"/>
  <c r="F127" i="62"/>
  <c r="K125" i="62"/>
  <c r="AY28" i="62"/>
  <c r="AY29" i="62" s="1"/>
  <c r="AY30" i="62" s="1"/>
  <c r="AR146" i="62"/>
  <c r="AR147" i="62" s="1"/>
  <c r="BD146" i="62"/>
  <c r="BD147" i="62" s="1"/>
  <c r="AM125" i="62"/>
  <c r="I146" i="62"/>
  <c r="I147" i="62" s="1"/>
  <c r="Q146" i="62"/>
  <c r="Q147" i="62" s="1"/>
  <c r="L146" i="62"/>
  <c r="L147" i="62" s="1"/>
  <c r="R146" i="62"/>
  <c r="R147" i="62" s="1"/>
  <c r="AP129" i="62"/>
  <c r="R128" i="62"/>
  <c r="AO131" i="62"/>
  <c r="AO129" i="62"/>
  <c r="AZ125" i="62"/>
  <c r="Z146" i="62" l="1"/>
  <c r="Z147" i="62" s="1"/>
  <c r="Z31" i="62" s="1"/>
  <c r="AP145" i="62"/>
  <c r="O146" i="62"/>
  <c r="O147" i="62" s="1"/>
  <c r="O32" i="62" s="1"/>
  <c r="AW31" i="62"/>
  <c r="BB32" i="62"/>
  <c r="J145" i="62"/>
  <c r="AX32" i="62"/>
  <c r="G146" i="62"/>
  <c r="G147" i="62" s="1"/>
  <c r="G32" i="62" s="1"/>
  <c r="W31" i="62"/>
  <c r="H146" i="62"/>
  <c r="H147" i="62" s="1"/>
  <c r="H32" i="62" s="1"/>
  <c r="U146" i="62"/>
  <c r="U147" i="62" s="1"/>
  <c r="U31" i="62" s="1"/>
  <c r="B3" i="60"/>
  <c r="E147" i="62"/>
  <c r="AK31" i="62"/>
  <c r="AK32" i="62"/>
  <c r="V32" i="62"/>
  <c r="V31" i="62"/>
  <c r="AQ31" i="62"/>
  <c r="AQ32" i="62"/>
  <c r="AN31" i="62"/>
  <c r="AN32" i="62"/>
  <c r="AU32" i="62"/>
  <c r="AU31" i="62"/>
  <c r="AT32" i="62"/>
  <c r="AT31" i="62"/>
  <c r="N31" i="62"/>
  <c r="N32" i="62"/>
  <c r="I31" i="62"/>
  <c r="I32" i="62"/>
  <c r="AG32" i="62"/>
  <c r="AG31" i="62"/>
  <c r="AV31" i="62"/>
  <c r="AV32" i="62"/>
  <c r="S31" i="62"/>
  <c r="S32" i="62"/>
  <c r="BA31" i="62"/>
  <c r="BA32" i="62"/>
  <c r="BD31" i="62"/>
  <c r="BD32" i="62"/>
  <c r="AI31" i="62"/>
  <c r="AI32" i="62"/>
  <c r="AH32" i="62"/>
  <c r="AH31" i="62"/>
  <c r="AO31" i="62"/>
  <c r="AO32" i="62"/>
  <c r="AA31" i="62"/>
  <c r="AA32" i="62"/>
  <c r="F32" i="62"/>
  <c r="F31" i="62"/>
  <c r="Y32" i="62"/>
  <c r="Y31" i="62"/>
  <c r="AF32" i="62"/>
  <c r="AF31" i="62"/>
  <c r="AR31" i="62"/>
  <c r="AR32" i="62"/>
  <c r="J32" i="62"/>
  <c r="J31" i="62"/>
  <c r="AL32" i="62"/>
  <c r="AL31" i="62"/>
  <c r="AB32" i="62"/>
  <c r="AB31" i="62"/>
  <c r="AS31" i="62"/>
  <c r="AS32" i="62"/>
  <c r="AM32" i="62"/>
  <c r="AM31" i="62"/>
  <c r="AZ31" i="62"/>
  <c r="AZ32" i="62"/>
  <c r="AE31" i="62"/>
  <c r="AE32" i="62"/>
  <c r="R32" i="62"/>
  <c r="R31" i="62"/>
  <c r="AP32" i="62"/>
  <c r="AP31" i="62"/>
  <c r="K32" i="62"/>
  <c r="K31" i="62"/>
  <c r="BC31" i="62"/>
  <c r="BC32" i="62"/>
  <c r="X32" i="62"/>
  <c r="X31" i="62"/>
  <c r="AY32" i="62"/>
  <c r="AY31" i="62"/>
  <c r="Q31" i="62"/>
  <c r="Q32" i="62"/>
  <c r="L32" i="62"/>
  <c r="L31" i="62"/>
  <c r="T32" i="62"/>
  <c r="T31" i="62"/>
  <c r="AD32" i="62"/>
  <c r="AD31" i="62"/>
  <c r="M31" i="62"/>
  <c r="M32" i="62"/>
  <c r="P32" i="62"/>
  <c r="P31" i="62"/>
  <c r="AC32" i="62"/>
  <c r="AC31" i="62"/>
  <c r="AJ31" i="62"/>
  <c r="AJ32" i="62"/>
  <c r="Z32" i="62" l="1"/>
  <c r="O31" i="62"/>
  <c r="G31" i="62"/>
  <c r="H31" i="62"/>
  <c r="U32" i="62"/>
  <c r="E31" i="62"/>
  <c r="E32" i="62"/>
  <c r="E4" i="60"/>
  <c r="F4" i="60" s="1"/>
  <c r="G4" i="60" s="1"/>
  <c r="H4" i="60" s="1"/>
  <c r="H15" i="60" l="1"/>
  <c r="H5" i="60"/>
  <c r="H16" i="60" s="1"/>
  <c r="I4" i="60"/>
  <c r="F5" i="60"/>
  <c r="F16" i="60" s="1"/>
  <c r="F15" i="60"/>
  <c r="E5" i="60"/>
  <c r="E16" i="60" s="1"/>
  <c r="E15" i="60"/>
  <c r="G15" i="60"/>
  <c r="G5" i="60"/>
  <c r="G16" i="60" s="1"/>
  <c r="I5" i="60" l="1"/>
  <c r="I16" i="60" s="1"/>
  <c r="I15" i="60"/>
  <c r="J4" i="60"/>
  <c r="J15" i="60" l="1"/>
  <c r="J5" i="60"/>
  <c r="J16" i="60" s="1"/>
  <c r="K4" i="60"/>
  <c r="K5" i="60" l="1"/>
  <c r="K16" i="60" s="1"/>
  <c r="K15" i="60"/>
  <c r="L4" i="60"/>
  <c r="L15" i="60" l="1"/>
  <c r="L5" i="60"/>
  <c r="L16" i="60" s="1"/>
  <c r="M4" i="60"/>
  <c r="M15" i="60" l="1"/>
  <c r="M5" i="60"/>
  <c r="M16" i="60" s="1"/>
  <c r="N4" i="60"/>
  <c r="N15" i="60" l="1"/>
  <c r="N5" i="60"/>
  <c r="N16" i="60" s="1"/>
  <c r="O4" i="60"/>
  <c r="O5" i="60" l="1"/>
  <c r="O16" i="60" s="1"/>
  <c r="O15" i="60"/>
  <c r="P4" i="60"/>
  <c r="P15" i="60" l="1"/>
  <c r="P5" i="60"/>
  <c r="P16" i="60" s="1"/>
  <c r="Q4" i="60"/>
  <c r="Q5" i="60" l="1"/>
  <c r="Q16" i="60" s="1"/>
  <c r="Q15" i="60"/>
  <c r="R4" i="60"/>
  <c r="R5" i="60" l="1"/>
  <c r="S4" i="60"/>
  <c r="S5" i="60" l="1"/>
  <c r="T4" i="60"/>
  <c r="T5" i="60" l="1"/>
  <c r="U4" i="60"/>
  <c r="U5" i="60" l="1"/>
  <c r="V4" i="60"/>
  <c r="V5" i="60" l="1"/>
  <c r="W4" i="60"/>
  <c r="W5" i="60" l="1"/>
  <c r="X4" i="60"/>
  <c r="X5" i="60" l="1"/>
  <c r="Y4" i="60"/>
  <c r="Y5" i="60" l="1"/>
  <c r="Z4" i="60"/>
  <c r="Z5" i="60" l="1"/>
  <c r="AA4" i="60"/>
  <c r="AA5" i="60" l="1"/>
  <c r="AB4" i="60"/>
  <c r="AB5" i="60" l="1"/>
  <c r="AC4" i="60"/>
  <c r="AC5" i="60" l="1"/>
  <c r="AD4" i="60"/>
  <c r="AD5" i="60" l="1"/>
  <c r="AE4" i="60"/>
  <c r="AE5" i="60" l="1"/>
  <c r="AF4" i="60"/>
  <c r="AF5" i="60" l="1"/>
  <c r="AG4" i="60"/>
  <c r="AG5" i="60" l="1"/>
  <c r="AH4" i="60"/>
  <c r="AH5" i="60" l="1"/>
  <c r="AI4" i="60"/>
  <c r="AI5" i="60" l="1"/>
  <c r="AJ4" i="60"/>
  <c r="AJ5" i="60" l="1"/>
  <c r="AK4" i="60"/>
  <c r="AK5" i="60" l="1"/>
  <c r="AL4" i="60"/>
  <c r="AL5" i="60" l="1"/>
  <c r="AM4" i="60"/>
  <c r="AM5" i="60" l="1"/>
  <c r="AN4" i="60"/>
  <c r="AN5" i="60" l="1"/>
  <c r="AO4" i="60"/>
  <c r="AO5" i="60" l="1"/>
  <c r="AP4" i="60"/>
  <c r="AP5" i="60" l="1"/>
  <c r="AQ4" i="60"/>
  <c r="AQ5" i="60" l="1"/>
  <c r="AR4" i="60"/>
  <c r="AR5" i="60" l="1"/>
  <c r="AS4" i="60"/>
  <c r="AS5" i="60" l="1"/>
  <c r="AT4" i="60"/>
  <c r="AT5" i="60" l="1"/>
  <c r="AU4" i="60"/>
  <c r="AU5" i="60" l="1"/>
  <c r="AV4" i="60"/>
  <c r="AV5" i="60" l="1"/>
  <c r="AW4" i="60"/>
  <c r="AW5" i="60" l="1"/>
  <c r="AX4" i="60"/>
  <c r="AX5" i="60" l="1"/>
  <c r="AY4" i="60"/>
  <c r="AY5" i="60" l="1"/>
  <c r="AZ4" i="60"/>
  <c r="AZ5" i="60" l="1"/>
  <c r="BA4" i="60"/>
  <c r="BA5" i="60" l="1"/>
  <c r="BB4" i="60"/>
  <c r="BB5" i="60" l="1"/>
  <c r="BC4" i="60"/>
  <c r="BC5" i="60" l="1"/>
  <c r="BD4" i="60"/>
  <c r="BD5" i="60" s="1"/>
  <c r="I49" i="68" l="1"/>
  <c r="I143" i="68" s="1"/>
  <c r="I145" i="68" s="1"/>
  <c r="Q49" i="68"/>
  <c r="Q52" i="68" s="1"/>
  <c r="Q53" i="68" s="1"/>
  <c r="Q54" i="68" s="1"/>
  <c r="Y49" i="68"/>
  <c r="Y52" i="68" s="1"/>
  <c r="Y53" i="68" s="1"/>
  <c r="Y54" i="68" s="1"/>
  <c r="AG49" i="68"/>
  <c r="AG52" i="68" s="1"/>
  <c r="AG53" i="68" s="1"/>
  <c r="AG54" i="68" s="1"/>
  <c r="AO49" i="68"/>
  <c r="AO52" i="68" s="1"/>
  <c r="AO53" i="68" s="1"/>
  <c r="AO54" i="68" s="1"/>
  <c r="AW49" i="68"/>
  <c r="AW143" i="68" s="1"/>
  <c r="AW145" i="68" s="1"/>
  <c r="J49" i="68"/>
  <c r="J52" i="68" s="1"/>
  <c r="J53" i="68" s="1"/>
  <c r="J54" i="68" s="1"/>
  <c r="R49" i="68"/>
  <c r="R143" i="68" s="1"/>
  <c r="R145" i="68" s="1"/>
  <c r="Z49" i="68"/>
  <c r="Z143" i="68" s="1"/>
  <c r="Z145" i="68" s="1"/>
  <c r="AH49" i="68"/>
  <c r="AH143" i="68" s="1"/>
  <c r="AH145" i="68" s="1"/>
  <c r="AP49" i="68"/>
  <c r="AP52" i="68" s="1"/>
  <c r="AP53" i="68" s="1"/>
  <c r="AP54" i="68" s="1"/>
  <c r="AX49" i="68"/>
  <c r="AX143" i="68" s="1"/>
  <c r="AX145" i="68" s="1"/>
  <c r="AY49" i="68"/>
  <c r="AY52" i="68" s="1"/>
  <c r="AY53" i="68" s="1"/>
  <c r="AY54" i="68" s="1"/>
  <c r="L49" i="68"/>
  <c r="L143" i="68" s="1"/>
  <c r="L145" i="68" s="1"/>
  <c r="T49" i="68"/>
  <c r="T143" i="68" s="1"/>
  <c r="T145" i="68" s="1"/>
  <c r="AB49" i="68"/>
  <c r="AB143" i="68" s="1"/>
  <c r="AB145" i="68" s="1"/>
  <c r="AJ49" i="68"/>
  <c r="AJ52" i="68" s="1"/>
  <c r="AJ53" i="68" s="1"/>
  <c r="AJ54" i="68" s="1"/>
  <c r="AR49" i="68"/>
  <c r="AR143" i="68" s="1"/>
  <c r="AR145" i="68" s="1"/>
  <c r="AZ49" i="68"/>
  <c r="AZ52" i="68" s="1"/>
  <c r="AZ53" i="68" s="1"/>
  <c r="AZ54" i="68" s="1"/>
  <c r="K49" i="68"/>
  <c r="K143" i="68" s="1"/>
  <c r="K145" i="68" s="1"/>
  <c r="AQ49" i="68"/>
  <c r="AQ52" i="68" s="1"/>
  <c r="AQ53" i="68" s="1"/>
  <c r="AQ54" i="68" s="1"/>
  <c r="E49" i="68"/>
  <c r="E52" i="68" s="1"/>
  <c r="E53" i="68" s="1"/>
  <c r="E54" i="68" s="1"/>
  <c r="M49" i="68"/>
  <c r="M52" i="68" s="1"/>
  <c r="M53" i="68" s="1"/>
  <c r="M54" i="68" s="1"/>
  <c r="U49" i="68"/>
  <c r="U143" i="68" s="1"/>
  <c r="U145" i="68" s="1"/>
  <c r="AC49" i="68"/>
  <c r="AC52" i="68" s="1"/>
  <c r="AC53" i="68" s="1"/>
  <c r="AC54" i="68" s="1"/>
  <c r="AK49" i="68"/>
  <c r="AK52" i="68" s="1"/>
  <c r="AK53" i="68" s="1"/>
  <c r="AK54" i="68" s="1"/>
  <c r="AS49" i="68"/>
  <c r="AS143" i="68" s="1"/>
  <c r="AS145" i="68" s="1"/>
  <c r="BA49" i="68"/>
  <c r="BA52" i="68" s="1"/>
  <c r="BA53" i="68" s="1"/>
  <c r="BA54" i="68" s="1"/>
  <c r="AI49" i="68"/>
  <c r="AI52" i="68" s="1"/>
  <c r="AI53" i="68" s="1"/>
  <c r="AI54" i="68" s="1"/>
  <c r="F49" i="68"/>
  <c r="F143" i="68" s="1"/>
  <c r="F145" i="68" s="1"/>
  <c r="N49" i="68"/>
  <c r="N143" i="68" s="1"/>
  <c r="N145" i="68" s="1"/>
  <c r="V49" i="68"/>
  <c r="V52" i="68" s="1"/>
  <c r="V53" i="68" s="1"/>
  <c r="V54" i="68" s="1"/>
  <c r="AD49" i="68"/>
  <c r="AD52" i="68" s="1"/>
  <c r="AD53" i="68" s="1"/>
  <c r="AD54" i="68" s="1"/>
  <c r="AL49" i="68"/>
  <c r="AL143" i="68" s="1"/>
  <c r="AL145" i="68" s="1"/>
  <c r="AT49" i="68"/>
  <c r="AT52" i="68" s="1"/>
  <c r="AT53" i="68" s="1"/>
  <c r="AT54" i="68" s="1"/>
  <c r="BB49" i="68"/>
  <c r="BB143" i="68" s="1"/>
  <c r="BB145" i="68" s="1"/>
  <c r="S49" i="68"/>
  <c r="S52" i="68" s="1"/>
  <c r="S53" i="68" s="1"/>
  <c r="S54" i="68" s="1"/>
  <c r="G49" i="68"/>
  <c r="G143" i="68" s="1"/>
  <c r="G145" i="68" s="1"/>
  <c r="O49" i="68"/>
  <c r="O52" i="68" s="1"/>
  <c r="O53" i="68" s="1"/>
  <c r="O54" i="68" s="1"/>
  <c r="W49" i="68"/>
  <c r="W143" i="68" s="1"/>
  <c r="W145" i="68" s="1"/>
  <c r="AE49" i="68"/>
  <c r="AE52" i="68" s="1"/>
  <c r="AE53" i="68" s="1"/>
  <c r="AE54" i="68" s="1"/>
  <c r="AM49" i="68"/>
  <c r="AM52" i="68" s="1"/>
  <c r="AM53" i="68" s="1"/>
  <c r="AM54" i="68" s="1"/>
  <c r="AU49" i="68"/>
  <c r="AU52" i="68" s="1"/>
  <c r="AU53" i="68" s="1"/>
  <c r="AU54" i="68" s="1"/>
  <c r="BC49" i="68"/>
  <c r="BC143" i="68" s="1"/>
  <c r="BC145" i="68" s="1"/>
  <c r="AA49" i="68"/>
  <c r="AA52" i="68" s="1"/>
  <c r="AA53" i="68" s="1"/>
  <c r="AA54" i="68" s="1"/>
  <c r="H49" i="68"/>
  <c r="H143" i="68" s="1"/>
  <c r="H145" i="68" s="1"/>
  <c r="P49" i="68"/>
  <c r="P52" i="68" s="1"/>
  <c r="P53" i="68" s="1"/>
  <c r="P54" i="68" s="1"/>
  <c r="X49" i="68"/>
  <c r="X143" i="68" s="1"/>
  <c r="X145" i="68" s="1"/>
  <c r="AF49" i="68"/>
  <c r="AF52" i="68" s="1"/>
  <c r="AF53" i="68" s="1"/>
  <c r="AF54" i="68" s="1"/>
  <c r="AN49" i="68"/>
  <c r="AN143" i="68" s="1"/>
  <c r="AN145" i="68" s="1"/>
  <c r="AV49" i="68"/>
  <c r="AV52" i="68" s="1"/>
  <c r="AV53" i="68" s="1"/>
  <c r="AV54" i="68" s="1"/>
  <c r="BD49" i="68"/>
  <c r="BD143" i="68" s="1"/>
  <c r="BD145" i="68" s="1"/>
  <c r="X146" i="68" l="1"/>
  <c r="X147" i="68" s="1"/>
  <c r="X32" i="68" s="1"/>
  <c r="W146" i="68"/>
  <c r="W147" i="68" s="1"/>
  <c r="W32" i="68" s="1"/>
  <c r="U146" i="68"/>
  <c r="U147" i="68" s="1"/>
  <c r="U32" i="68" s="1"/>
  <c r="AB146" i="68"/>
  <c r="AB147" i="68" s="1"/>
  <c r="AB32" i="68" s="1"/>
  <c r="R146" i="68"/>
  <c r="R147" i="68" s="1"/>
  <c r="R32" i="68" s="1"/>
  <c r="N146" i="68"/>
  <c r="N147" i="68" s="1"/>
  <c r="N32" i="68" s="1"/>
  <c r="T146" i="68"/>
  <c r="T147" i="68" s="1"/>
  <c r="T32" i="68" s="1"/>
  <c r="H146" i="68"/>
  <c r="H147" i="68" s="1"/>
  <c r="H32" i="68" s="1"/>
  <c r="G146" i="68"/>
  <c r="G147" i="68" s="1"/>
  <c r="G32" i="68" s="1"/>
  <c r="F146" i="68"/>
  <c r="F147" i="68" s="1"/>
  <c r="F32" i="68" s="1"/>
  <c r="L146" i="68"/>
  <c r="L147" i="68" s="1"/>
  <c r="L32" i="68" s="1"/>
  <c r="AW146" i="68"/>
  <c r="AW147" i="68" s="1"/>
  <c r="AW32" i="68" s="1"/>
  <c r="BD146" i="68"/>
  <c r="BD147" i="68" s="1"/>
  <c r="BD32" i="68" s="1"/>
  <c r="BC146" i="68"/>
  <c r="BC147" i="68" s="1"/>
  <c r="BC32" i="68" s="1"/>
  <c r="BB146" i="68"/>
  <c r="BB147" i="68" s="1"/>
  <c r="BB32" i="68" s="1"/>
  <c r="K146" i="68"/>
  <c r="K147" i="68" s="1"/>
  <c r="K32" i="68" s="1"/>
  <c r="AX146" i="68"/>
  <c r="AX147" i="68" s="1"/>
  <c r="AX32" i="68" s="1"/>
  <c r="AS146" i="68"/>
  <c r="AS147" i="68" s="1"/>
  <c r="AS32" i="68" s="1"/>
  <c r="AN146" i="68"/>
  <c r="AN147" i="68" s="1"/>
  <c r="AN32" i="68" s="1"/>
  <c r="AL146" i="68"/>
  <c r="AL147" i="68" s="1"/>
  <c r="AL32" i="68" s="1"/>
  <c r="AR146" i="68"/>
  <c r="AR147" i="68" s="1"/>
  <c r="AR32" i="68" s="1"/>
  <c r="AH146" i="68"/>
  <c r="AH147" i="68" s="1"/>
  <c r="AH32" i="68" s="1"/>
  <c r="Z146" i="68"/>
  <c r="Z147" i="68" s="1"/>
  <c r="Z32" i="68" s="1"/>
  <c r="I146" i="68"/>
  <c r="I147" i="68" s="1"/>
  <c r="I32" i="68" s="1"/>
  <c r="AX52" i="68"/>
  <c r="AX53" i="68" s="1"/>
  <c r="AX54" i="68" s="1"/>
  <c r="R52" i="68"/>
  <c r="R53" i="68" s="1"/>
  <c r="R54" i="68" s="1"/>
  <c r="Q143" i="68"/>
  <c r="Q145" i="68" s="1"/>
  <c r="AP143" i="68"/>
  <c r="AP145" i="68" s="1"/>
  <c r="V143" i="68"/>
  <c r="V145" i="68" s="1"/>
  <c r="AV143" i="68"/>
  <c r="AV145" i="68" s="1"/>
  <c r="BA143" i="68"/>
  <c r="BA145" i="68" s="1"/>
  <c r="AM143" i="68"/>
  <c r="AM145" i="68" s="1"/>
  <c r="AI143" i="68"/>
  <c r="AI145" i="68" s="1"/>
  <c r="AE143" i="68"/>
  <c r="AE145" i="68" s="1"/>
  <c r="J143" i="68"/>
  <c r="J145" i="68" s="1"/>
  <c r="AT143" i="68"/>
  <c r="AT145" i="68" s="1"/>
  <c r="AG143" i="68"/>
  <c r="AG145" i="68" s="1"/>
  <c r="AK143" i="68"/>
  <c r="AK145" i="68" s="1"/>
  <c r="AO143" i="68"/>
  <c r="AO145" i="68" s="1"/>
  <c r="E143" i="68"/>
  <c r="E145" i="68" s="1"/>
  <c r="BD52" i="68"/>
  <c r="BD53" i="68" s="1"/>
  <c r="BD54" i="68" s="1"/>
  <c r="AN52" i="68"/>
  <c r="AN53" i="68" s="1"/>
  <c r="AN54" i="68" s="1"/>
  <c r="X52" i="68"/>
  <c r="X53" i="68" s="1"/>
  <c r="X54" i="68" s="1"/>
  <c r="H52" i="68"/>
  <c r="H53" i="68" s="1"/>
  <c r="H54" i="68" s="1"/>
  <c r="BC52" i="68"/>
  <c r="BC53" i="68" s="1"/>
  <c r="BC54" i="68" s="1"/>
  <c r="W52" i="68"/>
  <c r="W53" i="68" s="1"/>
  <c r="W54" i="68" s="1"/>
  <c r="G52" i="68"/>
  <c r="G53" i="68" s="1"/>
  <c r="G54" i="68" s="1"/>
  <c r="BB52" i="68"/>
  <c r="BB53" i="68" s="1"/>
  <c r="BB54" i="68" s="1"/>
  <c r="AL52" i="68"/>
  <c r="AL53" i="68" s="1"/>
  <c r="AL54" i="68" s="1"/>
  <c r="F52" i="68"/>
  <c r="F53" i="68" s="1"/>
  <c r="F54" i="68" s="1"/>
  <c r="U52" i="68"/>
  <c r="U53" i="68" s="1"/>
  <c r="U54" i="68" s="1"/>
  <c r="K52" i="68"/>
  <c r="K53" i="68" s="1"/>
  <c r="K54" i="68" s="1"/>
  <c r="AR52" i="68"/>
  <c r="AR53" i="68" s="1"/>
  <c r="AR54" i="68" s="1"/>
  <c r="AB52" i="68"/>
  <c r="AB53" i="68" s="1"/>
  <c r="AB54" i="68" s="1"/>
  <c r="L52" i="68"/>
  <c r="L53" i="68" s="1"/>
  <c r="L54" i="68" s="1"/>
  <c r="AH52" i="68"/>
  <c r="AH53" i="68" s="1"/>
  <c r="AH54" i="68" s="1"/>
  <c r="AW52" i="68"/>
  <c r="AW53" i="68" s="1"/>
  <c r="AW54" i="68" s="1"/>
  <c r="AJ143" i="68"/>
  <c r="AJ145" i="68" s="1"/>
  <c r="AD143" i="68"/>
  <c r="AD145" i="68" s="1"/>
  <c r="M143" i="68"/>
  <c r="M145" i="68" s="1"/>
  <c r="AF143" i="68"/>
  <c r="AF145" i="68" s="1"/>
  <c r="S143" i="68"/>
  <c r="S145" i="68" s="1"/>
  <c r="AA143" i="68"/>
  <c r="AA145" i="68" s="1"/>
  <c r="AZ143" i="68"/>
  <c r="AZ145" i="68" s="1"/>
  <c r="T52" i="68"/>
  <c r="T53" i="68" s="1"/>
  <c r="T54" i="68" s="1"/>
  <c r="Z52" i="68"/>
  <c r="Z53" i="68" s="1"/>
  <c r="Z54" i="68" s="1"/>
  <c r="Y143" i="68"/>
  <c r="Y145" i="68" s="1"/>
  <c r="P143" i="68"/>
  <c r="P145" i="68" s="1"/>
  <c r="AY143" i="68"/>
  <c r="AY145" i="68" s="1"/>
  <c r="AU143" i="68"/>
  <c r="AU145" i="68" s="1"/>
  <c r="AQ143" i="68"/>
  <c r="AQ145" i="68" s="1"/>
  <c r="AC143" i="68"/>
  <c r="AC145" i="68" s="1"/>
  <c r="O143" i="68"/>
  <c r="O145" i="68" s="1"/>
  <c r="N52" i="68"/>
  <c r="N53" i="68" s="1"/>
  <c r="N54" i="68" s="1"/>
  <c r="AS52" i="68"/>
  <c r="AS53" i="68" s="1"/>
  <c r="AS54" i="68" s="1"/>
  <c r="I52" i="68"/>
  <c r="I53" i="68" s="1"/>
  <c r="I54" i="68" s="1"/>
  <c r="AZ146" i="68" l="1"/>
  <c r="AZ147" i="68" s="1"/>
  <c r="AZ32" i="68" s="1"/>
  <c r="E146" i="68"/>
  <c r="E147" i="68" s="1"/>
  <c r="E32" i="68" s="1"/>
  <c r="AM146" i="68"/>
  <c r="AM147" i="68" s="1"/>
  <c r="AM32" i="68" s="1"/>
  <c r="I31" i="68"/>
  <c r="H31" i="68"/>
  <c r="AB31" i="68"/>
  <c r="AQ146" i="68"/>
  <c r="AQ147" i="68" s="1"/>
  <c r="AQ32" i="68" s="1"/>
  <c r="AA146" i="68"/>
  <c r="AA147" i="68" s="1"/>
  <c r="AA32" i="68" s="1"/>
  <c r="AO146" i="68"/>
  <c r="AO147" i="68" s="1"/>
  <c r="AO32" i="68" s="1"/>
  <c r="BA146" i="68"/>
  <c r="BA147" i="68" s="1"/>
  <c r="BA32" i="68" s="1"/>
  <c r="AL31" i="68"/>
  <c r="K31" i="68"/>
  <c r="AW31" i="68"/>
  <c r="AC146" i="68"/>
  <c r="AC147" i="68" s="1"/>
  <c r="AC32" i="68" s="1"/>
  <c r="AU146" i="68"/>
  <c r="AU147" i="68" s="1"/>
  <c r="AU32" i="68" s="1"/>
  <c r="S146" i="68"/>
  <c r="S147" i="68" s="1"/>
  <c r="S32" i="68" s="1"/>
  <c r="AK146" i="68"/>
  <c r="AK147" i="68" s="1"/>
  <c r="AK32" i="68" s="1"/>
  <c r="AV146" i="68"/>
  <c r="AV147" i="68" s="1"/>
  <c r="AV32" i="68" s="1"/>
  <c r="L31" i="68"/>
  <c r="T31" i="68"/>
  <c r="O146" i="68"/>
  <c r="O147" i="68" s="1"/>
  <c r="O32" i="68" s="1"/>
  <c r="AY146" i="68"/>
  <c r="AY147" i="68" s="1"/>
  <c r="AY32" i="68" s="1"/>
  <c r="AF146" i="68"/>
  <c r="AF147" i="68" s="1"/>
  <c r="AF32" i="68" s="1"/>
  <c r="AG146" i="68"/>
  <c r="AG147" i="68" s="1"/>
  <c r="AG32" i="68" s="1"/>
  <c r="V146" i="68"/>
  <c r="V147" i="68" s="1"/>
  <c r="V32" i="68" s="1"/>
  <c r="Z31" i="68"/>
  <c r="AN31" i="68"/>
  <c r="BB31" i="68"/>
  <c r="U31" i="68"/>
  <c r="P146" i="68"/>
  <c r="P147" i="68" s="1"/>
  <c r="P32" i="68" s="1"/>
  <c r="M146" i="68"/>
  <c r="M147" i="68" s="1"/>
  <c r="M32" i="68" s="1"/>
  <c r="AT146" i="68"/>
  <c r="AT147" i="68" s="1"/>
  <c r="AT32" i="68" s="1"/>
  <c r="AP146" i="68"/>
  <c r="AP147" i="68" s="1"/>
  <c r="AP32" i="68" s="1"/>
  <c r="BC31" i="68"/>
  <c r="W31" i="68"/>
  <c r="Y146" i="68"/>
  <c r="Y147" i="68" s="1"/>
  <c r="Y32" i="68" s="1"/>
  <c r="AD146" i="68"/>
  <c r="AD147" i="68" s="1"/>
  <c r="AD32" i="68" s="1"/>
  <c r="J146" i="68"/>
  <c r="J147" i="68" s="1"/>
  <c r="J32" i="68" s="1"/>
  <c r="Q146" i="68"/>
  <c r="Q147" i="68" s="1"/>
  <c r="Q32" i="68" s="1"/>
  <c r="AH31" i="68"/>
  <c r="AS31" i="68"/>
  <c r="F31" i="68"/>
  <c r="N31" i="68"/>
  <c r="AJ146" i="68"/>
  <c r="AJ147" i="68" s="1"/>
  <c r="AJ32" i="68" s="1"/>
  <c r="AE146" i="68"/>
  <c r="AE147" i="68" s="1"/>
  <c r="AE32" i="68" s="1"/>
  <c r="AR31" i="68"/>
  <c r="G31" i="68"/>
  <c r="R31" i="68"/>
  <c r="X31" i="68"/>
  <c r="AI146" i="68"/>
  <c r="AI147" i="68" s="1"/>
  <c r="AI32" i="68" s="1"/>
  <c r="AX31" i="68"/>
  <c r="BD31" i="68"/>
  <c r="AJ31" i="68" l="1"/>
  <c r="Y31" i="68"/>
  <c r="AT31" i="68"/>
  <c r="AG31" i="68"/>
  <c r="S31" i="68"/>
  <c r="AA31" i="68"/>
  <c r="Q31" i="68"/>
  <c r="AU31" i="68"/>
  <c r="AQ31" i="68"/>
  <c r="M31" i="68"/>
  <c r="AF31" i="68"/>
  <c r="AM31" i="68"/>
  <c r="AY31" i="68"/>
  <c r="AI31" i="68"/>
  <c r="J31" i="68"/>
  <c r="P31" i="68"/>
  <c r="AV31" i="68"/>
  <c r="AC31" i="68"/>
  <c r="BA31" i="68"/>
  <c r="E31" i="68"/>
  <c r="AP31" i="68"/>
  <c r="AK31" i="68"/>
  <c r="AE31" i="68"/>
  <c r="AD31" i="68"/>
  <c r="V31" i="68"/>
  <c r="O31" i="68"/>
  <c r="AO31" i="68"/>
  <c r="AZ31" i="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Jeremy Grogan</author>
  </authors>
  <commentList>
    <comment ref="D3" authorId="0" shapeId="0" xr:uid="{00000000-0006-0000-0000-000001000000}">
      <text>
        <r>
          <rPr>
            <sz val="12"/>
            <color indexed="81"/>
            <rFont val="Tahoma"/>
            <family val="2"/>
          </rPr>
          <t>In this template, the Required FTE Field is populated with arbitrary data for demonstration purposes.
In order to populate real data, unprotect the sheet in from the review tab, then enter forecasted FTE need by week (usually generated WFM analysts) into the yellow highlighted fields corresponding to each respected week.
Enter the starting date for your projection in Cell E:3 and all other dates will relatively proceed.</t>
        </r>
      </text>
    </comment>
    <comment ref="D4" authorId="0" shapeId="0" xr:uid="{00000000-0006-0000-0000-000002000000}">
      <text>
        <r>
          <rPr>
            <sz val="12"/>
            <color indexed="81"/>
            <rFont val="Tahoma"/>
            <family val="2"/>
          </rPr>
          <t>Any cell in the Actual FTE row (Highlighted in yellow, includes formula) can be overwritten for any week to update the actual FTE being represented.  Use FTE figures, not headcount.
All future weeks beyond the overwritten field will be progressively diminished at the attrition rate selected on the left.</t>
        </r>
      </text>
    </comment>
    <comment ref="D10" authorId="0" shapeId="0" xr:uid="{00000000-0006-0000-0000-000003000000}">
      <text>
        <r>
          <rPr>
            <sz val="12"/>
            <color indexed="81"/>
            <rFont val="Tahoma"/>
            <family val="2"/>
          </rPr>
          <t>Enter desired number of FTE in the yellow area corresponding with the week they should begin production.  
The hire week, training week, and nesting weeks will be auto generated relative to the first production week, and based on the input variables selected in the yellow highlighted fields to the left.</t>
        </r>
      </text>
    </comment>
    <comment ref="B18" authorId="0" shapeId="0" xr:uid="{00000000-0006-0000-0000-000004000000}">
      <text>
        <r>
          <rPr>
            <sz val="12"/>
            <color indexed="81"/>
            <rFont val="Tahoma"/>
            <family val="2"/>
          </rPr>
          <t>The WBR Presentation Output table is completely formatted and ready to copy and paste directly into in the Staffing plan section of the "FCR WBR Template_V01.06" PPT document.
This entire workbook covers a 26-week period for planning purposes.  However, only thirteen weeks needs to be presented. Enter the first date (in the output Start date field), which matches the first date you wish to show in the forecast FTE work area, and the output table will pull a 13-week range.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Jeremy Grogan</author>
  </authors>
  <commentList>
    <comment ref="D3" authorId="0" shapeId="0" xr:uid="{E6B0FBB1-2DDD-45A2-B520-24516E11F18A}">
      <text>
        <r>
          <rPr>
            <sz val="12"/>
            <color indexed="81"/>
            <rFont val="Tahoma"/>
            <family val="2"/>
          </rPr>
          <t>In this template, the Required FTE Field is populated with arbitrary data for demonstration purposes.
In order to populate real data, unprotect the sheet in from the review tab, then enter forecasted FTE need by week (usually generated WFM analysts) into the yellow highlighted fields corresponding to each respected week.
Enter the starting date for your projection in Cell E:3 and all other dates will relatively proceed.</t>
        </r>
      </text>
    </comment>
    <comment ref="D4" authorId="0" shapeId="0" xr:uid="{73114DD2-3A99-405A-B511-97CDD7007E39}">
      <text>
        <r>
          <rPr>
            <sz val="12"/>
            <color indexed="81"/>
            <rFont val="Tahoma"/>
            <family val="2"/>
          </rPr>
          <t>Any cell in the Actual FTE row (Highlighted in yellow, includes formula) can be overwritten for any week to update the actual FTE being represented.  Use FTE figures, not headcount.
All future weeks beyond the overwritten field will be progressively diminished at the attrition rate selected on the left.</t>
        </r>
      </text>
    </comment>
    <comment ref="D10" authorId="0" shapeId="0" xr:uid="{AE754032-0FF8-44B1-8F19-6CE3CD301653}">
      <text>
        <r>
          <rPr>
            <sz val="12"/>
            <color indexed="81"/>
            <rFont val="Tahoma"/>
            <family val="2"/>
          </rPr>
          <t>Enter desired number of FTE in the yellow area corresponding with the week they should begin production.  
The hire week, training week, and nesting weeks will be auto generated relative to the first production week, and based on the input variables selected in the yellow highlighted fields to the left.</t>
        </r>
      </text>
    </comment>
    <comment ref="B18" authorId="0" shapeId="0" xr:uid="{5D37B574-03FE-4E8B-9756-40B1F0BEF2BE}">
      <text>
        <r>
          <rPr>
            <sz val="12"/>
            <color indexed="81"/>
            <rFont val="Tahoma"/>
            <family val="2"/>
          </rPr>
          <t>The WBR Presentation Output table is completely formatted and ready to copy and paste directly into in the Staffing plan section of the "FCR WBR Template_V01.06" PPT document.
This entire workbook covers a 26-week period for planning purposes.  However, only thirteen weeks needs to be presented. Enter the first date (in the output Start date field), which matches the first date you wish to show in the forecast FTE work area, and the output table will pull a 13-week range.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Grogan, Jeremy</author>
  </authors>
  <commentList>
    <comment ref="F10" authorId="0" shapeId="0" xr:uid="{C9A5F573-5686-43F6-9373-5219CBC3DD02}">
      <text>
        <r>
          <rPr>
            <b/>
            <sz val="9"/>
            <color indexed="81"/>
            <rFont val="Tahoma"/>
            <family val="2"/>
          </rPr>
          <t>Grogan, Jeremy:</t>
        </r>
        <r>
          <rPr>
            <sz val="9"/>
            <color indexed="81"/>
            <rFont val="Tahoma"/>
            <family val="2"/>
          </rPr>
          <t xml:space="preserve">
Ramp projection, need to communicate actual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Grogan, Jeremy</author>
  </authors>
  <commentList>
    <comment ref="F10" authorId="0" shapeId="0" xr:uid="{4F30620E-D993-4985-BDD5-614F2219519A}">
      <text>
        <r>
          <rPr>
            <b/>
            <sz val="9"/>
            <color indexed="81"/>
            <rFont val="Tahoma"/>
            <family val="2"/>
          </rPr>
          <t>Grogan, Jeremy:</t>
        </r>
        <r>
          <rPr>
            <sz val="9"/>
            <color indexed="81"/>
            <rFont val="Tahoma"/>
            <family val="2"/>
          </rPr>
          <t xml:space="preserve">
Ramp projection, need to communicate actual</t>
        </r>
      </text>
    </comment>
  </commentList>
</comments>
</file>

<file path=xl/sharedStrings.xml><?xml version="1.0" encoding="utf-8"?>
<sst xmlns="http://schemas.openxmlformats.org/spreadsheetml/2006/main" count="843" uniqueCount="127">
  <si>
    <t>Attrition % by week</t>
  </si>
  <si>
    <t>Required FTE</t>
  </si>
  <si>
    <t>Actual FTE</t>
  </si>
  <si>
    <t>Starting Actual FTE</t>
  </si>
  <si>
    <t>REQUIRED</t>
  </si>
  <si>
    <t>VARIANCE</t>
  </si>
  <si>
    <t>NEW HIRE</t>
  </si>
  <si>
    <t>TRAINING</t>
  </si>
  <si>
    <t>Training Weeks</t>
  </si>
  <si>
    <t>NESTING</t>
  </si>
  <si>
    <t>PRODUCTION</t>
  </si>
  <si>
    <t>Nesting Weeks</t>
  </si>
  <si>
    <t>Output Start Date</t>
  </si>
  <si>
    <t>WBR Presentation Output</t>
  </si>
  <si>
    <t>Forecast FTE Work Area</t>
  </si>
  <si>
    <t xml:space="preserve"> </t>
  </si>
  <si>
    <t>Training Attrition</t>
  </si>
  <si>
    <t>ACTUAL</t>
  </si>
  <si>
    <t>Phone</t>
  </si>
  <si>
    <t>Chat</t>
  </si>
  <si>
    <t>Email</t>
  </si>
  <si>
    <t>Volume</t>
  </si>
  <si>
    <t>AHT</t>
  </si>
  <si>
    <t>Occupancy</t>
  </si>
  <si>
    <t>Concurrency</t>
  </si>
  <si>
    <t>Eteam</t>
  </si>
  <si>
    <t>Shrinkage</t>
  </si>
  <si>
    <t>Vol</t>
  </si>
  <si>
    <t>T3 Email</t>
  </si>
  <si>
    <t>T3 BO</t>
  </si>
  <si>
    <t>Occ%</t>
  </si>
  <si>
    <t>Shrink%</t>
  </si>
  <si>
    <t>Week</t>
  </si>
  <si>
    <t>Required</t>
  </si>
  <si>
    <t>Melbourne</t>
  </si>
  <si>
    <t>Virtual</t>
  </si>
  <si>
    <t>Brunswick</t>
  </si>
  <si>
    <t>Melbourne North</t>
  </si>
  <si>
    <t>Pueblo</t>
  </si>
  <si>
    <t>Iloilo</t>
  </si>
  <si>
    <t>Belize</t>
  </si>
  <si>
    <t>Mandatory ET FTE's</t>
  </si>
  <si>
    <t>ET Effic %</t>
  </si>
  <si>
    <t>Mandatory ET or UT hrs/FTE</t>
  </si>
  <si>
    <t>Total Actual</t>
  </si>
  <si>
    <t>OT/UT FTE</t>
  </si>
  <si>
    <t>Combined ELC Groups</t>
  </si>
  <si>
    <t>Vertical O/U (= Row 933)</t>
  </si>
  <si>
    <t>Combined ELC Groups Vertical O/U</t>
  </si>
  <si>
    <t>Total Plan Rampdown</t>
  </si>
  <si>
    <t>Rampdown</t>
  </si>
  <si>
    <t>Estee Phone O/U</t>
  </si>
  <si>
    <t>O/U FTE</t>
  </si>
  <si>
    <t>HC</t>
  </si>
  <si>
    <t>Social</t>
  </si>
  <si>
    <t>Social - T3 Back Office</t>
  </si>
  <si>
    <t>Social - T3 Back Office
Dedicated No calculated Requirements</t>
  </si>
  <si>
    <t>Queue Work 2
(Social)</t>
  </si>
  <si>
    <t>WED</t>
  </si>
  <si>
    <t>WeekNo</t>
  </si>
  <si>
    <t>EsteePhone</t>
  </si>
  <si>
    <t>Estee AHT</t>
  </si>
  <si>
    <t>EsteeEmail</t>
  </si>
  <si>
    <t>Estee Chat</t>
  </si>
  <si>
    <t>Estee Eteam</t>
  </si>
  <si>
    <t>Estee Social</t>
  </si>
  <si>
    <t>LauderPhone</t>
  </si>
  <si>
    <t>Lauder AHT</t>
  </si>
  <si>
    <t>LauderEmail</t>
  </si>
  <si>
    <t>Lauder Chat</t>
  </si>
  <si>
    <t>Lauder Eteam</t>
  </si>
  <si>
    <t>Lauder Social</t>
  </si>
  <si>
    <t>WE 01/08/2022</t>
  </si>
  <si>
    <t>WE 01/15/2022</t>
  </si>
  <si>
    <t>WE 01/22/2022</t>
  </si>
  <si>
    <t>WE 01/29/2022</t>
  </si>
  <si>
    <t>WE 02/05/2022</t>
  </si>
  <si>
    <t>WE 02/12/2022</t>
  </si>
  <si>
    <t>WE 02/19/2022</t>
  </si>
  <si>
    <t>WE 02/26/2022</t>
  </si>
  <si>
    <t>WE 03/05/2022</t>
  </si>
  <si>
    <t>WE 03/12/2022</t>
  </si>
  <si>
    <t>WE 03/19/2022</t>
  </si>
  <si>
    <t>WE 03/26/2022</t>
  </si>
  <si>
    <t>WE 04/02/2022</t>
  </si>
  <si>
    <t>WE 04/09/2022</t>
  </si>
  <si>
    <t>WE 04/16/2022</t>
  </si>
  <si>
    <t>WE 04/23/2022</t>
  </si>
  <si>
    <t>WE 04/30/2022</t>
  </si>
  <si>
    <t>WE 05/07/2022</t>
  </si>
  <si>
    <t>WE 05/14/2022</t>
  </si>
  <si>
    <t>WE 05/21/2022</t>
  </si>
  <si>
    <t>WE 05/28/2022</t>
  </si>
  <si>
    <t>WE 06/04/2022</t>
  </si>
  <si>
    <t>WE 06/11/2022</t>
  </si>
  <si>
    <t>WE 06/18/2022</t>
  </si>
  <si>
    <t>WE 06/25/2022</t>
  </si>
  <si>
    <t>WE 07/02/2022</t>
  </si>
  <si>
    <t>WE 07/09/2022</t>
  </si>
  <si>
    <t>WE 07/16/2022</t>
  </si>
  <si>
    <t>WE 07/23/2022</t>
  </si>
  <si>
    <t>WE 07/30/2022</t>
  </si>
  <si>
    <t>WE 08/06/2022</t>
  </si>
  <si>
    <t>WE 08/13/2022</t>
  </si>
  <si>
    <t>WE 08/20/2022</t>
  </si>
  <si>
    <t>WE 08/27/2022</t>
  </si>
  <si>
    <t>WE 09/03/2022</t>
  </si>
  <si>
    <t>WE 09/10/2022</t>
  </si>
  <si>
    <t>WE 09/17/2022</t>
  </si>
  <si>
    <t>WE 09/24/2022</t>
  </si>
  <si>
    <t>WE 10/01/2022</t>
  </si>
  <si>
    <t>WE 10/08/2022</t>
  </si>
  <si>
    <t>WE 10/15/2022</t>
  </si>
  <si>
    <t>WE 10/22/2022</t>
  </si>
  <si>
    <t>WE 10/29/2022</t>
  </si>
  <si>
    <t>WE 11/05/2022</t>
  </si>
  <si>
    <t>WE 11/12/2022</t>
  </si>
  <si>
    <t>WE 11/19/2022</t>
  </si>
  <si>
    <t>WE 11/26/2022</t>
  </si>
  <si>
    <t>WE 12/03/2022</t>
  </si>
  <si>
    <t>WE 12/10/2022</t>
  </si>
  <si>
    <t>WE 12/17/2022</t>
  </si>
  <si>
    <t>WE 12/24/2022</t>
  </si>
  <si>
    <t>WE 12/31/2022</t>
  </si>
  <si>
    <t>Vertical</t>
  </si>
  <si>
    <t>ETEAM (Inbound+Chat+Email)</t>
  </si>
  <si>
    <t>ETEAM 
(Queue Work1+OBEsc)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</si>
</sst>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m/d;@"/>
    <numFmt numFmtId="165" formatCode="0.0%"/>
    <numFmt numFmtId="166" formatCode="0.0"/>
    <numFmt numFmtId="167" formatCode="0_);[Red]\(0\)"/>
    <numFmt numFmtId="168" formatCode="0.00_);\(0.00\)"/>
    <numFmt numFmtId="169" formatCode="0.000"/>
  </numFmts>
  <fonts count="37" x14ac:knownFonts="1">
    <font>
      <sz val="11"/>
      <color theme="1"/>
      <name val="Calibri"/>
      <family val="2"/>
      <scheme val="minor"/>
    </font>
    <font>
      <b/>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8"/>
      <name val="Arial"/>
      <family val="2"/>
    </font>
    <font>
      <b/>
      <sz val="12"/>
      <color rgb="FFFFFFFF"/>
      <name val="Franklin Gothic Book"/>
      <family val="2"/>
    </font>
    <font>
      <sz val="12"/>
      <color rgb="FF000000"/>
      <name val="Franklin Gothic Book"/>
      <family val="2"/>
    </font>
    <font>
      <b/>
      <sz val="15"/>
      <color theme="1" tint="0.249977111117893"/>
      <name val="Calibri"/>
      <family val="2"/>
      <scheme val="minor"/>
    </font>
    <font>
      <sz val="12"/>
      <color indexed="81"/>
      <name val="Tahoma"/>
      <family val="2"/>
    </font>
    <font>
      <b/>
      <sz val="20"/>
      <color theme="1"/>
      <name val="Calibri"/>
      <family val="2"/>
      <scheme val="minor"/>
    </font>
    <font>
      <sz val="8"/>
      <color theme="1"/>
      <name val="Arial"/>
      <family val="2"/>
    </font>
    <font>
      <sz val="8"/>
      <name val="Arial"/>
      <family val="2"/>
    </font>
    <font>
      <sz val="8"/>
      <color theme="3"/>
      <name val="Arial"/>
      <family val="2"/>
    </font>
    <font>
      <b/>
      <sz val="8"/>
      <name val="Arial"/>
      <family val="2"/>
    </font>
    <font>
      <sz val="8"/>
      <color rgb="FFFF0000"/>
      <name val="Arial"/>
      <family val="2"/>
    </font>
    <font>
      <sz val="8"/>
      <color rgb="FF0070C0"/>
      <name val="Arial"/>
      <family val="2"/>
    </font>
    <font>
      <b/>
      <sz val="8"/>
      <color theme="1"/>
      <name val="Arial"/>
      <family val="2"/>
    </font>
    <font>
      <b/>
      <u/>
      <sz val="8"/>
      <name val="Arial"/>
      <family val="2"/>
    </font>
    <font>
      <b/>
      <sz val="9"/>
      <color indexed="81"/>
      <name val="Tahoma"/>
      <family val="2"/>
    </font>
    <font>
      <sz val="9"/>
      <color indexed="81"/>
      <name val="Tahoma"/>
      <family val="2"/>
    </font>
    <font>
      <b/>
      <sz val="13"/>
      <color theme="0"/>
      <name val="Calibri"/>
      <family val="2"/>
      <scheme val="minor"/>
    </font>
    <font>
      <b/>
      <sz val="11"/>
      <color rgb="FF000000"/>
      <name val="Calibri"/>
      <family val="2"/>
    </font>
    <font>
      <sz val="8"/>
      <color theme="1"/>
      <name val="Calibri"/>
      <family val="2"/>
      <scheme val="minor"/>
    </font>
  </fonts>
  <fills count="46">
    <fill>
      <patternFill patternType="none"/>
    </fill>
    <fill>
      <patternFill patternType="gray125"/>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0379B6"/>
        <bgColor indexed="64"/>
      </patternFill>
    </fill>
    <fill>
      <patternFill patternType="solid">
        <fgColor rgb="FFE1E1E1"/>
        <bgColor indexed="64"/>
      </patternFill>
    </fill>
    <fill>
      <patternFill patternType="solid">
        <fgColor rgb="FFF0F0F0"/>
        <bgColor indexed="64"/>
      </patternFill>
    </fill>
    <fill>
      <patternFill patternType="solid">
        <fgColor rgb="FFFF6666"/>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theme="1" tint="4.9989318521683403E-2"/>
        <bgColor indexed="64"/>
      </patternFill>
    </fill>
    <fill>
      <patternFill patternType="solid">
        <fgColor theme="2"/>
        <bgColor indexed="64"/>
      </patternFill>
    </fill>
    <fill>
      <patternFill patternType="solid">
        <fgColor rgb="FF00CCFF"/>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right/>
      <top/>
      <bottom style="thin">
        <color indexed="64"/>
      </bottom>
      <diagonal/>
    </border>
    <border>
      <left/>
      <right style="medium">
        <color indexed="64"/>
      </right>
      <top/>
      <bottom/>
      <diagonal/>
    </border>
    <border>
      <left/>
      <right style="medium">
        <color rgb="FFFFFFFF"/>
      </right>
      <top style="medium">
        <color rgb="FFFFFFFF"/>
      </top>
      <bottom style="thick">
        <color rgb="FFFFFFFF"/>
      </bottom>
      <diagonal/>
    </border>
    <border>
      <left style="medium">
        <color rgb="FFFFFFFF"/>
      </left>
      <right style="medium">
        <color rgb="FFFFFFFF"/>
      </right>
      <top style="medium">
        <color rgb="FFFFFFFF"/>
      </top>
      <bottom style="thick">
        <color rgb="FFFFFFFF"/>
      </bottom>
      <diagonal/>
    </border>
    <border>
      <left/>
      <right style="medium">
        <color rgb="FFFFFFFF"/>
      </right>
      <top style="thick">
        <color rgb="FFFFFFFF"/>
      </top>
      <bottom style="medium">
        <color rgb="FFFFFFFF"/>
      </bottom>
      <diagonal/>
    </border>
    <border>
      <left style="medium">
        <color rgb="FFFFFFFF"/>
      </left>
      <right style="medium">
        <color rgb="FFFFFFFF"/>
      </right>
      <top style="thick">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indexed="64"/>
      </right>
      <top style="medium">
        <color rgb="FFFFFFFF"/>
      </top>
      <bottom style="medium">
        <color rgb="FFFFFFFF"/>
      </bottom>
      <diagonal/>
    </border>
    <border>
      <left style="medium">
        <color rgb="FFFFFFFF"/>
      </left>
      <right style="medium">
        <color indexed="64"/>
      </right>
      <top style="medium">
        <color rgb="FFFFFFFF"/>
      </top>
      <bottom style="thick">
        <color rgb="FFFFFFFF"/>
      </bottom>
      <diagonal/>
    </border>
    <border>
      <left style="thin">
        <color indexed="64"/>
      </left>
      <right style="thin">
        <color indexed="64"/>
      </right>
      <top style="thin">
        <color indexed="64"/>
      </top>
      <bottom style="thin">
        <color indexed="64"/>
      </bottom>
      <diagonal/>
    </border>
    <border>
      <left/>
      <right/>
      <top style="medium">
        <color indexed="64"/>
      </top>
      <bottom/>
      <diagonal/>
    </border>
  </borders>
  <cellStyleXfs count="43">
    <xf numFmtId="0" fontId="0" fillId="0" borderId="0"/>
    <xf numFmtId="9" fontId="2" fillId="0" borderId="0" applyFont="0" applyFill="0" applyBorder="0" applyAlignment="0" applyProtection="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0" applyNumberFormat="0" applyBorder="0" applyAlignment="0" applyProtection="0"/>
    <xf numFmtId="0" fontId="10" fillId="6" borderId="4" applyNumberFormat="0" applyAlignment="0" applyProtection="0"/>
    <xf numFmtId="0" fontId="11" fillId="7" borderId="5" applyNumberFormat="0" applyAlignment="0" applyProtection="0"/>
    <xf numFmtId="0" fontId="12" fillId="7" borderId="4" applyNumberFormat="0" applyAlignment="0" applyProtection="0"/>
    <xf numFmtId="0" fontId="13" fillId="0" borderId="6" applyNumberFormat="0" applyFill="0" applyAlignment="0" applyProtection="0"/>
    <xf numFmtId="0" fontId="14" fillId="8" borderId="7" applyNumberFormat="0" applyAlignment="0" applyProtection="0"/>
    <xf numFmtId="0" fontId="15" fillId="0" borderId="0" applyNumberFormat="0" applyFill="0" applyBorder="0" applyAlignment="0" applyProtection="0"/>
    <xf numFmtId="0" fontId="2" fillId="9" borderId="8" applyNumberFormat="0" applyFont="0" applyAlignment="0" applyProtection="0"/>
    <xf numFmtId="0" fontId="16" fillId="0" borderId="0" applyNumberFormat="0" applyFill="0" applyBorder="0" applyAlignment="0" applyProtection="0"/>
    <xf numFmtId="0" fontId="1" fillId="0" borderId="9" applyNumberFormat="0" applyFill="0" applyAlignment="0" applyProtection="0"/>
    <xf numFmtId="0" fontId="17"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17" fillId="25" borderId="0" applyNumberFormat="0" applyBorder="0" applyAlignment="0" applyProtection="0"/>
    <xf numFmtId="0" fontId="17"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17" fillId="29" borderId="0" applyNumberFormat="0" applyBorder="0" applyAlignment="0" applyProtection="0"/>
    <xf numFmtId="0" fontId="17"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17" fillId="33" borderId="0" applyNumberFormat="0" applyBorder="0" applyAlignment="0" applyProtection="0"/>
  </cellStyleXfs>
  <cellXfs count="112">
    <xf numFmtId="0" fontId="0" fillId="0" borderId="0" xfId="0"/>
    <xf numFmtId="1" fontId="20" fillId="2" borderId="19" xfId="0" applyNumberFormat="1" applyFont="1" applyFill="1" applyBorder="1" applyAlignment="1" applyProtection="1">
      <alignment horizontal="center" vertical="center" wrapText="1" readingOrder="1"/>
      <protection locked="0"/>
    </xf>
    <xf numFmtId="1" fontId="20" fillId="2" borderId="18" xfId="0" applyNumberFormat="1" applyFont="1" applyFill="1" applyBorder="1" applyAlignment="1" applyProtection="1">
      <alignment horizontal="center" vertical="center" wrapText="1" readingOrder="1"/>
      <protection locked="0"/>
    </xf>
    <xf numFmtId="1" fontId="20" fillId="2" borderId="17" xfId="0" applyNumberFormat="1" applyFont="1" applyFill="1" applyBorder="1" applyAlignment="1" applyProtection="1">
      <alignment horizontal="center" vertical="center" wrapText="1" readingOrder="1"/>
      <protection locked="0"/>
    </xf>
    <xf numFmtId="0" fontId="0" fillId="0" borderId="0" xfId="0" applyBorder="1"/>
    <xf numFmtId="0" fontId="0" fillId="0" borderId="0" xfId="0" applyBorder="1" applyAlignment="1">
      <alignment horizontal="center"/>
    </xf>
    <xf numFmtId="0" fontId="0" fillId="0" borderId="0" xfId="0"/>
    <xf numFmtId="0" fontId="0" fillId="0" borderId="0" xfId="0" applyAlignment="1">
      <alignment vertical="center"/>
    </xf>
    <xf numFmtId="0" fontId="0" fillId="0" borderId="12" xfId="0" applyBorder="1"/>
    <xf numFmtId="0" fontId="18" fillId="35" borderId="13" xfId="0" applyFont="1" applyFill="1" applyBorder="1" applyAlignment="1">
      <alignment horizontal="center" vertical="top" wrapText="1"/>
    </xf>
    <xf numFmtId="164" fontId="19" fillId="35" borderId="14" xfId="0" applyNumberFormat="1" applyFont="1" applyFill="1" applyBorder="1" applyAlignment="1">
      <alignment horizontal="center" vertical="center" wrapText="1" readingOrder="1"/>
    </xf>
    <xf numFmtId="0" fontId="1" fillId="34" borderId="10" xfId="0" applyFont="1" applyFill="1" applyBorder="1" applyAlignment="1">
      <alignment horizontal="center" vertical="center"/>
    </xf>
    <xf numFmtId="0" fontId="20" fillId="36" borderId="15" xfId="0" applyFont="1" applyFill="1" applyBorder="1" applyAlignment="1">
      <alignment horizontal="center" vertical="center" wrapText="1" readingOrder="1"/>
    </xf>
    <xf numFmtId="1" fontId="0" fillId="2" borderId="11" xfId="0" applyNumberFormat="1" applyFill="1" applyBorder="1" applyAlignment="1" applyProtection="1">
      <alignment horizontal="center" vertical="center"/>
      <protection locked="0"/>
    </xf>
    <xf numFmtId="0" fontId="20" fillId="37" borderId="17" xfId="0" applyFont="1" applyFill="1" applyBorder="1" applyAlignment="1">
      <alignment horizontal="center" vertical="center" wrapText="1" readingOrder="1"/>
    </xf>
    <xf numFmtId="1" fontId="20" fillId="37" borderId="18" xfId="0" applyNumberFormat="1" applyFont="1" applyFill="1" applyBorder="1" applyAlignment="1">
      <alignment horizontal="center" vertical="center" wrapText="1" readingOrder="1"/>
    </xf>
    <xf numFmtId="0" fontId="20" fillId="36" borderId="17" xfId="0" applyFont="1" applyFill="1" applyBorder="1" applyAlignment="1">
      <alignment horizontal="center" vertical="center" wrapText="1" readingOrder="1"/>
    </xf>
    <xf numFmtId="1" fontId="20" fillId="38" borderId="18" xfId="0" applyNumberFormat="1" applyFont="1" applyFill="1" applyBorder="1" applyAlignment="1">
      <alignment horizontal="center" vertical="center" wrapText="1" readingOrder="1"/>
    </xf>
    <xf numFmtId="1" fontId="20" fillId="38" borderId="19" xfId="0" applyNumberFormat="1" applyFont="1" applyFill="1" applyBorder="1" applyAlignment="1">
      <alignment horizontal="center" vertical="center" wrapText="1" readingOrder="1"/>
    </xf>
    <xf numFmtId="0" fontId="1" fillId="34" borderId="10" xfId="0" applyFont="1" applyFill="1" applyBorder="1" applyAlignment="1">
      <alignment horizontal="center" vertical="center" wrapText="1"/>
    </xf>
    <xf numFmtId="0" fontId="18" fillId="37" borderId="17" xfId="0" applyFont="1" applyFill="1" applyBorder="1" applyAlignment="1">
      <alignment horizontal="center" vertical="top" wrapText="1"/>
    </xf>
    <xf numFmtId="0" fontId="18" fillId="37" borderId="18" xfId="0" applyFont="1" applyFill="1" applyBorder="1" applyAlignment="1">
      <alignment horizontal="center" vertical="top" wrapText="1"/>
    </xf>
    <xf numFmtId="0" fontId="18" fillId="37" borderId="19" xfId="0" applyFont="1" applyFill="1" applyBorder="1" applyAlignment="1">
      <alignment horizontal="center" vertical="top" wrapText="1"/>
    </xf>
    <xf numFmtId="165" fontId="0" fillId="2" borderId="11" xfId="1" applyNumberFormat="1" applyFont="1" applyFill="1" applyBorder="1" applyAlignment="1" applyProtection="1">
      <alignment horizontal="center" vertical="center"/>
      <protection locked="0"/>
    </xf>
    <xf numFmtId="0" fontId="20" fillId="36" borderId="18" xfId="0" applyFont="1" applyFill="1" applyBorder="1" applyAlignment="1">
      <alignment horizontal="center" vertical="center" wrapText="1" readingOrder="1"/>
    </xf>
    <xf numFmtId="0" fontId="20" fillId="36" borderId="19" xfId="0" applyFont="1" applyFill="1" applyBorder="1" applyAlignment="1">
      <alignment horizontal="center" vertical="center" wrapText="1" readingOrder="1"/>
    </xf>
    <xf numFmtId="0" fontId="20" fillId="37" borderId="18" xfId="0" applyFont="1" applyFill="1" applyBorder="1" applyAlignment="1">
      <alignment horizontal="center" vertical="center" wrapText="1" readingOrder="1"/>
    </xf>
    <xf numFmtId="0" fontId="20" fillId="37" borderId="19" xfId="0" applyFont="1" applyFill="1" applyBorder="1" applyAlignment="1">
      <alignment horizontal="center" vertical="center" wrapText="1" readingOrder="1"/>
    </xf>
    <xf numFmtId="0" fontId="20" fillId="2" borderId="18" xfId="0" applyFont="1" applyFill="1" applyBorder="1" applyAlignment="1" applyProtection="1">
      <alignment horizontal="center" vertical="center" wrapText="1" readingOrder="1"/>
      <protection locked="0"/>
    </xf>
    <xf numFmtId="1" fontId="20" fillId="36" borderId="16" xfId="0" applyNumberFormat="1" applyFont="1" applyFill="1" applyBorder="1" applyAlignment="1">
      <alignment horizontal="center" vertical="center" wrapText="1" readingOrder="1"/>
    </xf>
    <xf numFmtId="14" fontId="0" fillId="2" borderId="11" xfId="0" applyNumberFormat="1" applyFill="1" applyBorder="1" applyAlignment="1" applyProtection="1">
      <alignment horizontal="center" vertical="center"/>
      <protection locked="0"/>
    </xf>
    <xf numFmtId="0" fontId="21" fillId="0" borderId="0" xfId="0" applyFont="1" applyAlignment="1">
      <alignment horizontal="left" vertical="center"/>
    </xf>
    <xf numFmtId="164" fontId="19" fillId="35" borderId="13" xfId="0" applyNumberFormat="1" applyFont="1" applyFill="1" applyBorder="1" applyAlignment="1">
      <alignment horizontal="center" vertical="center" wrapText="1" readingOrder="1"/>
    </xf>
    <xf numFmtId="1" fontId="20" fillId="38" borderId="17" xfId="0" applyNumberFormat="1" applyFont="1" applyFill="1" applyBorder="1" applyAlignment="1">
      <alignment horizontal="center" vertical="center" wrapText="1" readingOrder="1"/>
    </xf>
    <xf numFmtId="0" fontId="20" fillId="2" borderId="17" xfId="0" applyFont="1" applyFill="1" applyBorder="1" applyAlignment="1" applyProtection="1">
      <alignment horizontal="center" vertical="center" wrapText="1" readingOrder="1"/>
      <protection locked="0"/>
    </xf>
    <xf numFmtId="164" fontId="19" fillId="35" borderId="20" xfId="0" applyNumberFormat="1" applyFont="1" applyFill="1" applyBorder="1" applyAlignment="1">
      <alignment horizontal="center" vertical="center" wrapText="1" readingOrder="1"/>
    </xf>
    <xf numFmtId="0" fontId="20" fillId="2" borderId="19" xfId="0" applyFont="1" applyFill="1" applyBorder="1" applyAlignment="1" applyProtection="1">
      <alignment horizontal="center" vertical="center" wrapText="1" readingOrder="1"/>
      <protection locked="0"/>
    </xf>
    <xf numFmtId="1" fontId="20" fillId="36" borderId="18" xfId="0" applyNumberFormat="1" applyFont="1" applyFill="1" applyBorder="1" applyAlignment="1">
      <alignment horizontal="center" vertical="center" wrapText="1" readingOrder="1"/>
    </xf>
    <xf numFmtId="1" fontId="20" fillId="36" borderId="19" xfId="0" applyNumberFormat="1" applyFont="1" applyFill="1" applyBorder="1" applyAlignment="1">
      <alignment horizontal="center" vertical="center" wrapText="1" readingOrder="1"/>
    </xf>
    <xf numFmtId="1" fontId="20" fillId="36" borderId="17" xfId="0" applyNumberFormat="1" applyFont="1" applyFill="1" applyBorder="1" applyAlignment="1">
      <alignment horizontal="center" vertical="center" wrapText="1" readingOrder="1"/>
    </xf>
    <xf numFmtId="9" fontId="0" fillId="2" borderId="11" xfId="1" applyNumberFormat="1" applyFont="1" applyFill="1" applyBorder="1" applyAlignment="1" applyProtection="1">
      <alignment horizontal="center" vertical="center"/>
      <protection locked="0"/>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66" fontId="0" fillId="0" borderId="0" xfId="0" applyNumberFormat="1" applyAlignment="1">
      <alignment horizontal="center" vertical="center"/>
    </xf>
    <xf numFmtId="0" fontId="1" fillId="0" borderId="0" xfId="0" applyFont="1" applyAlignment="1">
      <alignment horizontal="center"/>
    </xf>
    <xf numFmtId="0" fontId="23" fillId="0" borderId="0" xfId="0" applyFont="1" applyAlignment="1">
      <alignment horizontal="center"/>
    </xf>
    <xf numFmtId="0" fontId="1" fillId="0" borderId="0" xfId="0" applyFont="1" applyBorder="1" applyAlignment="1">
      <alignment horizontal="center" vertical="center"/>
    </xf>
    <xf numFmtId="0" fontId="25" fillId="0" borderId="0" xfId="0" applyFont="1" applyAlignment="1">
      <alignment horizontal="center"/>
    </xf>
    <xf numFmtId="0" fontId="26" fillId="0" borderId="0" xfId="0" applyFont="1" applyAlignment="1">
      <alignment horizontal="center"/>
    </xf>
    <xf numFmtId="0" fontId="27" fillId="0" borderId="0" xfId="0" applyFont="1" applyAlignment="1">
      <alignment horizontal="center"/>
    </xf>
    <xf numFmtId="0" fontId="28" fillId="0" borderId="0" xfId="0" applyFont="1" applyAlignment="1">
      <alignment horizontal="center"/>
    </xf>
    <xf numFmtId="0" fontId="29" fillId="0" borderId="0" xfId="0" applyFont="1" applyAlignment="1">
      <alignment horizontal="center"/>
    </xf>
    <xf numFmtId="1" fontId="26" fillId="0" borderId="0" xfId="0" applyNumberFormat="1" applyFont="1" applyAlignment="1">
      <alignment horizontal="center"/>
    </xf>
    <xf numFmtId="1" fontId="30" fillId="0" borderId="0" xfId="0" applyNumberFormat="1" applyFont="1" applyAlignment="1">
      <alignment horizontal="center" vertical="center"/>
    </xf>
    <xf numFmtId="167" fontId="29" fillId="0" borderId="0" xfId="0" applyNumberFormat="1" applyFont="1" applyAlignment="1">
      <alignment horizontal="center"/>
    </xf>
    <xf numFmtId="0" fontId="25" fillId="41" borderId="0" xfId="0" applyFont="1" applyFill="1" applyAlignment="1">
      <alignment horizontal="center"/>
    </xf>
    <xf numFmtId="0" fontId="31" fillId="41" borderId="0" xfId="0" applyFont="1" applyFill="1" applyAlignment="1">
      <alignment horizontal="center"/>
    </xf>
    <xf numFmtId="0" fontId="25" fillId="42" borderId="0" xfId="0" applyFont="1" applyFill="1" applyAlignment="1">
      <alignment horizontal="center"/>
    </xf>
    <xf numFmtId="0" fontId="27" fillId="42" borderId="0" xfId="0" applyFont="1" applyFill="1" applyAlignment="1">
      <alignment horizontal="center"/>
    </xf>
    <xf numFmtId="1" fontId="30" fillId="0" borderId="0" xfId="0" applyNumberFormat="1" applyFont="1" applyAlignment="1">
      <alignment horizontal="center"/>
    </xf>
    <xf numFmtId="9" fontId="26" fillId="39" borderId="0" xfId="1" applyFont="1" applyFill="1" applyAlignment="1">
      <alignment horizontal="center"/>
    </xf>
    <xf numFmtId="1" fontId="26" fillId="39" borderId="0" xfId="0" applyNumberFormat="1" applyFont="1" applyFill="1" applyAlignment="1">
      <alignment horizontal="center"/>
    </xf>
    <xf numFmtId="1" fontId="24" fillId="41" borderId="0" xfId="0" applyNumberFormat="1" applyFont="1" applyFill="1" applyAlignment="1">
      <alignment horizontal="center" vertical="center"/>
    </xf>
    <xf numFmtId="1" fontId="24" fillId="0" borderId="0" xfId="0" applyNumberFormat="1" applyFont="1" applyAlignment="1">
      <alignment horizontal="center" vertical="center"/>
    </xf>
    <xf numFmtId="1" fontId="26" fillId="0" borderId="0" xfId="0" applyNumberFormat="1" applyFont="1" applyAlignment="1">
      <alignment horizontal="center" vertical="center"/>
    </xf>
    <xf numFmtId="9" fontId="26" fillId="40" borderId="0" xfId="1" applyFont="1" applyFill="1" applyAlignment="1">
      <alignment horizontal="center" vertical="center"/>
    </xf>
    <xf numFmtId="9" fontId="29" fillId="40" borderId="0" xfId="1" applyFont="1" applyFill="1" applyAlignment="1">
      <alignment horizontal="center" vertical="center"/>
    </xf>
    <xf numFmtId="168" fontId="25" fillId="40" borderId="0" xfId="0" applyNumberFormat="1" applyFont="1" applyFill="1" applyAlignment="1">
      <alignment horizontal="center" vertical="center"/>
    </xf>
    <xf numFmtId="3" fontId="24" fillId="39" borderId="0" xfId="0" applyNumberFormat="1" applyFont="1" applyFill="1" applyAlignment="1">
      <alignment horizontal="center" vertical="center"/>
    </xf>
    <xf numFmtId="9" fontId="26" fillId="39" borderId="0" xfId="1" applyFont="1" applyFill="1" applyAlignment="1">
      <alignment horizontal="center" vertical="center"/>
    </xf>
    <xf numFmtId="1" fontId="24" fillId="2" borderId="0" xfId="0" applyNumberFormat="1" applyFont="1" applyFill="1" applyAlignment="1">
      <alignment horizontal="center" vertical="center"/>
    </xf>
    <xf numFmtId="0" fontId="25" fillId="0" borderId="0" xfId="0" applyFont="1"/>
    <xf numFmtId="0" fontId="25" fillId="0" borderId="0" xfId="0" applyFont="1" applyAlignment="1">
      <alignment horizontal="left"/>
    </xf>
    <xf numFmtId="0" fontId="26" fillId="0" borderId="0" xfId="0" applyFont="1" applyAlignment="1">
      <alignment horizontal="left"/>
    </xf>
    <xf numFmtId="1" fontId="25" fillId="0" borderId="0" xfId="0" applyNumberFormat="1" applyFont="1" applyAlignment="1">
      <alignment horizontal="center" vertical="center"/>
    </xf>
    <xf numFmtId="0" fontId="27" fillId="0" borderId="0" xfId="0" applyFont="1" applyAlignment="1">
      <alignment horizontal="left"/>
    </xf>
    <xf numFmtId="0" fontId="28" fillId="0" borderId="0" xfId="0" applyFont="1" applyAlignment="1">
      <alignment horizontal="left"/>
    </xf>
    <xf numFmtId="0" fontId="0" fillId="0" borderId="0" xfId="0" applyAlignment="1">
      <alignment horizontal="left"/>
    </xf>
    <xf numFmtId="0" fontId="31" fillId="0" borderId="0" xfId="0" applyFont="1" applyFill="1" applyAlignment="1">
      <alignment horizontal="center"/>
    </xf>
    <xf numFmtId="1" fontId="24" fillId="0" borderId="0" xfId="0" applyNumberFormat="1" applyFont="1" applyFill="1" applyAlignment="1">
      <alignment horizontal="center"/>
    </xf>
    <xf numFmtId="14" fontId="30" fillId="0" borderId="0" xfId="0" applyNumberFormat="1" applyFont="1" applyAlignment="1">
      <alignment horizontal="center" vertical="center"/>
    </xf>
    <xf numFmtId="2" fontId="24" fillId="0" borderId="0" xfId="0" applyNumberFormat="1" applyFont="1" applyAlignment="1">
      <alignment horizontal="center"/>
    </xf>
    <xf numFmtId="2" fontId="24" fillId="0" borderId="0" xfId="0" applyNumberFormat="1" applyFont="1" applyFill="1" applyAlignment="1">
      <alignment horizontal="center"/>
    </xf>
    <xf numFmtId="0" fontId="36" fillId="44" borderId="0" xfId="0" applyFont="1" applyFill="1" applyAlignment="1">
      <alignment horizontal="center"/>
    </xf>
    <xf numFmtId="14" fontId="0" fillId="0" borderId="0" xfId="0" applyNumberFormat="1"/>
    <xf numFmtId="1" fontId="0" fillId="0" borderId="0" xfId="0" applyNumberFormat="1"/>
    <xf numFmtId="1" fontId="24" fillId="45" borderId="0" xfId="0" applyNumberFormat="1" applyFont="1" applyFill="1" applyAlignment="1">
      <alignment horizontal="center" vertical="center"/>
    </xf>
    <xf numFmtId="9" fontId="29" fillId="0" borderId="0" xfId="0" applyNumberFormat="1" applyFont="1" applyAlignment="1">
      <alignment horizontal="center"/>
    </xf>
    <xf numFmtId="166" fontId="30" fillId="0" borderId="0" xfId="0" applyNumberFormat="1" applyFont="1" applyAlignment="1">
      <alignment horizontal="center" vertical="center"/>
    </xf>
    <xf numFmtId="9" fontId="0" fillId="0" borderId="0" xfId="0" applyNumberFormat="1" applyAlignment="1">
      <alignment horizontal="center" vertical="center"/>
    </xf>
    <xf numFmtId="9" fontId="0" fillId="0" borderId="0" xfId="0" applyNumberFormat="1"/>
    <xf numFmtId="9" fontId="0" fillId="0" borderId="0" xfId="0" applyNumberFormat="1" applyAlignment="1">
      <alignment horizontal="center"/>
    </xf>
    <xf numFmtId="10" fontId="29" fillId="40" borderId="0" xfId="1" applyNumberFormat="1" applyFont="1" applyFill="1" applyAlignment="1">
      <alignment horizontal="center" vertical="center"/>
    </xf>
    <xf numFmtId="9" fontId="30" fillId="0" borderId="0" xfId="0" applyNumberFormat="1" applyFont="1" applyAlignment="1">
      <alignment horizontal="center" vertical="center"/>
    </xf>
    <xf numFmtId="1" fontId="29" fillId="0" borderId="0" xfId="0" applyNumberFormat="1" applyFont="1" applyAlignment="1">
      <alignment horizontal="center"/>
    </xf>
    <xf numFmtId="1" fontId="24" fillId="39" borderId="0" xfId="0" applyNumberFormat="1" applyFont="1" applyFill="1" applyAlignment="1">
      <alignment horizontal="center" vertical="center"/>
    </xf>
    <xf numFmtId="2" fontId="24" fillId="0" borderId="0" xfId="0" applyNumberFormat="1" applyFont="1" applyAlignment="1">
      <alignment horizontal="center" vertical="center"/>
    </xf>
    <xf numFmtId="2" fontId="24" fillId="0" borderId="0" xfId="0" applyNumberFormat="1" applyFont="1" applyFill="1" applyAlignment="1">
      <alignment horizontal="center" vertical="center"/>
    </xf>
    <xf numFmtId="167" fontId="28" fillId="0" borderId="0" xfId="0" applyNumberFormat="1" applyFont="1" applyAlignment="1">
      <alignment horizontal="center" vertical="center"/>
    </xf>
    <xf numFmtId="169" fontId="24" fillId="0" borderId="0" xfId="0" applyNumberFormat="1" applyFont="1" applyAlignment="1">
      <alignment horizontal="center" vertical="center"/>
    </xf>
    <xf numFmtId="14" fontId="0" fillId="0" borderId="0" xfId="0" applyNumberFormat="1" applyAlignment="1">
      <alignment horizontal="center"/>
    </xf>
    <xf numFmtId="0" fontId="14" fillId="43" borderId="0" xfId="0" applyFont="1" applyFill="1" applyAlignment="1">
      <alignment horizontal="center" vertical="center" textRotation="90"/>
    </xf>
    <xf numFmtId="0" fontId="14" fillId="43" borderId="21" xfId="0" applyFont="1" applyFill="1" applyBorder="1" applyAlignment="1">
      <alignment horizontal="center" vertical="center"/>
    </xf>
    <xf numFmtId="0" fontId="14" fillId="43" borderId="10" xfId="0" applyFont="1" applyFill="1" applyBorder="1" applyAlignment="1">
      <alignment horizontal="center" vertical="center" wrapText="1"/>
    </xf>
    <xf numFmtId="0" fontId="14" fillId="43" borderId="0" xfId="0" applyFont="1" applyFill="1" applyBorder="1" applyAlignment="1">
      <alignment horizontal="center" vertical="center" wrapText="1"/>
    </xf>
    <xf numFmtId="0" fontId="14" fillId="43" borderId="10" xfId="0" applyFont="1" applyFill="1" applyBorder="1" applyAlignment="1">
      <alignment horizontal="center" vertical="center"/>
    </xf>
    <xf numFmtId="0" fontId="14" fillId="43" borderId="0" xfId="0" applyFont="1" applyFill="1" applyBorder="1" applyAlignment="1">
      <alignment horizontal="center" vertical="center"/>
    </xf>
    <xf numFmtId="0" fontId="34" fillId="43" borderId="10" xfId="0" applyFont="1" applyFill="1" applyBorder="1" applyAlignment="1">
      <alignment horizontal="center" vertical="center" wrapText="1"/>
    </xf>
    <xf numFmtId="0" fontId="34" fillId="43" borderId="0" xfId="0" applyFont="1" applyFill="1" applyBorder="1" applyAlignment="1">
      <alignment horizontal="center" vertical="center" wrapText="1"/>
    </xf>
    <xf numFmtId="0" fontId="14" fillId="43" borderId="22" xfId="0" applyFont="1" applyFill="1" applyBorder="1" applyAlignment="1">
      <alignment horizontal="center" vertical="center" wrapText="1"/>
    </xf>
  </cellXfs>
  <cellStyles count="43">
    <cellStyle name="20% - Accent1" xfId="20" builtinId="30" hidden="1"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897">
    <dxf>
      <font>
        <b/>
        <i val="0"/>
        <strike val="0"/>
        <color rgb="FFFF0000"/>
      </font>
    </dxf>
    <dxf>
      <font>
        <b/>
        <i val="0"/>
        <color rgb="FF007E39"/>
      </font>
    </dxf>
    <dxf>
      <font>
        <b/>
        <i val="0"/>
        <strike val="0"/>
        <color rgb="FFFF0000"/>
      </font>
    </dxf>
    <dxf>
      <font>
        <b/>
        <i val="0"/>
        <color rgb="FF007E39"/>
      </font>
    </dxf>
    <dxf>
      <font>
        <b/>
        <i val="0"/>
        <strike val="0"/>
        <color rgb="FFFF0000"/>
      </font>
    </dxf>
    <dxf>
      <font>
        <b/>
        <i val="0"/>
        <color rgb="FF007E39"/>
      </font>
    </dxf>
    <dxf>
      <font>
        <b/>
        <i val="0"/>
        <strike val="0"/>
        <color rgb="FFFF0000"/>
      </font>
    </dxf>
    <dxf>
      <font>
        <b/>
        <i val="0"/>
        <color rgb="FF007E39"/>
      </font>
    </dxf>
    <dxf>
      <font>
        <b/>
        <i val="0"/>
        <strike val="0"/>
        <color rgb="FFFF0000"/>
      </font>
    </dxf>
    <dxf>
      <font>
        <b/>
        <i val="0"/>
        <color rgb="FF007E39"/>
      </font>
    </dxf>
    <dxf>
      <font>
        <b/>
        <i val="0"/>
        <strike val="0"/>
        <color rgb="FFFF0000"/>
      </font>
    </dxf>
    <dxf>
      <font>
        <b/>
        <i val="0"/>
        <color rgb="FF007E39"/>
      </font>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strike val="0"/>
        <color rgb="FFFF0000"/>
      </font>
    </dxf>
    <dxf>
      <font>
        <b/>
        <i val="0"/>
        <color rgb="FF007E39"/>
      </font>
    </dxf>
    <dxf>
      <font>
        <b/>
        <i val="0"/>
        <strike val="0"/>
        <color rgb="FFFF0000"/>
      </font>
    </dxf>
    <dxf>
      <font>
        <b/>
        <i val="0"/>
        <color rgb="FF007E39"/>
      </font>
    </dxf>
    <dxf>
      <font>
        <b/>
        <i val="0"/>
        <strike val="0"/>
        <color rgb="FFFF0000"/>
      </font>
    </dxf>
    <dxf>
      <font>
        <b/>
        <i val="0"/>
        <color rgb="FF007E39"/>
      </font>
    </dxf>
    <dxf>
      <font>
        <b/>
        <i val="0"/>
        <strike val="0"/>
        <color rgb="FFFF0000"/>
      </font>
    </dxf>
    <dxf>
      <font>
        <b/>
        <i val="0"/>
        <color rgb="FF007E39"/>
      </font>
    </dxf>
    <dxf>
      <font>
        <b/>
        <i val="0"/>
        <strike val="0"/>
        <color rgb="FFFF0000"/>
      </font>
    </dxf>
    <dxf>
      <font>
        <b/>
        <i val="0"/>
        <color rgb="FF007E39"/>
      </font>
    </dxf>
    <dxf>
      <border>
        <left style="thin">
          <color auto="1"/>
        </left>
        <right style="thin">
          <color auto="1"/>
        </right>
      </border>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00602B"/>
      </font>
    </dxf>
    <dxf>
      <font>
        <b/>
        <i val="0"/>
        <color rgb="FFFF0000"/>
      </font>
    </dxf>
    <dxf>
      <border>
        <left style="thin">
          <color auto="1"/>
        </left>
        <right style="thin">
          <color auto="1"/>
        </right>
      </border>
    </dxf>
    <dxf>
      <font>
        <b/>
        <i val="0"/>
        <color rgb="FF00602B"/>
      </font>
    </dxf>
    <dxf>
      <font>
        <b/>
        <i val="0"/>
        <color rgb="FFFF0000"/>
      </font>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strike val="0"/>
        <color rgb="FFFF0000"/>
      </font>
    </dxf>
    <dxf>
      <font>
        <b/>
        <i val="0"/>
        <color rgb="FF007E39"/>
      </font>
    </dxf>
    <dxf>
      <font>
        <b/>
        <i val="0"/>
        <strike val="0"/>
        <color rgb="FFFF0000"/>
      </font>
    </dxf>
    <dxf>
      <font>
        <b/>
        <i val="0"/>
        <color rgb="FF007E39"/>
      </font>
    </dxf>
    <dxf>
      <font>
        <b/>
        <i val="0"/>
        <strike val="0"/>
        <color rgb="FFFF0000"/>
      </font>
    </dxf>
    <dxf>
      <font>
        <b/>
        <i val="0"/>
        <color rgb="FF007E39"/>
      </font>
    </dxf>
    <dxf>
      <font>
        <b/>
        <i val="0"/>
        <strike val="0"/>
        <color rgb="FFFF0000"/>
      </font>
    </dxf>
    <dxf>
      <font>
        <b/>
        <i val="0"/>
        <color rgb="FF007E39"/>
      </font>
    </dxf>
    <dxf>
      <font>
        <b/>
        <i val="0"/>
        <strike val="0"/>
        <color rgb="FFFF0000"/>
      </font>
    </dxf>
    <dxf>
      <font>
        <b/>
        <i val="0"/>
        <color rgb="FF007E39"/>
      </font>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font>
        <b/>
        <i val="0"/>
        <color rgb="FF00602B"/>
      </font>
    </dxf>
    <dxf>
      <font>
        <b/>
        <i val="0"/>
        <color rgb="FFFF0000"/>
      </font>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font>
        <b/>
        <i val="0"/>
        <color rgb="FFC00000"/>
      </font>
      <fill>
        <patternFill>
          <bgColor rgb="FFFFC7CE"/>
        </patternFill>
      </fill>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border>
        <left style="thin">
          <color auto="1"/>
        </left>
        <right style="thin">
          <color auto="1"/>
        </right>
      </border>
    </dxf>
    <dxf>
      <fill>
        <patternFill>
          <bgColor rgb="FF66FF66"/>
        </patternFill>
      </fill>
    </dxf>
    <dxf>
      <fill>
        <patternFill>
          <bgColor rgb="FFFF6666"/>
        </patternFill>
      </fill>
    </dxf>
    <dxf>
      <fill>
        <patternFill>
          <bgColor theme="0" tint="-0.14996795556505021"/>
        </patternFill>
      </fill>
    </dxf>
    <dxf>
      <fill>
        <patternFill>
          <bgColor rgb="FF66FF66"/>
        </patternFill>
      </fill>
    </dxf>
    <dxf>
      <fill>
        <patternFill>
          <bgColor rgb="FFFF6666"/>
        </patternFill>
      </fill>
    </dxf>
    <dxf>
      <fill>
        <patternFill>
          <bgColor theme="0" tint="-0.14996795556505021"/>
        </patternFill>
      </fill>
    </dxf>
    <dxf>
      <fill>
        <patternFill>
          <bgColor rgb="FF66FF66"/>
        </patternFill>
      </fill>
    </dxf>
    <dxf>
      <fill>
        <patternFill>
          <bgColor rgb="FFFF6666"/>
        </patternFill>
      </fill>
    </dxf>
    <dxf>
      <fill>
        <patternFill>
          <bgColor theme="0" tint="-0.14996795556505021"/>
        </patternFill>
      </fill>
    </dxf>
    <dxf>
      <fill>
        <patternFill>
          <bgColor rgb="FF66FF66"/>
        </patternFill>
      </fill>
    </dxf>
    <dxf>
      <fill>
        <patternFill>
          <bgColor rgb="FFFF6666"/>
        </patternFill>
      </fill>
    </dxf>
    <dxf>
      <fill>
        <patternFill>
          <bgColor theme="0" tint="-0.14996795556505021"/>
        </patternFill>
      </fill>
    </dxf>
    <dxf>
      <fill>
        <patternFill>
          <bgColor rgb="FF66FF66"/>
        </patternFill>
      </fill>
    </dxf>
    <dxf>
      <fill>
        <patternFill>
          <bgColor rgb="FFFF6666"/>
        </patternFill>
      </fill>
    </dxf>
    <dxf>
      <fill>
        <patternFill>
          <bgColor theme="0" tint="-0.14996795556505021"/>
        </patternFill>
      </fill>
    </dxf>
    <dxf>
      <fill>
        <patternFill>
          <bgColor rgb="FF66FF66"/>
        </patternFill>
      </fill>
    </dxf>
    <dxf>
      <fill>
        <patternFill>
          <bgColor rgb="FFFF6666"/>
        </patternFill>
      </fill>
    </dxf>
    <dxf>
      <fill>
        <patternFill>
          <bgColor theme="0" tint="-0.14996795556505021"/>
        </patternFill>
      </fill>
    </dxf>
    <dxf>
      <fill>
        <patternFill>
          <bgColor rgb="FF66FF66"/>
        </patternFill>
      </fill>
    </dxf>
    <dxf>
      <fill>
        <patternFill>
          <bgColor rgb="FFFF6666"/>
        </patternFill>
      </fill>
    </dxf>
    <dxf>
      <fill>
        <patternFill>
          <bgColor theme="0" tint="-0.14996795556505021"/>
        </patternFill>
      </fill>
    </dxf>
  </dxfs>
  <tableStyles count="1" defaultTableStyle="TableStyleMedium2" defaultPivotStyle="PivotStyleLight16">
    <tableStyle name="Invisible" pivot="0" table="0" count="0" xr9:uid="{17542CD1-FA7E-439F-8836-555CE710468D}"/>
  </tableStyles>
  <colors>
    <mruColors>
      <color rgb="FF007E39"/>
      <color rgb="FF53D749"/>
      <color rgb="FF24FC29"/>
      <color rgb="FF00602B"/>
      <color rgb="FFC4BD97"/>
      <color rgb="FFFABF8F"/>
      <color rgb="FFDA9694"/>
      <color rgb="FFC4D79B"/>
      <color rgb="FFB1A0C7"/>
      <color rgb="FF95B3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b="1"/>
              <a:t>13 Week Staffing Plan | Graphical View</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'Staff Planner Estee'!$D$14</c:f>
              <c:strCache>
                <c:ptCount val="1"/>
                <c:pt idx="0">
                  <c:v>REQUIRED</c:v>
                </c:pt>
              </c:strCache>
            </c:strRef>
          </c:tx>
          <c:spPr>
            <a:ln w="31750" cap="rnd">
              <a:solidFill>
                <a:srgbClr val="FFC000"/>
              </a:solidFill>
              <a:round/>
            </a:ln>
            <a:effectLst/>
          </c:spPr>
          <c:marker>
            <c:symbol val="none"/>
          </c:marker>
          <c:cat>
            <c:numRef>
              <c:f>'Staff Planner Estee'!$E$13:$Q$13</c:f>
              <c:numCache>
                <c:formatCode>m/d;@</c:formatCode>
                <c:ptCount val="13"/>
                <c:pt idx="0">
                  <c:v>44569</c:v>
                </c:pt>
                <c:pt idx="1">
                  <c:v>44576</c:v>
                </c:pt>
                <c:pt idx="2">
                  <c:v>44583</c:v>
                </c:pt>
                <c:pt idx="3">
                  <c:v>44590</c:v>
                </c:pt>
                <c:pt idx="4">
                  <c:v>44597</c:v>
                </c:pt>
                <c:pt idx="5">
                  <c:v>44604</c:v>
                </c:pt>
                <c:pt idx="6">
                  <c:v>44611</c:v>
                </c:pt>
                <c:pt idx="7">
                  <c:v>44618</c:v>
                </c:pt>
                <c:pt idx="8">
                  <c:v>44625</c:v>
                </c:pt>
                <c:pt idx="9">
                  <c:v>44632</c:v>
                </c:pt>
                <c:pt idx="10">
                  <c:v>44639</c:v>
                </c:pt>
                <c:pt idx="11">
                  <c:v>44646</c:v>
                </c:pt>
                <c:pt idx="12">
                  <c:v>44653</c:v>
                </c:pt>
              </c:numCache>
            </c:numRef>
          </c:cat>
          <c:val>
            <c:numRef>
              <c:f>'Staff Planner Estee'!$E$14:$Q$14</c:f>
              <c:numCache>
                <c:formatCode>0</c:formatCode>
                <c:ptCount val="13"/>
                <c:pt idx="0">
                  <c:v>249.87427980826627</c:v>
                </c:pt>
                <c:pt idx="1">
                  <c:v>201.62188021282458</c:v>
                </c:pt>
                <c:pt idx="2">
                  <c:v>155.46952938763744</c:v>
                </c:pt>
                <c:pt idx="3">
                  <c:v>144.33803630258038</c:v>
                </c:pt>
                <c:pt idx="4">
                  <c:v>140.24692578653088</c:v>
                </c:pt>
                <c:pt idx="5">
                  <c:v>126.79178972963622</c:v>
                </c:pt>
                <c:pt idx="6">
                  <c:v>106.13914047926204</c:v>
                </c:pt>
                <c:pt idx="7">
                  <c:v>108.04928678209595</c:v>
                </c:pt>
                <c:pt idx="8">
                  <c:v>105.9595652187401</c:v>
                </c:pt>
                <c:pt idx="9">
                  <c:v>119.8533373436849</c:v>
                </c:pt>
                <c:pt idx="10">
                  <c:v>137.0115823231628</c:v>
                </c:pt>
                <c:pt idx="11">
                  <c:v>135.20353767463632</c:v>
                </c:pt>
                <c:pt idx="12">
                  <c:v>109.19592874846334</c:v>
                </c:pt>
              </c:numCache>
            </c:numRef>
          </c:val>
          <c:smooth val="0"/>
          <c:extLst>
            <c:ext xmlns:c16="http://schemas.microsoft.com/office/drawing/2014/chart" uri="{C3380CC4-5D6E-409C-BE32-E72D297353CC}">
              <c16:uniqueId val="{00000000-1C6E-498B-839A-A123A4459A50}"/>
            </c:ext>
          </c:extLst>
        </c:ser>
        <c:ser>
          <c:idx val="1"/>
          <c:order val="1"/>
          <c:tx>
            <c:strRef>
              <c:f>'Staff Planner Estee'!$D$15</c:f>
              <c:strCache>
                <c:ptCount val="1"/>
                <c:pt idx="0">
                  <c:v>ACTUAL</c:v>
                </c:pt>
              </c:strCache>
            </c:strRef>
          </c:tx>
          <c:spPr>
            <a:ln w="31750" cap="rnd">
              <a:solidFill>
                <a:schemeClr val="tx2">
                  <a:lumMod val="60000"/>
                  <a:lumOff val="40000"/>
                </a:schemeClr>
              </a:solidFill>
              <a:round/>
            </a:ln>
            <a:effectLst/>
          </c:spPr>
          <c:marker>
            <c:symbol val="none"/>
          </c:marker>
          <c:cat>
            <c:numRef>
              <c:f>'Staff Planner Estee'!$E$13:$Q$13</c:f>
              <c:numCache>
                <c:formatCode>m/d;@</c:formatCode>
                <c:ptCount val="13"/>
                <c:pt idx="0">
                  <c:v>44569</c:v>
                </c:pt>
                <c:pt idx="1">
                  <c:v>44576</c:v>
                </c:pt>
                <c:pt idx="2">
                  <c:v>44583</c:v>
                </c:pt>
                <c:pt idx="3">
                  <c:v>44590</c:v>
                </c:pt>
                <c:pt idx="4">
                  <c:v>44597</c:v>
                </c:pt>
                <c:pt idx="5">
                  <c:v>44604</c:v>
                </c:pt>
                <c:pt idx="6">
                  <c:v>44611</c:v>
                </c:pt>
                <c:pt idx="7">
                  <c:v>44618</c:v>
                </c:pt>
                <c:pt idx="8">
                  <c:v>44625</c:v>
                </c:pt>
                <c:pt idx="9">
                  <c:v>44632</c:v>
                </c:pt>
                <c:pt idx="10">
                  <c:v>44639</c:v>
                </c:pt>
                <c:pt idx="11">
                  <c:v>44646</c:v>
                </c:pt>
                <c:pt idx="12">
                  <c:v>44653</c:v>
                </c:pt>
              </c:numCache>
            </c:numRef>
          </c:cat>
          <c:val>
            <c:numRef>
              <c:f>'Staff Planner Estee'!$E$15:$Q$15</c:f>
              <c:numCache>
                <c:formatCode>0</c:formatCode>
                <c:ptCount val="13"/>
                <c:pt idx="0">
                  <c:v>284.58325000000002</c:v>
                </c:pt>
                <c:pt idx="1">
                  <c:v>277.46866875000001</c:v>
                </c:pt>
                <c:pt idx="2">
                  <c:v>270.53195203125</c:v>
                </c:pt>
                <c:pt idx="3">
                  <c:v>263.76865323046877</c:v>
                </c:pt>
                <c:pt idx="4">
                  <c:v>257.17443689970708</c:v>
                </c:pt>
                <c:pt idx="5">
                  <c:v>250.74507597721441</c:v>
                </c:pt>
                <c:pt idx="6">
                  <c:v>244.47644907778405</c:v>
                </c:pt>
                <c:pt idx="7">
                  <c:v>238.36453785083944</c:v>
                </c:pt>
                <c:pt idx="8">
                  <c:v>232.40542440456846</c:v>
                </c:pt>
                <c:pt idx="9">
                  <c:v>226.59528879445426</c:v>
                </c:pt>
                <c:pt idx="10">
                  <c:v>220.93040657459289</c:v>
                </c:pt>
                <c:pt idx="11">
                  <c:v>225.40714641022808</c:v>
                </c:pt>
                <c:pt idx="12">
                  <c:v>219.77196774997239</c:v>
                </c:pt>
              </c:numCache>
            </c:numRef>
          </c:val>
          <c:smooth val="0"/>
          <c:extLst>
            <c:ext xmlns:c16="http://schemas.microsoft.com/office/drawing/2014/chart" uri="{C3380CC4-5D6E-409C-BE32-E72D297353CC}">
              <c16:uniqueId val="{00000001-1C6E-498B-839A-A123A4459A50}"/>
            </c:ext>
          </c:extLst>
        </c:ser>
        <c:dLbls>
          <c:showLegendKey val="0"/>
          <c:showVal val="0"/>
          <c:showCatName val="0"/>
          <c:showSerName val="0"/>
          <c:showPercent val="0"/>
          <c:showBubbleSize val="0"/>
        </c:dLbls>
        <c:smooth val="0"/>
        <c:axId val="1437169583"/>
        <c:axId val="1437173743"/>
      </c:lineChart>
      <c:dateAx>
        <c:axId val="1437169583"/>
        <c:scaling>
          <c:orientation val="minMax"/>
        </c:scaling>
        <c:delete val="0"/>
        <c:axPos val="b"/>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1437173743"/>
        <c:crosses val="autoZero"/>
        <c:auto val="1"/>
        <c:lblOffset val="100"/>
        <c:baseTimeUnit val="days"/>
      </c:dateAx>
      <c:valAx>
        <c:axId val="14371737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1437169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3175" cap="flat" cmpd="sng" algn="ctr">
      <a:solidFill>
        <a:schemeClr val="tx1"/>
      </a:solidFill>
      <a:round/>
    </a:ln>
    <a:effectLst/>
  </c:spPr>
  <c:txPr>
    <a:bodyPr/>
    <a:lstStyle/>
    <a:p>
      <a:pPr>
        <a:defRPr sz="15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b="1"/>
              <a:t>26 Week Staffing Plan | Graphical View</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'Staff Planner Estee'!$D$3</c:f>
              <c:strCache>
                <c:ptCount val="1"/>
                <c:pt idx="0">
                  <c:v>Required FTE</c:v>
                </c:pt>
              </c:strCache>
            </c:strRef>
          </c:tx>
          <c:spPr>
            <a:ln w="31750" cap="rnd">
              <a:solidFill>
                <a:srgbClr val="FFC000"/>
              </a:solidFill>
              <a:round/>
            </a:ln>
            <a:effectLst/>
          </c:spPr>
          <c:marker>
            <c:symbol val="none"/>
          </c:marker>
          <c:cat>
            <c:numRef>
              <c:f>'Staff Planner Estee'!$E$2:$AD$2</c:f>
              <c:numCache>
                <c:formatCode>m/d;@</c:formatCode>
                <c:ptCount val="26"/>
                <c:pt idx="0">
                  <c:v>44569</c:v>
                </c:pt>
                <c:pt idx="1">
                  <c:v>44576</c:v>
                </c:pt>
                <c:pt idx="2">
                  <c:v>44583</c:v>
                </c:pt>
                <c:pt idx="3">
                  <c:v>44590</c:v>
                </c:pt>
                <c:pt idx="4">
                  <c:v>44597</c:v>
                </c:pt>
                <c:pt idx="5">
                  <c:v>44604</c:v>
                </c:pt>
                <c:pt idx="6">
                  <c:v>44611</c:v>
                </c:pt>
                <c:pt idx="7">
                  <c:v>44618</c:v>
                </c:pt>
                <c:pt idx="8">
                  <c:v>44625</c:v>
                </c:pt>
                <c:pt idx="9">
                  <c:v>44632</c:v>
                </c:pt>
                <c:pt idx="10">
                  <c:v>44639</c:v>
                </c:pt>
                <c:pt idx="11">
                  <c:v>44646</c:v>
                </c:pt>
                <c:pt idx="12">
                  <c:v>44653</c:v>
                </c:pt>
                <c:pt idx="13">
                  <c:v>44660</c:v>
                </c:pt>
                <c:pt idx="14">
                  <c:v>44667</c:v>
                </c:pt>
                <c:pt idx="15">
                  <c:v>44674</c:v>
                </c:pt>
                <c:pt idx="16">
                  <c:v>44681</c:v>
                </c:pt>
                <c:pt idx="17">
                  <c:v>44688</c:v>
                </c:pt>
                <c:pt idx="18">
                  <c:v>44695</c:v>
                </c:pt>
                <c:pt idx="19">
                  <c:v>44702</c:v>
                </c:pt>
                <c:pt idx="20">
                  <c:v>44709</c:v>
                </c:pt>
                <c:pt idx="21">
                  <c:v>44716</c:v>
                </c:pt>
                <c:pt idx="22">
                  <c:v>44723</c:v>
                </c:pt>
                <c:pt idx="23">
                  <c:v>44730</c:v>
                </c:pt>
                <c:pt idx="24">
                  <c:v>44737</c:v>
                </c:pt>
                <c:pt idx="25">
                  <c:v>44744</c:v>
                </c:pt>
              </c:numCache>
            </c:numRef>
          </c:cat>
          <c:val>
            <c:numRef>
              <c:f>'Staff Planner Estee'!$E$3:$AD$3</c:f>
              <c:numCache>
                <c:formatCode>0</c:formatCode>
                <c:ptCount val="26"/>
                <c:pt idx="0">
                  <c:v>249.87427980826627</c:v>
                </c:pt>
                <c:pt idx="1">
                  <c:v>201.62188021282458</c:v>
                </c:pt>
                <c:pt idx="2">
                  <c:v>155.46952938763744</c:v>
                </c:pt>
                <c:pt idx="3">
                  <c:v>144.33803630258038</c:v>
                </c:pt>
                <c:pt idx="4">
                  <c:v>140.24692578653088</c:v>
                </c:pt>
                <c:pt idx="5">
                  <c:v>126.79178972963622</c:v>
                </c:pt>
                <c:pt idx="6">
                  <c:v>106.13914047926204</c:v>
                </c:pt>
                <c:pt idx="7">
                  <c:v>108.04928678209595</c:v>
                </c:pt>
                <c:pt idx="8">
                  <c:v>105.9595652187401</c:v>
                </c:pt>
                <c:pt idx="9">
                  <c:v>119.8533373436849</c:v>
                </c:pt>
                <c:pt idx="10">
                  <c:v>137.0115823231628</c:v>
                </c:pt>
                <c:pt idx="11">
                  <c:v>135.20353767463632</c:v>
                </c:pt>
                <c:pt idx="12">
                  <c:v>109.19592874846334</c:v>
                </c:pt>
                <c:pt idx="13">
                  <c:v>108.54796033034026</c:v>
                </c:pt>
                <c:pt idx="14">
                  <c:v>110.62473215238691</c:v>
                </c:pt>
                <c:pt idx="15">
                  <c:v>117.15182614647193</c:v>
                </c:pt>
                <c:pt idx="16">
                  <c:v>119.09950234361399</c:v>
                </c:pt>
                <c:pt idx="17">
                  <c:v>132.88963537492486</c:v>
                </c:pt>
                <c:pt idx="18">
                  <c:v>129.50520628507985</c:v>
                </c:pt>
                <c:pt idx="19">
                  <c:v>125.39405672982889</c:v>
                </c:pt>
                <c:pt idx="20">
                  <c:v>115.30115800558292</c:v>
                </c:pt>
                <c:pt idx="21">
                  <c:v>108.48277268008147</c:v>
                </c:pt>
                <c:pt idx="22">
                  <c:v>122.86879912650537</c:v>
                </c:pt>
                <c:pt idx="23">
                  <c:v>116.58497062303621</c:v>
                </c:pt>
                <c:pt idx="24">
                  <c:v>109.17896167043004</c:v>
                </c:pt>
                <c:pt idx="25">
                  <c:v>98.283482783351161</c:v>
                </c:pt>
              </c:numCache>
            </c:numRef>
          </c:val>
          <c:smooth val="0"/>
          <c:extLst>
            <c:ext xmlns:c16="http://schemas.microsoft.com/office/drawing/2014/chart" uri="{C3380CC4-5D6E-409C-BE32-E72D297353CC}">
              <c16:uniqueId val="{00000000-4ED0-4BDF-B25D-EB4749B58B1F}"/>
            </c:ext>
          </c:extLst>
        </c:ser>
        <c:ser>
          <c:idx val="1"/>
          <c:order val="1"/>
          <c:tx>
            <c:strRef>
              <c:f>'Staff Planner Estee'!$D$4</c:f>
              <c:strCache>
                <c:ptCount val="1"/>
                <c:pt idx="0">
                  <c:v>Actual FTE</c:v>
                </c:pt>
              </c:strCache>
            </c:strRef>
          </c:tx>
          <c:spPr>
            <a:ln w="31750" cap="rnd">
              <a:solidFill>
                <a:schemeClr val="tx2">
                  <a:lumMod val="60000"/>
                  <a:lumOff val="40000"/>
                </a:schemeClr>
              </a:solidFill>
              <a:round/>
            </a:ln>
            <a:effectLst/>
          </c:spPr>
          <c:marker>
            <c:symbol val="none"/>
          </c:marker>
          <c:cat>
            <c:numRef>
              <c:f>'Staff Planner Estee'!$E$2:$AD$2</c:f>
              <c:numCache>
                <c:formatCode>m/d;@</c:formatCode>
                <c:ptCount val="26"/>
                <c:pt idx="0">
                  <c:v>44569</c:v>
                </c:pt>
                <c:pt idx="1">
                  <c:v>44576</c:v>
                </c:pt>
                <c:pt idx="2">
                  <c:v>44583</c:v>
                </c:pt>
                <c:pt idx="3">
                  <c:v>44590</c:v>
                </c:pt>
                <c:pt idx="4">
                  <c:v>44597</c:v>
                </c:pt>
                <c:pt idx="5">
                  <c:v>44604</c:v>
                </c:pt>
                <c:pt idx="6">
                  <c:v>44611</c:v>
                </c:pt>
                <c:pt idx="7">
                  <c:v>44618</c:v>
                </c:pt>
                <c:pt idx="8">
                  <c:v>44625</c:v>
                </c:pt>
                <c:pt idx="9">
                  <c:v>44632</c:v>
                </c:pt>
                <c:pt idx="10">
                  <c:v>44639</c:v>
                </c:pt>
                <c:pt idx="11">
                  <c:v>44646</c:v>
                </c:pt>
                <c:pt idx="12">
                  <c:v>44653</c:v>
                </c:pt>
                <c:pt idx="13">
                  <c:v>44660</c:v>
                </c:pt>
                <c:pt idx="14">
                  <c:v>44667</c:v>
                </c:pt>
                <c:pt idx="15">
                  <c:v>44674</c:v>
                </c:pt>
                <c:pt idx="16">
                  <c:v>44681</c:v>
                </c:pt>
                <c:pt idx="17">
                  <c:v>44688</c:v>
                </c:pt>
                <c:pt idx="18">
                  <c:v>44695</c:v>
                </c:pt>
                <c:pt idx="19">
                  <c:v>44702</c:v>
                </c:pt>
                <c:pt idx="20">
                  <c:v>44709</c:v>
                </c:pt>
                <c:pt idx="21">
                  <c:v>44716</c:v>
                </c:pt>
                <c:pt idx="22">
                  <c:v>44723</c:v>
                </c:pt>
                <c:pt idx="23">
                  <c:v>44730</c:v>
                </c:pt>
                <c:pt idx="24">
                  <c:v>44737</c:v>
                </c:pt>
                <c:pt idx="25">
                  <c:v>44744</c:v>
                </c:pt>
              </c:numCache>
            </c:numRef>
          </c:cat>
          <c:val>
            <c:numRef>
              <c:f>'Staff Planner Estee'!$E$4:$AD$4</c:f>
              <c:numCache>
                <c:formatCode>0</c:formatCode>
                <c:ptCount val="26"/>
                <c:pt idx="0">
                  <c:v>284.58325000000002</c:v>
                </c:pt>
                <c:pt idx="1">
                  <c:v>277.46866875000001</c:v>
                </c:pt>
                <c:pt idx="2">
                  <c:v>270.53195203125</c:v>
                </c:pt>
                <c:pt idx="3">
                  <c:v>263.76865323046877</c:v>
                </c:pt>
                <c:pt idx="4">
                  <c:v>257.17443689970708</c:v>
                </c:pt>
                <c:pt idx="5">
                  <c:v>250.74507597721441</c:v>
                </c:pt>
                <c:pt idx="6">
                  <c:v>244.47644907778405</c:v>
                </c:pt>
                <c:pt idx="7">
                  <c:v>238.36453785083944</c:v>
                </c:pt>
                <c:pt idx="8">
                  <c:v>232.40542440456846</c:v>
                </c:pt>
                <c:pt idx="9">
                  <c:v>226.59528879445426</c:v>
                </c:pt>
                <c:pt idx="10">
                  <c:v>220.93040657459289</c:v>
                </c:pt>
                <c:pt idx="11">
                  <c:v>225.40714641022808</c:v>
                </c:pt>
                <c:pt idx="12">
                  <c:v>219.77196774997239</c:v>
                </c:pt>
                <c:pt idx="13">
                  <c:v>214.27766855622309</c:v>
                </c:pt>
                <c:pt idx="14">
                  <c:v>208.92072684231752</c:v>
                </c:pt>
                <c:pt idx="15">
                  <c:v>243.69770867125959</c:v>
                </c:pt>
                <c:pt idx="16">
                  <c:v>237.60526595447811</c:v>
                </c:pt>
                <c:pt idx="17">
                  <c:v>231.66513430561616</c:v>
                </c:pt>
                <c:pt idx="18">
                  <c:v>255.87350594797576</c:v>
                </c:pt>
                <c:pt idx="19">
                  <c:v>249.47666829927635</c:v>
                </c:pt>
                <c:pt idx="20">
                  <c:v>243.23975159179446</c:v>
                </c:pt>
                <c:pt idx="21">
                  <c:v>237.1587578019996</c:v>
                </c:pt>
                <c:pt idx="22">
                  <c:v>231.2297888569496</c:v>
                </c:pt>
                <c:pt idx="23">
                  <c:v>225.44904413552587</c:v>
                </c:pt>
                <c:pt idx="24">
                  <c:v>249.81281803213773</c:v>
                </c:pt>
                <c:pt idx="25">
                  <c:v>243.56749758133429</c:v>
                </c:pt>
              </c:numCache>
            </c:numRef>
          </c:val>
          <c:smooth val="0"/>
          <c:extLst>
            <c:ext xmlns:c16="http://schemas.microsoft.com/office/drawing/2014/chart" uri="{C3380CC4-5D6E-409C-BE32-E72D297353CC}">
              <c16:uniqueId val="{00000001-4ED0-4BDF-B25D-EB4749B58B1F}"/>
            </c:ext>
          </c:extLst>
        </c:ser>
        <c:dLbls>
          <c:showLegendKey val="0"/>
          <c:showVal val="0"/>
          <c:showCatName val="0"/>
          <c:showSerName val="0"/>
          <c:showPercent val="0"/>
          <c:showBubbleSize val="0"/>
        </c:dLbls>
        <c:smooth val="0"/>
        <c:axId val="1437003279"/>
        <c:axId val="1437009103"/>
      </c:lineChart>
      <c:dateAx>
        <c:axId val="1437003279"/>
        <c:scaling>
          <c:orientation val="minMax"/>
        </c:scaling>
        <c:delete val="0"/>
        <c:axPos val="b"/>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1437009103"/>
        <c:crosses val="autoZero"/>
        <c:auto val="1"/>
        <c:lblOffset val="100"/>
        <c:baseTimeUnit val="days"/>
      </c:dateAx>
      <c:valAx>
        <c:axId val="143700910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14370032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3175" cap="flat" cmpd="sng" algn="ctr">
      <a:solidFill>
        <a:schemeClr val="tx1"/>
      </a:solidFill>
      <a:round/>
    </a:ln>
    <a:effectLst/>
  </c:spPr>
  <c:txPr>
    <a:bodyPr/>
    <a:lstStyle/>
    <a:p>
      <a:pPr>
        <a:defRPr sz="15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b="1"/>
              <a:t>13 Week Staffing Plan | Graphical View</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'Staff Planner Estee'!$D$14</c:f>
              <c:strCache>
                <c:ptCount val="1"/>
                <c:pt idx="0">
                  <c:v>REQUIRED</c:v>
                </c:pt>
              </c:strCache>
            </c:strRef>
          </c:tx>
          <c:spPr>
            <a:ln w="31750" cap="rnd">
              <a:solidFill>
                <a:srgbClr val="FFC000"/>
              </a:solidFill>
              <a:round/>
            </a:ln>
            <a:effectLst/>
          </c:spPr>
          <c:marker>
            <c:symbol val="none"/>
          </c:marker>
          <c:cat>
            <c:numRef>
              <c:f>'Staff Planner Estee'!$E$13:$Q$13</c:f>
              <c:numCache>
                <c:formatCode>m/d;@</c:formatCode>
                <c:ptCount val="13"/>
                <c:pt idx="0">
                  <c:v>44569</c:v>
                </c:pt>
                <c:pt idx="1">
                  <c:v>44576</c:v>
                </c:pt>
                <c:pt idx="2">
                  <c:v>44583</c:v>
                </c:pt>
                <c:pt idx="3">
                  <c:v>44590</c:v>
                </c:pt>
                <c:pt idx="4">
                  <c:v>44597</c:v>
                </c:pt>
                <c:pt idx="5">
                  <c:v>44604</c:v>
                </c:pt>
                <c:pt idx="6">
                  <c:v>44611</c:v>
                </c:pt>
                <c:pt idx="7">
                  <c:v>44618</c:v>
                </c:pt>
                <c:pt idx="8">
                  <c:v>44625</c:v>
                </c:pt>
                <c:pt idx="9">
                  <c:v>44632</c:v>
                </c:pt>
                <c:pt idx="10">
                  <c:v>44639</c:v>
                </c:pt>
                <c:pt idx="11">
                  <c:v>44646</c:v>
                </c:pt>
                <c:pt idx="12">
                  <c:v>44653</c:v>
                </c:pt>
              </c:numCache>
            </c:numRef>
          </c:cat>
          <c:val>
            <c:numRef>
              <c:f>'Staff Planner Estee'!$E$14:$Q$14</c:f>
              <c:numCache>
                <c:formatCode>0</c:formatCode>
                <c:ptCount val="13"/>
                <c:pt idx="0">
                  <c:v>249.87427980826627</c:v>
                </c:pt>
                <c:pt idx="1">
                  <c:v>201.62188021282458</c:v>
                </c:pt>
                <c:pt idx="2">
                  <c:v>155.46952938763744</c:v>
                </c:pt>
                <c:pt idx="3">
                  <c:v>144.33803630258038</c:v>
                </c:pt>
                <c:pt idx="4">
                  <c:v>140.24692578653088</c:v>
                </c:pt>
                <c:pt idx="5">
                  <c:v>126.79178972963622</c:v>
                </c:pt>
                <c:pt idx="6">
                  <c:v>106.13914047926204</c:v>
                </c:pt>
                <c:pt idx="7">
                  <c:v>108.04928678209595</c:v>
                </c:pt>
                <c:pt idx="8">
                  <c:v>105.9595652187401</c:v>
                </c:pt>
                <c:pt idx="9">
                  <c:v>119.8533373436849</c:v>
                </c:pt>
                <c:pt idx="10">
                  <c:v>137.0115823231628</c:v>
                </c:pt>
                <c:pt idx="11">
                  <c:v>135.20353767463632</c:v>
                </c:pt>
                <c:pt idx="12">
                  <c:v>109.19592874846334</c:v>
                </c:pt>
              </c:numCache>
            </c:numRef>
          </c:val>
          <c:smooth val="0"/>
          <c:extLst>
            <c:ext xmlns:c16="http://schemas.microsoft.com/office/drawing/2014/chart" uri="{C3380CC4-5D6E-409C-BE32-E72D297353CC}">
              <c16:uniqueId val="{00000000-E877-40A8-8114-3F8EFCC473F9}"/>
            </c:ext>
          </c:extLst>
        </c:ser>
        <c:ser>
          <c:idx val="1"/>
          <c:order val="1"/>
          <c:tx>
            <c:strRef>
              <c:f>'Staff Planner Estee'!$D$15</c:f>
              <c:strCache>
                <c:ptCount val="1"/>
                <c:pt idx="0">
                  <c:v>ACTUAL</c:v>
                </c:pt>
              </c:strCache>
            </c:strRef>
          </c:tx>
          <c:spPr>
            <a:ln w="31750" cap="rnd">
              <a:solidFill>
                <a:schemeClr val="tx2">
                  <a:lumMod val="60000"/>
                  <a:lumOff val="40000"/>
                </a:schemeClr>
              </a:solidFill>
              <a:round/>
            </a:ln>
            <a:effectLst/>
          </c:spPr>
          <c:marker>
            <c:symbol val="none"/>
          </c:marker>
          <c:cat>
            <c:numRef>
              <c:f>'Staff Planner Estee'!$E$13:$Q$13</c:f>
              <c:numCache>
                <c:formatCode>m/d;@</c:formatCode>
                <c:ptCount val="13"/>
                <c:pt idx="0">
                  <c:v>44569</c:v>
                </c:pt>
                <c:pt idx="1">
                  <c:v>44576</c:v>
                </c:pt>
                <c:pt idx="2">
                  <c:v>44583</c:v>
                </c:pt>
                <c:pt idx="3">
                  <c:v>44590</c:v>
                </c:pt>
                <c:pt idx="4">
                  <c:v>44597</c:v>
                </c:pt>
                <c:pt idx="5">
                  <c:v>44604</c:v>
                </c:pt>
                <c:pt idx="6">
                  <c:v>44611</c:v>
                </c:pt>
                <c:pt idx="7">
                  <c:v>44618</c:v>
                </c:pt>
                <c:pt idx="8">
                  <c:v>44625</c:v>
                </c:pt>
                <c:pt idx="9">
                  <c:v>44632</c:v>
                </c:pt>
                <c:pt idx="10">
                  <c:v>44639</c:v>
                </c:pt>
                <c:pt idx="11">
                  <c:v>44646</c:v>
                </c:pt>
                <c:pt idx="12">
                  <c:v>44653</c:v>
                </c:pt>
              </c:numCache>
            </c:numRef>
          </c:cat>
          <c:val>
            <c:numRef>
              <c:f>'Staff Planner Estee'!$E$15:$Q$15</c:f>
              <c:numCache>
                <c:formatCode>0</c:formatCode>
                <c:ptCount val="13"/>
                <c:pt idx="0">
                  <c:v>284.58325000000002</c:v>
                </c:pt>
                <c:pt idx="1">
                  <c:v>277.46866875000001</c:v>
                </c:pt>
                <c:pt idx="2">
                  <c:v>270.53195203125</c:v>
                </c:pt>
                <c:pt idx="3">
                  <c:v>263.76865323046877</c:v>
                </c:pt>
                <c:pt idx="4">
                  <c:v>257.17443689970708</c:v>
                </c:pt>
                <c:pt idx="5">
                  <c:v>250.74507597721441</c:v>
                </c:pt>
                <c:pt idx="6">
                  <c:v>244.47644907778405</c:v>
                </c:pt>
                <c:pt idx="7">
                  <c:v>238.36453785083944</c:v>
                </c:pt>
                <c:pt idx="8">
                  <c:v>232.40542440456846</c:v>
                </c:pt>
                <c:pt idx="9">
                  <c:v>226.59528879445426</c:v>
                </c:pt>
                <c:pt idx="10">
                  <c:v>220.93040657459289</c:v>
                </c:pt>
                <c:pt idx="11">
                  <c:v>225.40714641022808</c:v>
                </c:pt>
                <c:pt idx="12">
                  <c:v>219.77196774997239</c:v>
                </c:pt>
              </c:numCache>
            </c:numRef>
          </c:val>
          <c:smooth val="0"/>
          <c:extLst>
            <c:ext xmlns:c16="http://schemas.microsoft.com/office/drawing/2014/chart" uri="{C3380CC4-5D6E-409C-BE32-E72D297353CC}">
              <c16:uniqueId val="{00000001-E877-40A8-8114-3F8EFCC473F9}"/>
            </c:ext>
          </c:extLst>
        </c:ser>
        <c:dLbls>
          <c:showLegendKey val="0"/>
          <c:showVal val="0"/>
          <c:showCatName val="0"/>
          <c:showSerName val="0"/>
          <c:showPercent val="0"/>
          <c:showBubbleSize val="0"/>
        </c:dLbls>
        <c:smooth val="0"/>
        <c:axId val="1437169583"/>
        <c:axId val="1437173743"/>
      </c:lineChart>
      <c:dateAx>
        <c:axId val="1437169583"/>
        <c:scaling>
          <c:orientation val="minMax"/>
        </c:scaling>
        <c:delete val="0"/>
        <c:axPos val="b"/>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1437173743"/>
        <c:crosses val="autoZero"/>
        <c:auto val="1"/>
        <c:lblOffset val="100"/>
        <c:baseTimeUnit val="days"/>
      </c:dateAx>
      <c:valAx>
        <c:axId val="14371737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1437169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3175" cap="flat" cmpd="sng" algn="ctr">
      <a:solidFill>
        <a:schemeClr val="tx1"/>
      </a:solidFill>
      <a:round/>
    </a:ln>
    <a:effectLst/>
  </c:spPr>
  <c:txPr>
    <a:bodyPr/>
    <a:lstStyle/>
    <a:p>
      <a:pPr>
        <a:defRPr sz="15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b="1"/>
              <a:t>26 Week Staffing Plan | Graphical View</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'Staff Planner Lauder'!$D$3</c:f>
              <c:strCache>
                <c:ptCount val="1"/>
                <c:pt idx="0">
                  <c:v>Required FTE</c:v>
                </c:pt>
              </c:strCache>
            </c:strRef>
          </c:tx>
          <c:spPr>
            <a:ln w="31750" cap="rnd">
              <a:solidFill>
                <a:srgbClr val="FFC000"/>
              </a:solidFill>
              <a:round/>
            </a:ln>
            <a:effectLst/>
          </c:spPr>
          <c:marker>
            <c:symbol val="none"/>
          </c:marker>
          <c:cat>
            <c:numRef>
              <c:f>'Staff Planner Lauder'!$E$2:$AD$2</c:f>
              <c:numCache>
                <c:formatCode>m/d;@</c:formatCode>
                <c:ptCount val="26"/>
                <c:pt idx="0">
                  <c:v>44569</c:v>
                </c:pt>
                <c:pt idx="1">
                  <c:v>44576</c:v>
                </c:pt>
                <c:pt idx="2">
                  <c:v>44583</c:v>
                </c:pt>
                <c:pt idx="3">
                  <c:v>44590</c:v>
                </c:pt>
                <c:pt idx="4">
                  <c:v>44597</c:v>
                </c:pt>
                <c:pt idx="5">
                  <c:v>44604</c:v>
                </c:pt>
                <c:pt idx="6">
                  <c:v>44611</c:v>
                </c:pt>
                <c:pt idx="7">
                  <c:v>44618</c:v>
                </c:pt>
                <c:pt idx="8">
                  <c:v>44625</c:v>
                </c:pt>
                <c:pt idx="9">
                  <c:v>44632</c:v>
                </c:pt>
                <c:pt idx="10">
                  <c:v>44639</c:v>
                </c:pt>
                <c:pt idx="11">
                  <c:v>44646</c:v>
                </c:pt>
                <c:pt idx="12">
                  <c:v>44653</c:v>
                </c:pt>
                <c:pt idx="13">
                  <c:v>44660</c:v>
                </c:pt>
                <c:pt idx="14">
                  <c:v>44667</c:v>
                </c:pt>
                <c:pt idx="15">
                  <c:v>44674</c:v>
                </c:pt>
                <c:pt idx="16">
                  <c:v>44681</c:v>
                </c:pt>
                <c:pt idx="17">
                  <c:v>44688</c:v>
                </c:pt>
                <c:pt idx="18">
                  <c:v>44695</c:v>
                </c:pt>
                <c:pt idx="19">
                  <c:v>44702</c:v>
                </c:pt>
                <c:pt idx="20">
                  <c:v>44709</c:v>
                </c:pt>
                <c:pt idx="21">
                  <c:v>44716</c:v>
                </c:pt>
                <c:pt idx="22">
                  <c:v>44723</c:v>
                </c:pt>
                <c:pt idx="23">
                  <c:v>44730</c:v>
                </c:pt>
                <c:pt idx="24">
                  <c:v>44737</c:v>
                </c:pt>
                <c:pt idx="25">
                  <c:v>44744</c:v>
                </c:pt>
              </c:numCache>
            </c:numRef>
          </c:cat>
          <c:val>
            <c:numRef>
              <c:f>'Staff Planner Lauder'!$E$3:$AD$3</c:f>
              <c:numCache>
                <c:formatCode>0</c:formatCode>
                <c:ptCount val="26"/>
                <c:pt idx="0">
                  <c:v>159.06764704412336</c:v>
                </c:pt>
                <c:pt idx="1">
                  <c:v>126.31620223362204</c:v>
                </c:pt>
                <c:pt idx="2">
                  <c:v>100.44613295975923</c:v>
                </c:pt>
                <c:pt idx="3">
                  <c:v>93.745229847815708</c:v>
                </c:pt>
                <c:pt idx="4">
                  <c:v>90.486302304400155</c:v>
                </c:pt>
                <c:pt idx="5">
                  <c:v>83.130437359950278</c:v>
                </c:pt>
                <c:pt idx="6">
                  <c:v>71.285459441641379</c:v>
                </c:pt>
                <c:pt idx="7">
                  <c:v>71.731977273945304</c:v>
                </c:pt>
                <c:pt idx="8">
                  <c:v>73.310413596101696</c:v>
                </c:pt>
                <c:pt idx="9">
                  <c:v>82.058140475662725</c:v>
                </c:pt>
                <c:pt idx="10">
                  <c:v>93.080055924258289</c:v>
                </c:pt>
                <c:pt idx="11">
                  <c:v>91.268020427659621</c:v>
                </c:pt>
                <c:pt idx="12">
                  <c:v>74.988215979864549</c:v>
                </c:pt>
                <c:pt idx="13">
                  <c:v>75.477763562647311</c:v>
                </c:pt>
                <c:pt idx="14">
                  <c:v>78.235999022723107</c:v>
                </c:pt>
                <c:pt idx="15">
                  <c:v>81.835004965254527</c:v>
                </c:pt>
                <c:pt idx="16">
                  <c:v>83.585550964607094</c:v>
                </c:pt>
                <c:pt idx="17">
                  <c:v>91.175361137559662</c:v>
                </c:pt>
                <c:pt idx="18">
                  <c:v>89.680904184240688</c:v>
                </c:pt>
                <c:pt idx="19">
                  <c:v>93.633894390432587</c:v>
                </c:pt>
                <c:pt idx="20">
                  <c:v>86.162778989107508</c:v>
                </c:pt>
                <c:pt idx="21">
                  <c:v>78.77337088345557</c:v>
                </c:pt>
                <c:pt idx="22">
                  <c:v>93.905472097122811</c:v>
                </c:pt>
                <c:pt idx="23">
                  <c:v>89.415782110306338</c:v>
                </c:pt>
                <c:pt idx="24">
                  <c:v>84.943740055544424</c:v>
                </c:pt>
                <c:pt idx="25">
                  <c:v>72.673222836262909</c:v>
                </c:pt>
              </c:numCache>
            </c:numRef>
          </c:val>
          <c:smooth val="0"/>
          <c:extLst>
            <c:ext xmlns:c16="http://schemas.microsoft.com/office/drawing/2014/chart" uri="{C3380CC4-5D6E-409C-BE32-E72D297353CC}">
              <c16:uniqueId val="{00000000-44DA-46A0-ABB9-90190CB416FC}"/>
            </c:ext>
          </c:extLst>
        </c:ser>
        <c:ser>
          <c:idx val="1"/>
          <c:order val="1"/>
          <c:tx>
            <c:strRef>
              <c:f>'Staff Planner Lauder'!$D$4</c:f>
              <c:strCache>
                <c:ptCount val="1"/>
                <c:pt idx="0">
                  <c:v>Actual FTE</c:v>
                </c:pt>
              </c:strCache>
            </c:strRef>
          </c:tx>
          <c:spPr>
            <a:ln w="31750" cap="rnd">
              <a:solidFill>
                <a:schemeClr val="tx2">
                  <a:lumMod val="60000"/>
                  <a:lumOff val="40000"/>
                </a:schemeClr>
              </a:solidFill>
              <a:round/>
            </a:ln>
            <a:effectLst/>
          </c:spPr>
          <c:marker>
            <c:symbol val="none"/>
          </c:marker>
          <c:cat>
            <c:numRef>
              <c:f>'Staff Planner Lauder'!$E$2:$AD$2</c:f>
              <c:numCache>
                <c:formatCode>m/d;@</c:formatCode>
                <c:ptCount val="26"/>
                <c:pt idx="0">
                  <c:v>44569</c:v>
                </c:pt>
                <c:pt idx="1">
                  <c:v>44576</c:v>
                </c:pt>
                <c:pt idx="2">
                  <c:v>44583</c:v>
                </c:pt>
                <c:pt idx="3">
                  <c:v>44590</c:v>
                </c:pt>
                <c:pt idx="4">
                  <c:v>44597</c:v>
                </c:pt>
                <c:pt idx="5">
                  <c:v>44604</c:v>
                </c:pt>
                <c:pt idx="6">
                  <c:v>44611</c:v>
                </c:pt>
                <c:pt idx="7">
                  <c:v>44618</c:v>
                </c:pt>
                <c:pt idx="8">
                  <c:v>44625</c:v>
                </c:pt>
                <c:pt idx="9">
                  <c:v>44632</c:v>
                </c:pt>
                <c:pt idx="10">
                  <c:v>44639</c:v>
                </c:pt>
                <c:pt idx="11">
                  <c:v>44646</c:v>
                </c:pt>
                <c:pt idx="12">
                  <c:v>44653</c:v>
                </c:pt>
                <c:pt idx="13">
                  <c:v>44660</c:v>
                </c:pt>
                <c:pt idx="14">
                  <c:v>44667</c:v>
                </c:pt>
                <c:pt idx="15">
                  <c:v>44674</c:v>
                </c:pt>
                <c:pt idx="16">
                  <c:v>44681</c:v>
                </c:pt>
                <c:pt idx="17">
                  <c:v>44688</c:v>
                </c:pt>
                <c:pt idx="18">
                  <c:v>44695</c:v>
                </c:pt>
                <c:pt idx="19">
                  <c:v>44702</c:v>
                </c:pt>
                <c:pt idx="20">
                  <c:v>44709</c:v>
                </c:pt>
                <c:pt idx="21">
                  <c:v>44716</c:v>
                </c:pt>
                <c:pt idx="22">
                  <c:v>44723</c:v>
                </c:pt>
                <c:pt idx="23">
                  <c:v>44730</c:v>
                </c:pt>
                <c:pt idx="24">
                  <c:v>44737</c:v>
                </c:pt>
                <c:pt idx="25">
                  <c:v>44744</c:v>
                </c:pt>
              </c:numCache>
            </c:numRef>
          </c:cat>
          <c:val>
            <c:numRef>
              <c:f>'Staff Planner Lauder'!$E$4:$AD$4</c:f>
              <c:numCache>
                <c:formatCode>0</c:formatCode>
                <c:ptCount val="26"/>
                <c:pt idx="0">
                  <c:v>181.88749999999999</c:v>
                </c:pt>
                <c:pt idx="1">
                  <c:v>177.34031249999998</c:v>
                </c:pt>
                <c:pt idx="2">
                  <c:v>122.90680468749997</c:v>
                </c:pt>
                <c:pt idx="3">
                  <c:v>119.83413457031247</c:v>
                </c:pt>
                <c:pt idx="4">
                  <c:v>116.83828120605466</c:v>
                </c:pt>
                <c:pt idx="5">
                  <c:v>88.917324175903289</c:v>
                </c:pt>
                <c:pt idx="6">
                  <c:v>86.694391071505706</c:v>
                </c:pt>
                <c:pt idx="7">
                  <c:v>84.527031294718057</c:v>
                </c:pt>
                <c:pt idx="8">
                  <c:v>82.413855512350111</c:v>
                </c:pt>
                <c:pt idx="9">
                  <c:v>95.353509124541361</c:v>
                </c:pt>
                <c:pt idx="10">
                  <c:v>92.969671396427827</c:v>
                </c:pt>
                <c:pt idx="11">
                  <c:v>90.64542961151713</c:v>
                </c:pt>
                <c:pt idx="12">
                  <c:v>88.379293871229208</c:v>
                </c:pt>
                <c:pt idx="13">
                  <c:v>86.169811524448477</c:v>
                </c:pt>
                <c:pt idx="14">
                  <c:v>84.015566236337264</c:v>
                </c:pt>
                <c:pt idx="15">
                  <c:v>101.91517708042883</c:v>
                </c:pt>
                <c:pt idx="16">
                  <c:v>99.367297653418106</c:v>
                </c:pt>
                <c:pt idx="17">
                  <c:v>96.883115212082657</c:v>
                </c:pt>
                <c:pt idx="18">
                  <c:v>94.461037331780588</c:v>
                </c:pt>
                <c:pt idx="19">
                  <c:v>92.099511398486072</c:v>
                </c:pt>
                <c:pt idx="20">
                  <c:v>84.797023613523919</c:v>
                </c:pt>
                <c:pt idx="21">
                  <c:v>82.67709802318582</c:v>
                </c:pt>
                <c:pt idx="22">
                  <c:v>80.610170572606179</c:v>
                </c:pt>
                <c:pt idx="23">
                  <c:v>78.594916308291019</c:v>
                </c:pt>
                <c:pt idx="24">
                  <c:v>76.630043400583745</c:v>
                </c:pt>
                <c:pt idx="25">
                  <c:v>74.714292315569153</c:v>
                </c:pt>
              </c:numCache>
            </c:numRef>
          </c:val>
          <c:smooth val="0"/>
          <c:extLst>
            <c:ext xmlns:c16="http://schemas.microsoft.com/office/drawing/2014/chart" uri="{C3380CC4-5D6E-409C-BE32-E72D297353CC}">
              <c16:uniqueId val="{00000001-44DA-46A0-ABB9-90190CB416FC}"/>
            </c:ext>
          </c:extLst>
        </c:ser>
        <c:dLbls>
          <c:showLegendKey val="0"/>
          <c:showVal val="0"/>
          <c:showCatName val="0"/>
          <c:showSerName val="0"/>
          <c:showPercent val="0"/>
          <c:showBubbleSize val="0"/>
        </c:dLbls>
        <c:smooth val="0"/>
        <c:axId val="1437003279"/>
        <c:axId val="1437009103"/>
      </c:lineChart>
      <c:dateAx>
        <c:axId val="1437003279"/>
        <c:scaling>
          <c:orientation val="minMax"/>
        </c:scaling>
        <c:delete val="0"/>
        <c:axPos val="b"/>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1437009103"/>
        <c:crosses val="autoZero"/>
        <c:auto val="1"/>
        <c:lblOffset val="100"/>
        <c:baseTimeUnit val="days"/>
      </c:dateAx>
      <c:valAx>
        <c:axId val="143700910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14370032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3175" cap="flat" cmpd="sng" algn="ctr">
      <a:solidFill>
        <a:schemeClr val="tx1"/>
      </a:solidFill>
      <a:round/>
    </a:ln>
    <a:effectLst/>
  </c:spPr>
  <c:txPr>
    <a:bodyPr/>
    <a:lstStyle/>
    <a:p>
      <a:pPr>
        <a:defRPr sz="15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0</xdr:colOff>
      <xdr:row>22</xdr:row>
      <xdr:rowOff>0</xdr:rowOff>
    </xdr:from>
    <xdr:to>
      <xdr:col>17</xdr:col>
      <xdr:colOff>0</xdr:colOff>
      <xdr:row>39</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xdr:colOff>
      <xdr:row>11</xdr:row>
      <xdr:rowOff>1</xdr:rowOff>
    </xdr:from>
    <xdr:to>
      <xdr:col>34</xdr:col>
      <xdr:colOff>0</xdr:colOff>
      <xdr:row>39</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22</xdr:row>
      <xdr:rowOff>0</xdr:rowOff>
    </xdr:from>
    <xdr:to>
      <xdr:col>17</xdr:col>
      <xdr:colOff>0</xdr:colOff>
      <xdr:row>39</xdr:row>
      <xdr:rowOff>0</xdr:rowOff>
    </xdr:to>
    <xdr:graphicFrame macro="">
      <xdr:nvGraphicFramePr>
        <xdr:cNvPr id="2" name="Chart 1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xdr:colOff>
      <xdr:row>11</xdr:row>
      <xdr:rowOff>1</xdr:rowOff>
    </xdr:from>
    <xdr:to>
      <xdr:col>34</xdr:col>
      <xdr:colOff>0</xdr:colOff>
      <xdr:row>39</xdr:row>
      <xdr:rowOff>0</xdr:rowOff>
    </xdr:to>
    <xdr:graphicFrame macro="">
      <xdr:nvGraphicFramePr>
        <xdr:cNvPr id="3" name="Chart 2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19050</xdr:rowOff>
        </xdr:from>
        <xdr:to>
          <xdr:col>1</xdr:col>
          <xdr:colOff>695325</xdr:colOff>
          <xdr:row>5</xdr:row>
          <xdr:rowOff>0</xdr:rowOff>
        </xdr:to>
        <xdr:sp macro="" textlink="">
          <xdr:nvSpPr>
            <xdr:cNvPr id="82953" name="Button 9" hidden="1">
              <a:extLst>
                <a:ext uri="{63B3BB69-23CF-44E3-9099-C40C66FF867C}">
                  <a14:compatExt spid="_x0000_s82953"/>
                </a:ext>
                <a:ext uri="{FF2B5EF4-FFF2-40B4-BE49-F238E27FC236}">
                  <a16:creationId xmlns:a16="http://schemas.microsoft.com/office/drawing/2014/main" id="{00000000-0008-0000-0200-0000094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Copy to Old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5</xdr:row>
          <xdr:rowOff>76200</xdr:rowOff>
        </xdr:from>
        <xdr:to>
          <xdr:col>1</xdr:col>
          <xdr:colOff>695325</xdr:colOff>
          <xdr:row>6</xdr:row>
          <xdr:rowOff>171450</xdr:rowOff>
        </xdr:to>
        <xdr:sp macro="" textlink="">
          <xdr:nvSpPr>
            <xdr:cNvPr id="82954" name="Button 2" hidden="1">
              <a:extLst>
                <a:ext uri="{63B3BB69-23CF-44E3-9099-C40C66FF867C}">
                  <a14:compatExt spid="_x0000_s82954"/>
                </a:ext>
                <a:ext uri="{FF2B5EF4-FFF2-40B4-BE49-F238E27FC236}">
                  <a16:creationId xmlns:a16="http://schemas.microsoft.com/office/drawing/2014/main" id="{00000000-0008-0000-0200-00000A4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FETCH FSP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7</xdr:row>
          <xdr:rowOff>66675</xdr:rowOff>
        </xdr:from>
        <xdr:to>
          <xdr:col>1</xdr:col>
          <xdr:colOff>695325</xdr:colOff>
          <xdr:row>8</xdr:row>
          <xdr:rowOff>171450</xdr:rowOff>
        </xdr:to>
        <xdr:sp macro="" textlink="">
          <xdr:nvSpPr>
            <xdr:cNvPr id="82955" name="Button 11" hidden="1">
              <a:extLst>
                <a:ext uri="{63B3BB69-23CF-44E3-9099-C40C66FF867C}">
                  <a14:compatExt spid="_x0000_s82955"/>
                </a:ext>
                <a:ext uri="{FF2B5EF4-FFF2-40B4-BE49-F238E27FC236}">
                  <a16:creationId xmlns:a16="http://schemas.microsoft.com/office/drawing/2014/main" id="{00000000-0008-0000-0200-00000B4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CopyLiveForecast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D21"/>
  <sheetViews>
    <sheetView showGridLines="0" tabSelected="1" zoomScale="70" zoomScaleNormal="70" workbookViewId="0">
      <selection activeCell="E3" sqref="E3"/>
    </sheetView>
  </sheetViews>
  <sheetFormatPr defaultRowHeight="15" x14ac:dyDescent="0.25"/>
  <cols>
    <col min="1" max="1" width="3.7109375" style="6" customWidth="1"/>
    <col min="2" max="2" width="19" style="6" customWidth="1"/>
    <col min="3" max="3" width="3.7109375" style="6" customWidth="1"/>
    <col min="4" max="4" width="16.140625" style="6" customWidth="1"/>
    <col min="5" max="6" width="9.5703125" style="6" bestFit="1" customWidth="1"/>
    <col min="7" max="16384" width="9.140625" style="6"/>
  </cols>
  <sheetData>
    <row r="1" spans="1:56" ht="34.5" customHeight="1" thickBot="1" x14ac:dyDescent="0.3">
      <c r="A1" s="4" t="s">
        <v>15</v>
      </c>
      <c r="C1" s="4"/>
      <c r="D1" s="31" t="s">
        <v>14</v>
      </c>
      <c r="AD1" s="8"/>
    </row>
    <row r="2" spans="1:56" ht="24" thickBot="1" x14ac:dyDescent="0.3">
      <c r="A2" s="4"/>
      <c r="B2" s="11" t="s">
        <v>3</v>
      </c>
      <c r="C2" s="4"/>
      <c r="D2" s="9"/>
      <c r="E2" s="10">
        <v>44569</v>
      </c>
      <c r="F2" s="10">
        <f>E2+7</f>
        <v>44576</v>
      </c>
      <c r="G2" s="10">
        <f t="shared" ref="G2:AG2" si="0">F2+7</f>
        <v>44583</v>
      </c>
      <c r="H2" s="10">
        <f t="shared" si="0"/>
        <v>44590</v>
      </c>
      <c r="I2" s="10">
        <f t="shared" si="0"/>
        <v>44597</v>
      </c>
      <c r="J2" s="10">
        <f t="shared" si="0"/>
        <v>44604</v>
      </c>
      <c r="K2" s="10">
        <f t="shared" si="0"/>
        <v>44611</v>
      </c>
      <c r="L2" s="10">
        <f t="shared" si="0"/>
        <v>44618</v>
      </c>
      <c r="M2" s="10">
        <f t="shared" si="0"/>
        <v>44625</v>
      </c>
      <c r="N2" s="10">
        <f t="shared" si="0"/>
        <v>44632</v>
      </c>
      <c r="O2" s="10">
        <f t="shared" si="0"/>
        <v>44639</v>
      </c>
      <c r="P2" s="10">
        <f t="shared" si="0"/>
        <v>44646</v>
      </c>
      <c r="Q2" s="10">
        <f t="shared" si="0"/>
        <v>44653</v>
      </c>
      <c r="R2" s="10">
        <f t="shared" si="0"/>
        <v>44660</v>
      </c>
      <c r="S2" s="10">
        <f t="shared" si="0"/>
        <v>44667</v>
      </c>
      <c r="T2" s="10">
        <f t="shared" si="0"/>
        <v>44674</v>
      </c>
      <c r="U2" s="10">
        <f t="shared" si="0"/>
        <v>44681</v>
      </c>
      <c r="V2" s="10">
        <f t="shared" si="0"/>
        <v>44688</v>
      </c>
      <c r="W2" s="10">
        <f t="shared" si="0"/>
        <v>44695</v>
      </c>
      <c r="X2" s="10">
        <f t="shared" si="0"/>
        <v>44702</v>
      </c>
      <c r="Y2" s="10">
        <f t="shared" si="0"/>
        <v>44709</v>
      </c>
      <c r="Z2" s="10">
        <f t="shared" si="0"/>
        <v>44716</v>
      </c>
      <c r="AA2" s="10">
        <f t="shared" si="0"/>
        <v>44723</v>
      </c>
      <c r="AB2" s="10">
        <f t="shared" si="0"/>
        <v>44730</v>
      </c>
      <c r="AC2" s="10">
        <f t="shared" si="0"/>
        <v>44737</v>
      </c>
      <c r="AD2" s="35">
        <f t="shared" si="0"/>
        <v>44744</v>
      </c>
      <c r="AE2" s="32">
        <f t="shared" si="0"/>
        <v>44751</v>
      </c>
      <c r="AF2" s="10">
        <f t="shared" si="0"/>
        <v>44758</v>
      </c>
      <c r="AG2" s="10">
        <f t="shared" si="0"/>
        <v>44765</v>
      </c>
      <c r="AH2" s="10">
        <f>AG2+7</f>
        <v>44772</v>
      </c>
      <c r="AI2" s="10">
        <f t="shared" ref="AI2:BD2" si="1">AH2+7</f>
        <v>44779</v>
      </c>
      <c r="AJ2" s="10">
        <f t="shared" si="1"/>
        <v>44786</v>
      </c>
      <c r="AK2" s="10">
        <f t="shared" si="1"/>
        <v>44793</v>
      </c>
      <c r="AL2" s="10">
        <f t="shared" si="1"/>
        <v>44800</v>
      </c>
      <c r="AM2" s="10">
        <f t="shared" si="1"/>
        <v>44807</v>
      </c>
      <c r="AN2" s="10">
        <f t="shared" si="1"/>
        <v>44814</v>
      </c>
      <c r="AO2" s="10">
        <f t="shared" si="1"/>
        <v>44821</v>
      </c>
      <c r="AP2" s="10">
        <f t="shared" si="1"/>
        <v>44828</v>
      </c>
      <c r="AQ2" s="10">
        <f t="shared" si="1"/>
        <v>44835</v>
      </c>
      <c r="AR2" s="10">
        <f t="shared" si="1"/>
        <v>44842</v>
      </c>
      <c r="AS2" s="10">
        <f t="shared" si="1"/>
        <v>44849</v>
      </c>
      <c r="AT2" s="10">
        <f t="shared" si="1"/>
        <v>44856</v>
      </c>
      <c r="AU2" s="10">
        <f t="shared" si="1"/>
        <v>44863</v>
      </c>
      <c r="AV2" s="10">
        <f t="shared" si="1"/>
        <v>44870</v>
      </c>
      <c r="AW2" s="10">
        <f t="shared" si="1"/>
        <v>44877</v>
      </c>
      <c r="AX2" s="10">
        <f t="shared" si="1"/>
        <v>44884</v>
      </c>
      <c r="AY2" s="10">
        <f t="shared" si="1"/>
        <v>44891</v>
      </c>
      <c r="AZ2" s="10">
        <f t="shared" si="1"/>
        <v>44898</v>
      </c>
      <c r="BA2" s="10">
        <f t="shared" si="1"/>
        <v>44905</v>
      </c>
      <c r="BB2" s="10">
        <f t="shared" si="1"/>
        <v>44912</v>
      </c>
      <c r="BC2" s="10">
        <f t="shared" si="1"/>
        <v>44919</v>
      </c>
      <c r="BD2" s="10">
        <f t="shared" si="1"/>
        <v>44926</v>
      </c>
    </row>
    <row r="3" spans="1:56" ht="18" thickTop="1" thickBot="1" x14ac:dyDescent="0.3">
      <c r="A3" s="4"/>
      <c r="B3" s="13">
        <f>EsteeNew!E146</f>
        <v>284.58325000000002</v>
      </c>
      <c r="C3" s="5"/>
      <c r="D3" s="12" t="s">
        <v>1</v>
      </c>
      <c r="E3" s="2">
        <f>EsteeNew!E124</f>
        <v>249.87427980826627</v>
      </c>
      <c r="F3" s="2">
        <f>EsteeNew!F124</f>
        <v>201.62188021282458</v>
      </c>
      <c r="G3" s="2">
        <f>EsteeNew!G124</f>
        <v>155.46952938763744</v>
      </c>
      <c r="H3" s="2">
        <f>EsteeNew!H124</f>
        <v>144.33803630258038</v>
      </c>
      <c r="I3" s="2">
        <f>EsteeNew!I124</f>
        <v>140.24692578653088</v>
      </c>
      <c r="J3" s="2">
        <f>EsteeNew!J124</f>
        <v>126.79178972963622</v>
      </c>
      <c r="K3" s="2">
        <f>EsteeNew!K124</f>
        <v>106.13914047926204</v>
      </c>
      <c r="L3" s="2">
        <f>EsteeNew!L124</f>
        <v>108.04928678209595</v>
      </c>
      <c r="M3" s="2">
        <f>EsteeNew!M124</f>
        <v>105.9595652187401</v>
      </c>
      <c r="N3" s="2">
        <f>EsteeNew!N124</f>
        <v>119.8533373436849</v>
      </c>
      <c r="O3" s="2">
        <f>EsteeNew!O124</f>
        <v>137.0115823231628</v>
      </c>
      <c r="P3" s="2">
        <f>EsteeNew!P124</f>
        <v>135.20353767463632</v>
      </c>
      <c r="Q3" s="2">
        <f>EsteeNew!Q124</f>
        <v>109.19592874846334</v>
      </c>
      <c r="R3" s="2">
        <f>EsteeNew!R124</f>
        <v>108.54796033034026</v>
      </c>
      <c r="S3" s="2">
        <f>EsteeNew!S124</f>
        <v>110.62473215238691</v>
      </c>
      <c r="T3" s="2">
        <f>EsteeNew!T124</f>
        <v>117.15182614647193</v>
      </c>
      <c r="U3" s="2">
        <f>EsteeNew!U124</f>
        <v>119.09950234361399</v>
      </c>
      <c r="V3" s="2">
        <f>EsteeNew!V124</f>
        <v>132.88963537492486</v>
      </c>
      <c r="W3" s="2">
        <f>EsteeNew!W124</f>
        <v>129.50520628507985</v>
      </c>
      <c r="X3" s="2">
        <f>EsteeNew!X124</f>
        <v>125.39405672982889</v>
      </c>
      <c r="Y3" s="2">
        <f>EsteeNew!Y124</f>
        <v>115.30115800558292</v>
      </c>
      <c r="Z3" s="2">
        <f>EsteeNew!Z124</f>
        <v>108.48277268008147</v>
      </c>
      <c r="AA3" s="2">
        <f>EsteeNew!AA124</f>
        <v>122.86879912650537</v>
      </c>
      <c r="AB3" s="2">
        <f>EsteeNew!AB124</f>
        <v>116.58497062303621</v>
      </c>
      <c r="AC3" s="2">
        <f>EsteeNew!AC124</f>
        <v>109.17896167043004</v>
      </c>
      <c r="AD3" s="2">
        <f>EsteeNew!AD124</f>
        <v>98.283482783351161</v>
      </c>
      <c r="AE3" s="2">
        <f>EsteeNew!AE124</f>
        <v>88.902252036035335</v>
      </c>
      <c r="AF3" s="2">
        <f>EsteeNew!AF124</f>
        <v>98.313448150056587</v>
      </c>
      <c r="AG3" s="2">
        <f>EsteeNew!AG124</f>
        <v>88.421181321601921</v>
      </c>
      <c r="AH3" s="2">
        <f>EsteeNew!AH124</f>
        <v>105.06704628713175</v>
      </c>
      <c r="AI3" s="2">
        <f>EsteeNew!AI124</f>
        <v>107.5435984981457</v>
      </c>
      <c r="AJ3" s="2">
        <f>EsteeNew!AJ124</f>
        <v>120.07002632559352</v>
      </c>
      <c r="AK3" s="2">
        <f>EsteeNew!AK124</f>
        <v>123.52024626738829</v>
      </c>
      <c r="AL3" s="2">
        <f>EsteeNew!AL124</f>
        <v>122.19362939985659</v>
      </c>
      <c r="AM3" s="2">
        <f>EsteeNew!AM124</f>
        <v>119.8388776617407</v>
      </c>
      <c r="AN3" s="2">
        <f>EsteeNew!AN124</f>
        <v>106.06564971073982</v>
      </c>
      <c r="AO3" s="2">
        <f>EsteeNew!AO124</f>
        <v>107.87311840636296</v>
      </c>
      <c r="AP3" s="2">
        <f>EsteeNew!AP124</f>
        <v>113.66889010142197</v>
      </c>
      <c r="AQ3" s="2">
        <f>EsteeNew!AQ124</f>
        <v>124.07234655411494</v>
      </c>
      <c r="AR3" s="2">
        <f>EsteeNew!AR124</f>
        <v>122.30813145818615</v>
      </c>
      <c r="AS3" s="2">
        <f>EsteeNew!AS124</f>
        <v>128.46477442636728</v>
      </c>
      <c r="AT3" s="2">
        <f>EsteeNew!AT124</f>
        <v>131.69029967624681</v>
      </c>
      <c r="AU3" s="2">
        <f>EsteeNew!AU124</f>
        <v>143.07045109069435</v>
      </c>
      <c r="AV3" s="2">
        <f>EsteeNew!AV124</f>
        <v>169.42938608838841</v>
      </c>
      <c r="AW3" s="2">
        <f>EsteeNew!AW124</f>
        <v>193.87844468306861</v>
      </c>
      <c r="AX3" s="2">
        <f>EsteeNew!AX124</f>
        <v>194.69629198562754</v>
      </c>
      <c r="AY3" s="2">
        <f>EsteeNew!AY124</f>
        <v>365.53476582566282</v>
      </c>
      <c r="AZ3" s="2">
        <f>EsteeNew!AZ124</f>
        <v>484.2813691989254</v>
      </c>
      <c r="BA3" s="2">
        <f>EsteeNew!BA124</f>
        <v>443.85058800388163</v>
      </c>
      <c r="BB3" s="2">
        <f>EsteeNew!BB124</f>
        <v>383.56304163807181</v>
      </c>
      <c r="BC3" s="2">
        <f>EsteeNew!BC124</f>
        <v>233.16722144957401</v>
      </c>
      <c r="BD3" s="2">
        <f>EsteeNew!BD124</f>
        <v>205.39800031216487</v>
      </c>
    </row>
    <row r="4" spans="1:56" ht="17.25" thickBot="1" x14ac:dyDescent="0.3">
      <c r="A4" s="4"/>
      <c r="B4" s="7"/>
      <c r="C4" s="5"/>
      <c r="D4" s="14" t="s">
        <v>2</v>
      </c>
      <c r="E4" s="2">
        <f>IF(B3=0,"",B3+SUM(E10))</f>
        <v>284.58325000000002</v>
      </c>
      <c r="F4" s="2">
        <f>IF($B$3=0,"",(E4-(E4*$B$6))+SUM(F10))</f>
        <v>277.46866875000001</v>
      </c>
      <c r="G4" s="2">
        <f t="shared" ref="G4:AD4" si="2">IF($B$3=0,"",(F4-(F4*$B$6))+SUM(G10))</f>
        <v>270.53195203125</v>
      </c>
      <c r="H4" s="2">
        <f t="shared" si="2"/>
        <v>263.76865323046877</v>
      </c>
      <c r="I4" s="2">
        <f t="shared" si="2"/>
        <v>257.17443689970708</v>
      </c>
      <c r="J4" s="2">
        <f t="shared" si="2"/>
        <v>250.74507597721441</v>
      </c>
      <c r="K4" s="2">
        <f>IF($B$3=0,"",(J4-(J4*$B$6))+SUM(K10))</f>
        <v>244.47644907778405</v>
      </c>
      <c r="L4" s="2">
        <f t="shared" si="2"/>
        <v>238.36453785083944</v>
      </c>
      <c r="M4" s="2">
        <f t="shared" si="2"/>
        <v>232.40542440456846</v>
      </c>
      <c r="N4" s="2">
        <f t="shared" si="2"/>
        <v>226.59528879445426</v>
      </c>
      <c r="O4" s="2">
        <f t="shared" si="2"/>
        <v>220.93040657459289</v>
      </c>
      <c r="P4" s="2">
        <f t="shared" si="2"/>
        <v>225.40714641022808</v>
      </c>
      <c r="Q4" s="2">
        <f t="shared" si="2"/>
        <v>219.77196774997239</v>
      </c>
      <c r="R4" s="2">
        <f t="shared" si="2"/>
        <v>214.27766855622309</v>
      </c>
      <c r="S4" s="2">
        <f t="shared" si="2"/>
        <v>208.92072684231752</v>
      </c>
      <c r="T4" s="2">
        <f t="shared" si="2"/>
        <v>243.69770867125959</v>
      </c>
      <c r="U4" s="2">
        <f t="shared" si="2"/>
        <v>237.60526595447811</v>
      </c>
      <c r="V4" s="2">
        <f t="shared" si="2"/>
        <v>231.66513430561616</v>
      </c>
      <c r="W4" s="2">
        <f t="shared" si="2"/>
        <v>255.87350594797576</v>
      </c>
      <c r="X4" s="2">
        <f t="shared" si="2"/>
        <v>249.47666829927635</v>
      </c>
      <c r="Y4" s="2">
        <f t="shared" si="2"/>
        <v>243.23975159179446</v>
      </c>
      <c r="Z4" s="2">
        <f t="shared" si="2"/>
        <v>237.1587578019996</v>
      </c>
      <c r="AA4" s="2">
        <f t="shared" si="2"/>
        <v>231.2297888569496</v>
      </c>
      <c r="AB4" s="2">
        <f t="shared" si="2"/>
        <v>225.44904413552587</v>
      </c>
      <c r="AC4" s="2">
        <f t="shared" si="2"/>
        <v>249.81281803213773</v>
      </c>
      <c r="AD4" s="1">
        <f t="shared" si="2"/>
        <v>243.56749758133429</v>
      </c>
      <c r="AE4" s="3">
        <f>IF($B$3=0,"",(AD4-(AD4*$B$6))+SUM(AE10))</f>
        <v>237.47831014180093</v>
      </c>
      <c r="AF4" s="2">
        <f t="shared" ref="AF4:AH4" si="3">IF($B$3=0,"",(AE4-(AE4*$B$6))+SUM(AF10))</f>
        <v>231.54135238825592</v>
      </c>
      <c r="AG4" s="2">
        <f t="shared" si="3"/>
        <v>225.75281857854952</v>
      </c>
      <c r="AH4" s="2">
        <f t="shared" si="3"/>
        <v>220.10899811408578</v>
      </c>
      <c r="AI4" s="2">
        <f t="shared" ref="AI4" si="4">IF($B$3=0,"",(AH4-(AH4*$B$6))+SUM(AI10))</f>
        <v>214.60627316123364</v>
      </c>
      <c r="AJ4" s="2">
        <f t="shared" ref="AJ4" si="5">IF($B$3=0,"",(AI4-(AI4*$B$6))+SUM(AJ10))</f>
        <v>209.24111633220281</v>
      </c>
      <c r="AK4" s="2">
        <f t="shared" ref="AK4" si="6">IF($B$3=0,"",(AJ4-(AJ4*$B$6))+SUM(AK10))</f>
        <v>204.01008842389774</v>
      </c>
      <c r="AL4" s="2">
        <f t="shared" ref="AL4" si="7">IF($B$3=0,"",(AK4-(AK4*$B$6))+SUM(AL10))</f>
        <v>198.90983621330031</v>
      </c>
      <c r="AM4" s="2">
        <f t="shared" ref="AM4" si="8">IF($B$3=0,"",(AL4-(AL4*$B$6))+SUM(AM10))</f>
        <v>193.93709030796779</v>
      </c>
      <c r="AN4" s="2">
        <f t="shared" ref="AN4" si="9">IF($B$3=0,"",(AM4-(AM4*$B$6))+SUM(AN10))</f>
        <v>189.08866305026859</v>
      </c>
      <c r="AO4" s="2">
        <f t="shared" ref="AO4" si="10">IF($B$3=0,"",(AN4-(AN4*$B$6))+SUM(AO10))</f>
        <v>184.36144647401187</v>
      </c>
      <c r="AP4" s="2">
        <f t="shared" ref="AP4" si="11">IF($B$3=0,"",(AO4-(AO4*$B$6))+SUM(AP10))</f>
        <v>179.75241031216157</v>
      </c>
      <c r="AQ4" s="2">
        <f t="shared" ref="AQ4" si="12">IF($B$3=0,"",(AP4-(AP4*$B$6))+SUM(AQ10))</f>
        <v>175.25860005435754</v>
      </c>
      <c r="AR4" s="2">
        <f t="shared" ref="AR4" si="13">IF($B$3=0,"",(AQ4-(AQ4*$B$6))+SUM(AR10))</f>
        <v>170.8771350529986</v>
      </c>
      <c r="AS4" s="2">
        <f t="shared" ref="AS4" si="14">IF($B$3=0,"",(AR4-(AR4*$B$6))+SUM(AS10))</f>
        <v>166.60520667667362</v>
      </c>
      <c r="AT4" s="2">
        <f t="shared" ref="AT4" si="15">IF($B$3=0,"",(AS4-(AS4*$B$6))+SUM(AT10))</f>
        <v>162.44007650975678</v>
      </c>
      <c r="AU4" s="2">
        <f t="shared" ref="AU4" si="16">IF($B$3=0,"",(AT4-(AT4*$B$6))+SUM(AU10))</f>
        <v>158.37907459701285</v>
      </c>
      <c r="AV4" s="2">
        <f t="shared" ref="AV4" si="17">IF($B$3=0,"",(AU4-(AU4*$B$6))+SUM(AV10))</f>
        <v>194.41959773208754</v>
      </c>
      <c r="AW4" s="2">
        <f t="shared" ref="AW4" si="18">IF($B$3=0,"",(AV4-(AV4*$B$6))+SUM(AW10))</f>
        <v>189.55910778878535</v>
      </c>
      <c r="AX4" s="2">
        <f t="shared" ref="AX4" si="19">IF($B$3=0,"",(AW4-(AW4*$B$6))+SUM(AX10))</f>
        <v>274.82013009406569</v>
      </c>
      <c r="AY4" s="2">
        <f t="shared" ref="AY4" si="20">IF($B$3=0,"",(AX4-(AX4*$B$6))+SUM(AY10))</f>
        <v>357.94962684171406</v>
      </c>
      <c r="AZ4" s="2">
        <f t="shared" ref="AZ4" si="21">IF($B$3=0,"",(AY4-(AY4*$B$6))+SUM(AZ10))</f>
        <v>469.00088617067121</v>
      </c>
      <c r="BA4" s="2">
        <f t="shared" ref="BA4" si="22">IF($B$3=0,"",(AZ4-(AZ4*$B$6))+SUM(BA10))</f>
        <v>457.2758640164044</v>
      </c>
      <c r="BB4" s="2">
        <f t="shared" ref="BB4" si="23">IF($B$3=0,"",(BA4-(BA4*$B$6))+SUM(BB10))</f>
        <v>445.84396741599431</v>
      </c>
      <c r="BC4" s="2">
        <f t="shared" ref="BC4" si="24">IF($B$3=0,"",(BB4-(BB4*$B$6))+SUM(BC10))</f>
        <v>434.69786823059445</v>
      </c>
      <c r="BD4" s="2">
        <f t="shared" ref="BD4" si="25">IF($B$3=0,"",(BC4-(BC4*$B$6))+SUM(BD10))</f>
        <v>423.8304215248296</v>
      </c>
    </row>
    <row r="5" spans="1:56" ht="31.5" customHeight="1" thickBot="1" x14ac:dyDescent="0.3">
      <c r="A5" s="4"/>
      <c r="B5" s="19" t="s">
        <v>0</v>
      </c>
      <c r="C5" s="4"/>
      <c r="D5" s="16" t="s">
        <v>5</v>
      </c>
      <c r="E5" s="17">
        <f>IFERROR(ROUND(E4-E3,0),"")</f>
        <v>35</v>
      </c>
      <c r="F5" s="17">
        <f t="shared" ref="F5:AH5" si="26">IFERROR(ROUND(F4-F3,0),"")</f>
        <v>76</v>
      </c>
      <c r="G5" s="17">
        <f t="shared" si="26"/>
        <v>115</v>
      </c>
      <c r="H5" s="17">
        <f t="shared" si="26"/>
        <v>119</v>
      </c>
      <c r="I5" s="17">
        <f t="shared" si="26"/>
        <v>117</v>
      </c>
      <c r="J5" s="17">
        <f t="shared" si="26"/>
        <v>124</v>
      </c>
      <c r="K5" s="17">
        <f t="shared" si="26"/>
        <v>138</v>
      </c>
      <c r="L5" s="17">
        <f t="shared" si="26"/>
        <v>130</v>
      </c>
      <c r="M5" s="17">
        <f t="shared" si="26"/>
        <v>126</v>
      </c>
      <c r="N5" s="17">
        <f t="shared" si="26"/>
        <v>107</v>
      </c>
      <c r="O5" s="17">
        <f t="shared" si="26"/>
        <v>84</v>
      </c>
      <c r="P5" s="17">
        <f t="shared" si="26"/>
        <v>90</v>
      </c>
      <c r="Q5" s="17">
        <f t="shared" si="26"/>
        <v>111</v>
      </c>
      <c r="R5" s="17">
        <f t="shared" si="26"/>
        <v>106</v>
      </c>
      <c r="S5" s="17">
        <f t="shared" si="26"/>
        <v>98</v>
      </c>
      <c r="T5" s="17">
        <f t="shared" si="26"/>
        <v>127</v>
      </c>
      <c r="U5" s="17">
        <f t="shared" si="26"/>
        <v>119</v>
      </c>
      <c r="V5" s="17">
        <f t="shared" si="26"/>
        <v>99</v>
      </c>
      <c r="W5" s="17">
        <f t="shared" si="26"/>
        <v>126</v>
      </c>
      <c r="X5" s="17">
        <f t="shared" si="26"/>
        <v>124</v>
      </c>
      <c r="Y5" s="17">
        <f t="shared" si="26"/>
        <v>128</v>
      </c>
      <c r="Z5" s="17">
        <f t="shared" si="26"/>
        <v>129</v>
      </c>
      <c r="AA5" s="17">
        <f t="shared" si="26"/>
        <v>108</v>
      </c>
      <c r="AB5" s="17">
        <f t="shared" si="26"/>
        <v>109</v>
      </c>
      <c r="AC5" s="17">
        <f t="shared" si="26"/>
        <v>141</v>
      </c>
      <c r="AD5" s="18">
        <f t="shared" si="26"/>
        <v>145</v>
      </c>
      <c r="AE5" s="33">
        <f t="shared" si="26"/>
        <v>149</v>
      </c>
      <c r="AF5" s="17">
        <f t="shared" si="26"/>
        <v>133</v>
      </c>
      <c r="AG5" s="17">
        <f t="shared" si="26"/>
        <v>137</v>
      </c>
      <c r="AH5" s="17">
        <f t="shared" si="26"/>
        <v>115</v>
      </c>
      <c r="AI5" s="17">
        <f t="shared" ref="AI5:BD5" si="27">IFERROR(ROUND(AI4-AI3,0),"")</f>
        <v>107</v>
      </c>
      <c r="AJ5" s="17">
        <f t="shared" si="27"/>
        <v>89</v>
      </c>
      <c r="AK5" s="17">
        <f t="shared" si="27"/>
        <v>80</v>
      </c>
      <c r="AL5" s="17">
        <f t="shared" si="27"/>
        <v>77</v>
      </c>
      <c r="AM5" s="17">
        <f t="shared" si="27"/>
        <v>74</v>
      </c>
      <c r="AN5" s="17">
        <f t="shared" si="27"/>
        <v>83</v>
      </c>
      <c r="AO5" s="17">
        <f t="shared" si="27"/>
        <v>76</v>
      </c>
      <c r="AP5" s="17">
        <f t="shared" si="27"/>
        <v>66</v>
      </c>
      <c r="AQ5" s="17">
        <f t="shared" si="27"/>
        <v>51</v>
      </c>
      <c r="AR5" s="17">
        <f t="shared" si="27"/>
        <v>49</v>
      </c>
      <c r="AS5" s="17">
        <f t="shared" si="27"/>
        <v>38</v>
      </c>
      <c r="AT5" s="17">
        <f t="shared" si="27"/>
        <v>31</v>
      </c>
      <c r="AU5" s="17">
        <f t="shared" si="27"/>
        <v>15</v>
      </c>
      <c r="AV5" s="17">
        <f t="shared" si="27"/>
        <v>25</v>
      </c>
      <c r="AW5" s="17">
        <f t="shared" si="27"/>
        <v>-4</v>
      </c>
      <c r="AX5" s="17">
        <f t="shared" si="27"/>
        <v>80</v>
      </c>
      <c r="AY5" s="17">
        <f t="shared" si="27"/>
        <v>-8</v>
      </c>
      <c r="AZ5" s="17">
        <f t="shared" si="27"/>
        <v>-15</v>
      </c>
      <c r="BA5" s="17">
        <f t="shared" si="27"/>
        <v>13</v>
      </c>
      <c r="BB5" s="17">
        <f t="shared" si="27"/>
        <v>62</v>
      </c>
      <c r="BC5" s="17">
        <f t="shared" si="27"/>
        <v>202</v>
      </c>
      <c r="BD5" s="17">
        <f t="shared" si="27"/>
        <v>218</v>
      </c>
    </row>
    <row r="6" spans="1:56" ht="24" thickBot="1" x14ac:dyDescent="0.3">
      <c r="A6" s="4"/>
      <c r="B6" s="23">
        <v>2.5000000000000001E-2</v>
      </c>
      <c r="C6" s="4"/>
      <c r="D6" s="20"/>
      <c r="E6" s="21"/>
      <c r="F6" s="21"/>
      <c r="G6" s="21"/>
      <c r="H6" s="21"/>
      <c r="I6" s="21"/>
      <c r="J6" s="21"/>
      <c r="K6" s="21"/>
      <c r="L6" s="21"/>
      <c r="M6" s="21"/>
      <c r="N6" s="21"/>
      <c r="O6" s="21"/>
      <c r="P6" s="21"/>
      <c r="Q6" s="21"/>
      <c r="R6" s="21"/>
      <c r="S6" s="21"/>
      <c r="T6" s="21"/>
      <c r="U6" s="21"/>
      <c r="V6" s="21"/>
      <c r="W6" s="21"/>
      <c r="X6" s="21"/>
      <c r="Y6" s="21"/>
      <c r="Z6" s="21"/>
      <c r="AA6" s="21"/>
      <c r="AB6" s="21"/>
      <c r="AC6" s="21"/>
      <c r="AD6" s="22"/>
      <c r="AE6" s="20"/>
      <c r="AF6" s="21"/>
      <c r="AG6" s="21"/>
      <c r="AH6" s="21"/>
      <c r="AI6" s="21"/>
      <c r="AJ6" s="21"/>
      <c r="AK6" s="21"/>
      <c r="AL6" s="21"/>
      <c r="AM6" s="21"/>
      <c r="AN6" s="21"/>
      <c r="AO6" s="21"/>
      <c r="AP6" s="21"/>
      <c r="AQ6" s="21"/>
      <c r="AR6" s="21"/>
      <c r="AS6" s="21"/>
      <c r="AT6" s="21"/>
      <c r="AU6" s="21"/>
      <c r="AV6" s="21"/>
      <c r="AW6" s="21"/>
      <c r="AX6" s="21"/>
      <c r="AY6" s="21"/>
      <c r="AZ6" s="21"/>
      <c r="BA6" s="21"/>
      <c r="BB6" s="21"/>
      <c r="BC6" s="21"/>
      <c r="BD6" s="21"/>
    </row>
    <row r="7" spans="1:56" ht="17.25" thickBot="1" x14ac:dyDescent="0.3">
      <c r="A7" s="4"/>
      <c r="B7" s="7"/>
      <c r="C7" s="4"/>
      <c r="D7" s="16" t="s">
        <v>6</v>
      </c>
      <c r="E7" s="37" t="str">
        <f>IFERROR(IF(COUNTA(F8)=0,"",F8+(ROUNDUP(F8*$B$9,0))),"")</f>
        <v/>
      </c>
      <c r="F7" s="37" t="str">
        <f t="shared" ref="F7:AH7" si="28">IFERROR(IF(COUNTA(G8)=0,"",G8+(ROUNDUP(G8*$B$9,0))),"")</f>
        <v/>
      </c>
      <c r="G7" s="37" t="str">
        <f t="shared" si="28"/>
        <v/>
      </c>
      <c r="H7" s="37" t="str">
        <f>IFERROR(IF(COUNTA(I8)=0,"",I8+(ROUNDUP(I8*$B$9,0))),"")</f>
        <v/>
      </c>
      <c r="I7" s="37" t="str">
        <f t="shared" si="28"/>
        <v/>
      </c>
      <c r="J7" s="37" t="str">
        <f t="shared" si="28"/>
        <v/>
      </c>
      <c r="K7" s="37" t="str">
        <f t="shared" si="28"/>
        <v/>
      </c>
      <c r="L7" s="37" t="str">
        <f t="shared" si="28"/>
        <v/>
      </c>
      <c r="M7" s="37">
        <f t="shared" si="28"/>
        <v>13</v>
      </c>
      <c r="N7" s="37" t="str">
        <f t="shared" si="28"/>
        <v/>
      </c>
      <c r="O7" s="37" t="str">
        <f>IFERROR(IF(COUNTA(P8)=0,"",P8+(ROUNDUP(P8*$B$9,0))),"")</f>
        <v/>
      </c>
      <c r="P7" s="37" t="str">
        <f t="shared" si="28"/>
        <v/>
      </c>
      <c r="Q7" s="37">
        <f t="shared" si="28"/>
        <v>52</v>
      </c>
      <c r="R7" s="37" t="str">
        <f t="shared" si="28"/>
        <v/>
      </c>
      <c r="S7" s="37" t="str">
        <f t="shared" si="28"/>
        <v/>
      </c>
      <c r="T7" s="37">
        <f t="shared" si="28"/>
        <v>39</v>
      </c>
      <c r="U7" s="37" t="str">
        <f t="shared" si="28"/>
        <v/>
      </c>
      <c r="V7" s="37" t="str">
        <f t="shared" si="28"/>
        <v/>
      </c>
      <c r="W7" s="37" t="str">
        <f t="shared" si="28"/>
        <v/>
      </c>
      <c r="X7" s="37" t="str">
        <f t="shared" si="28"/>
        <v/>
      </c>
      <c r="Y7" s="37" t="str">
        <f t="shared" si="28"/>
        <v/>
      </c>
      <c r="Z7" s="37">
        <f t="shared" si="28"/>
        <v>39</v>
      </c>
      <c r="AA7" s="37" t="str">
        <f t="shared" si="28"/>
        <v/>
      </c>
      <c r="AB7" s="37" t="str">
        <f t="shared" si="28"/>
        <v/>
      </c>
      <c r="AC7" s="37" t="str">
        <f t="shared" si="28"/>
        <v/>
      </c>
      <c r="AD7" s="38" t="str">
        <f t="shared" si="28"/>
        <v/>
      </c>
      <c r="AE7" s="39" t="str">
        <f t="shared" si="28"/>
        <v/>
      </c>
      <c r="AF7" s="37" t="str">
        <f t="shared" si="28"/>
        <v/>
      </c>
      <c r="AG7" s="37" t="str">
        <f t="shared" si="28"/>
        <v/>
      </c>
      <c r="AH7" s="37" t="str">
        <f t="shared" si="28"/>
        <v/>
      </c>
      <c r="AI7" s="37" t="str">
        <f t="shared" ref="AI7" si="29">IFERROR(IF(COUNTA(AJ8)=0,"",AJ8+(ROUNDUP(AJ8*$B$9,0))),"")</f>
        <v/>
      </c>
      <c r="AJ7" s="37" t="str">
        <f t="shared" ref="AJ7" si="30">IFERROR(IF(COUNTA(AK8)=0,"",AK8+(ROUNDUP(AK8*$B$9,0))),"")</f>
        <v/>
      </c>
      <c r="AK7" s="37" t="str">
        <f t="shared" ref="AK7" si="31">IFERROR(IF(COUNTA(AL8)=0,"",AL8+(ROUNDUP(AL8*$B$9,0))),"")</f>
        <v/>
      </c>
      <c r="AL7" s="37" t="str">
        <f t="shared" ref="AL7" si="32">IFERROR(IF(COUNTA(AM8)=0,"",AM8+(ROUNDUP(AM8*$B$9,0))),"")</f>
        <v/>
      </c>
      <c r="AM7" s="37" t="str">
        <f t="shared" ref="AM7" si="33">IFERROR(IF(COUNTA(AN8)=0,"",AN8+(ROUNDUP(AN8*$B$9,0))),"")</f>
        <v/>
      </c>
      <c r="AN7" s="37" t="str">
        <f t="shared" ref="AN7" si="34">IFERROR(IF(COUNTA(AO8)=0,"",AO8+(ROUNDUP(AO8*$B$9,0))),"")</f>
        <v/>
      </c>
      <c r="AO7" s="37" t="str">
        <f t="shared" ref="AO7" si="35">IFERROR(IF(COUNTA(AP8)=0,"",AP8+(ROUNDUP(AP8*$B$9,0))),"")</f>
        <v/>
      </c>
      <c r="AP7" s="37" t="str">
        <f t="shared" ref="AP7" si="36">IFERROR(IF(COUNTA(AQ8)=0,"",AQ8+(ROUNDUP(AQ8*$B$9,0))),"")</f>
        <v/>
      </c>
      <c r="AQ7" s="37" t="str">
        <f t="shared" ref="AQ7" si="37">IFERROR(IF(COUNTA(AR8)=0,"",AR8+(ROUNDUP(AR8*$B$9,0))),"")</f>
        <v/>
      </c>
      <c r="AR7" s="37" t="str">
        <f t="shared" ref="AR7" si="38">IFERROR(IF(COUNTA(AS8)=0,"",AS8+(ROUNDUP(AS8*$B$9,0))),"")</f>
        <v/>
      </c>
      <c r="AS7" s="37">
        <f t="shared" ref="AS7" si="39">IFERROR(IF(COUNTA(AT8)=0,"",AT8+(ROUNDUP(AT8*$B$9,0))),"")</f>
        <v>52</v>
      </c>
      <c r="AT7" s="37" t="str">
        <f t="shared" ref="AT7" si="40">IFERROR(IF(COUNTA(AU8)=0,"",AU8+(ROUNDUP(AU8*$B$9,0))),"")</f>
        <v/>
      </c>
      <c r="AU7" s="37">
        <f t="shared" ref="AU7" si="41">IFERROR(IF(COUNTA(AV8)=0,"",AV8+(ROUNDUP(AV8*$B$9,0))),"")</f>
        <v>117</v>
      </c>
      <c r="AV7" s="37">
        <f t="shared" ref="AV7" si="42">IFERROR(IF(COUNTA(AW8)=0,"",AW8+(ROUNDUP(AW8*$B$9,0))),"")</f>
        <v>117</v>
      </c>
      <c r="AW7" s="37">
        <f t="shared" ref="AW7" si="43">IFERROR(IF(COUNTA(AX8)=0,"",AX8+(ROUNDUP(AX8*$B$9,0))),"")</f>
        <v>156</v>
      </c>
      <c r="AX7" s="37" t="str">
        <f t="shared" ref="AX7" si="44">IFERROR(IF(COUNTA(AY8)=0,"",AY8+(ROUNDUP(AY8*$B$9,0))),"")</f>
        <v/>
      </c>
      <c r="AY7" s="37" t="str">
        <f t="shared" ref="AY7" si="45">IFERROR(IF(COUNTA(AZ8)=0,"",AZ8+(ROUNDUP(AZ8*$B$9,0))),"")</f>
        <v/>
      </c>
      <c r="AZ7" s="37" t="str">
        <f t="shared" ref="AZ7" si="46">IFERROR(IF(COUNTA(BA8)=0,"",BA8+(ROUNDUP(BA8*$B$9,0))),"")</f>
        <v/>
      </c>
      <c r="BA7" s="37" t="str">
        <f t="shared" ref="BA7" si="47">IFERROR(IF(COUNTA(BB8)=0,"",BB8+(ROUNDUP(BB8*$B$9,0))),"")</f>
        <v/>
      </c>
      <c r="BB7" s="37" t="str">
        <f t="shared" ref="BB7" si="48">IFERROR(IF(COUNTA(BC8)=0,"",BC8+(ROUNDUP(BC8*$B$9,0))),"")</f>
        <v/>
      </c>
      <c r="BC7" s="37" t="str">
        <f t="shared" ref="BC7:BD7" si="49">IFERROR(IF(COUNTA(BD8)=0,"",BD8+(ROUNDUP(BD8*$B$9,0))),"")</f>
        <v/>
      </c>
      <c r="BD7" s="37" t="str">
        <f t="shared" si="49"/>
        <v/>
      </c>
    </row>
    <row r="8" spans="1:56" ht="31.5" customHeight="1" thickBot="1" x14ac:dyDescent="0.3">
      <c r="A8" s="4"/>
      <c r="B8" s="19" t="s">
        <v>16</v>
      </c>
      <c r="C8" s="4"/>
      <c r="D8" s="14" t="s">
        <v>7</v>
      </c>
      <c r="E8" s="26" t="str">
        <f t="shared" ref="E8:AH8" si="50">IF($B$15=0,IF($B$12=1,IF(SUM(F10)&lt;=0,"",F10),IF($B$12=2,IF(SUM(G10)&lt;=0,"",G10),IF($B$12=3,IF(SUM(H10)&lt;=0,"",H10),IF($B$12=4,IF(SUM(I10)&lt;=0,"",I10),IF($B$12=5,IF(SUM(J10)&lt;=0,"",J10),IF($B$12=6,IF(SUM(K10)&lt;=0,"",K10),"")))))),IF($B$12=1,IF(SUM(F9)&lt;=0,"",F9),IF($B$12=2,IF(SUM(G9)&lt;=0,"",G9),IF($B$12=3,IF(SUM(H9)&lt;=0,"",H9),IF($B$12=4,IF(SUM(I9)&lt;=0,"",I9),IF($B$12=5,IF(SUM(J9)&lt;=0,"",J9),IF($B$12=6,IF(SUM(K9)&lt;=0,"",K9),"")))))))</f>
        <v/>
      </c>
      <c r="F8" s="26" t="str">
        <f t="shared" si="50"/>
        <v/>
      </c>
      <c r="G8" s="26" t="str">
        <f t="shared" si="50"/>
        <v/>
      </c>
      <c r="H8" s="26" t="str">
        <f t="shared" si="50"/>
        <v/>
      </c>
      <c r="I8" s="26" t="str">
        <f t="shared" si="50"/>
        <v/>
      </c>
      <c r="J8" s="26" t="str">
        <f t="shared" si="50"/>
        <v/>
      </c>
      <c r="K8" s="26" t="str">
        <f t="shared" si="50"/>
        <v/>
      </c>
      <c r="L8" s="26" t="str">
        <f t="shared" si="50"/>
        <v/>
      </c>
      <c r="M8" s="26" t="str">
        <f t="shared" si="50"/>
        <v/>
      </c>
      <c r="N8" s="26">
        <f>IF($B$15=0,IF($B$12=1,IF(SUM(O10)&lt;=0,"",O10),IF($B$12=2,IF(SUM(P10)&lt;=0,"",P10),IF($B$12=3,IF(SUM(Q10)&lt;=0,"",Q10),IF($B$12=4,IF(SUM(R10)&lt;=0,"",R10),IF($B$12=5,IF(SUM(S10)&lt;=0,"",S10),IF($B$12=6,IF(SUM(T10)&lt;=0,"",T10),"")))))),IF($B$12=1,IF(SUM(O9)&lt;=0,"",O9),IF($B$12=2,IF(SUM(P9)&lt;=0,"",P9),IF($B$12=3,IF(SUM(Q9)&lt;=0,"",Q9),IF($B$12=4,IF(SUM(R9)&lt;=0,"",R9),IF($B$12=5,IF(SUM(S9)&lt;=0,"",S9),IF($B$12=6,IF(SUM(T9)&lt;=0,"",T9),"")))))))</f>
        <v>10</v>
      </c>
      <c r="O8" s="26" t="str">
        <f>IF($B$15=0,IF($B$12=1,IF(SUM(P10)&lt;=0,"",P10),IF($B$12=2,IF(SUM(Q10)&lt;=0,"",Q10),IF($B$12=3,IF(SUM(R10)&lt;=0,"",R10),IF($B$12=4,IF(SUM(S10)&lt;=0,"",S10),IF($B$12=5,IF(SUM(T10)&lt;=0,"",T10),IF($B$12=6,IF(SUM(U10)&lt;=0,"",U10),"")))))),IF($B$12=1,IF(SUM(P9)&lt;=0,"",P9),IF($B$12=2,IF(SUM(Q9)&lt;=0,"",Q9),IF($B$12=3,IF(SUM(R9)&lt;=0,"",R9),IF($B$12=4,IF(SUM(S9)&lt;=0,"",S9),IF($B$12=5,IF(SUM(T9)&lt;=0,"",T9),IF($B$12=6,IF(SUM(U9)&lt;=0,"",U9),"")))))))</f>
        <v/>
      </c>
      <c r="P8" s="26" t="str">
        <f>IF($B$15=0,IF($B$12=1,IF(SUM(Q10)&lt;=0,"",Q10),IF($B$12=2,IF(SUM(R10)&lt;=0,"",R10),IF($B$12=3,IF(SUM(S10)&lt;=0,"",S10),IF($B$12=4,IF(SUM(T10)&lt;=0,"",T10),IF($B$12=5,IF(SUM(U10)&lt;=0,"",U10),IF($B$12=6,IF(SUM(V10)&lt;=0,"",V10),"")))))),IF($B$12=1,IF(SUM(Q9)&lt;=0,"",Q9),IF($B$12=2,IF(SUM(R9)&lt;=0,"",R9),IF($B$12=3,IF(SUM(S9)&lt;=0,"",S9),IF($B$12=4,IF(SUM(T9)&lt;=0,"",T9),IF($B$12=5,IF(SUM(U9)&lt;=0,"",U9),IF($B$12=6,IF(SUM(V9)&lt;=0,"",V9),"")))))))</f>
        <v/>
      </c>
      <c r="Q8" s="26" t="str">
        <f>IF($B$15=0,IF($B$12=1,IF(SUM(R10)&lt;=0,"",R10),IF($B$12=2,IF(SUM(S10)&lt;=0,"",S10),IF($B$12=3,IF(SUM(T10)&lt;=0,"",T10),IF($B$12=4,IF(SUM(U10)&lt;=0,"",U10),IF($B$12=5,IF(SUM(V10)&lt;=0,"",V10),IF($B$12=6,IF(SUM(W10)&lt;=0,"",W10),"")))))),IF($B$12=1,IF(SUM(R9)&lt;=0,"",R9),IF($B$12=2,IF(SUM(S9)&lt;=0,"",S9),IF($B$12=3,IF(SUM(T9)&lt;=0,"",T9),IF($B$12=4,IF(SUM(U9)&lt;=0,"",U9),IF($B$12=5,IF(SUM(V9)&lt;=0,"",V9),IF($B$12=6,IF(SUM(W9)&lt;=0,"",W9),"")))))))</f>
        <v/>
      </c>
      <c r="R8" s="26">
        <f t="shared" si="50"/>
        <v>40</v>
      </c>
      <c r="S8" s="26" t="str">
        <f t="shared" si="50"/>
        <v/>
      </c>
      <c r="T8" s="26" t="str">
        <f t="shared" si="50"/>
        <v/>
      </c>
      <c r="U8" s="26">
        <f t="shared" si="50"/>
        <v>30</v>
      </c>
      <c r="V8" s="26" t="str">
        <f t="shared" si="50"/>
        <v/>
      </c>
      <c r="W8" s="26" t="str">
        <f t="shared" si="50"/>
        <v/>
      </c>
      <c r="X8" s="26" t="str">
        <f t="shared" si="50"/>
        <v/>
      </c>
      <c r="Y8" s="26" t="str">
        <f t="shared" si="50"/>
        <v/>
      </c>
      <c r="Z8" s="26" t="str">
        <f t="shared" si="50"/>
        <v/>
      </c>
      <c r="AA8" s="26">
        <f t="shared" si="50"/>
        <v>30</v>
      </c>
      <c r="AB8" s="26" t="str">
        <f t="shared" si="50"/>
        <v/>
      </c>
      <c r="AC8" s="26" t="str">
        <f t="shared" si="50"/>
        <v/>
      </c>
      <c r="AD8" s="27" t="str">
        <f t="shared" si="50"/>
        <v/>
      </c>
      <c r="AE8" s="14" t="str">
        <f t="shared" si="50"/>
        <v/>
      </c>
      <c r="AF8" s="26" t="str">
        <f t="shared" si="50"/>
        <v/>
      </c>
      <c r="AG8" s="26" t="str">
        <f t="shared" si="50"/>
        <v/>
      </c>
      <c r="AH8" s="26" t="str">
        <f t="shared" si="50"/>
        <v/>
      </c>
      <c r="AI8" s="26" t="str">
        <f t="shared" ref="AI8" si="51">IF($B$15=0,IF($B$12=1,IF(SUM(AJ10)&lt;=0,"",AJ10),IF($B$12=2,IF(SUM(AK10)&lt;=0,"",AK10),IF($B$12=3,IF(SUM(AL10)&lt;=0,"",AL10),IF($B$12=4,IF(SUM(AM10)&lt;=0,"",AM10),IF($B$12=5,IF(SUM(AN10)&lt;=0,"",AN10),IF($B$12=6,IF(SUM(AO10)&lt;=0,"",AO10),"")))))),IF($B$12=1,IF(SUM(AJ9)&lt;=0,"",AJ9),IF($B$12=2,IF(SUM(AK9)&lt;=0,"",AK9),IF($B$12=3,IF(SUM(AL9)&lt;=0,"",AL9),IF($B$12=4,IF(SUM(AM9)&lt;=0,"",AM9),IF($B$12=5,IF(SUM(AN9)&lt;=0,"",AN9),IF($B$12=6,IF(SUM(AO9)&lt;=0,"",AO9),"")))))))</f>
        <v/>
      </c>
      <c r="AJ8" s="26" t="str">
        <f t="shared" ref="AJ8" si="52">IF($B$15=0,IF($B$12=1,IF(SUM(AK10)&lt;=0,"",AK10),IF($B$12=2,IF(SUM(AL10)&lt;=0,"",AL10),IF($B$12=3,IF(SUM(AM10)&lt;=0,"",AM10),IF($B$12=4,IF(SUM(AN10)&lt;=0,"",AN10),IF($B$12=5,IF(SUM(AO10)&lt;=0,"",AO10),IF($B$12=6,IF(SUM(AP10)&lt;=0,"",AP10),"")))))),IF($B$12=1,IF(SUM(AK9)&lt;=0,"",AK9),IF($B$12=2,IF(SUM(AL9)&lt;=0,"",AL9),IF($B$12=3,IF(SUM(AM9)&lt;=0,"",AM9),IF($B$12=4,IF(SUM(AN9)&lt;=0,"",AN9),IF($B$12=5,IF(SUM(AO9)&lt;=0,"",AO9),IF($B$12=6,IF(SUM(AP9)&lt;=0,"",AP9),"")))))))</f>
        <v/>
      </c>
      <c r="AK8" s="26" t="str">
        <f t="shared" ref="AK8" si="53">IF($B$15=0,IF($B$12=1,IF(SUM(AL10)&lt;=0,"",AL10),IF($B$12=2,IF(SUM(AM10)&lt;=0,"",AM10),IF($B$12=3,IF(SUM(AN10)&lt;=0,"",AN10),IF($B$12=4,IF(SUM(AO10)&lt;=0,"",AO10),IF($B$12=5,IF(SUM(AP10)&lt;=0,"",AP10),IF($B$12=6,IF(SUM(AQ10)&lt;=0,"",AQ10),"")))))),IF($B$12=1,IF(SUM(AL9)&lt;=0,"",AL9),IF($B$12=2,IF(SUM(AM9)&lt;=0,"",AM9),IF($B$12=3,IF(SUM(AN9)&lt;=0,"",AN9),IF($B$12=4,IF(SUM(AO9)&lt;=0,"",AO9),IF($B$12=5,IF(SUM(AP9)&lt;=0,"",AP9),IF($B$12=6,IF(SUM(AQ9)&lt;=0,"",AQ9),"")))))))</f>
        <v/>
      </c>
      <c r="AL8" s="26" t="str">
        <f t="shared" ref="AL8" si="54">IF($B$15=0,IF($B$12=1,IF(SUM(AM10)&lt;=0,"",AM10),IF($B$12=2,IF(SUM(AN10)&lt;=0,"",AN10),IF($B$12=3,IF(SUM(AO10)&lt;=0,"",AO10),IF($B$12=4,IF(SUM(AP10)&lt;=0,"",AP10),IF($B$12=5,IF(SUM(AQ10)&lt;=0,"",AQ10),IF($B$12=6,IF(SUM(AR10)&lt;=0,"",AR10),"")))))),IF($B$12=1,IF(SUM(AM9)&lt;=0,"",AM9),IF($B$12=2,IF(SUM(AN9)&lt;=0,"",AN9),IF($B$12=3,IF(SUM(AO9)&lt;=0,"",AO9),IF($B$12=4,IF(SUM(AP9)&lt;=0,"",AP9),IF($B$12=5,IF(SUM(AQ9)&lt;=0,"",AQ9),IF($B$12=6,IF(SUM(AR9)&lt;=0,"",AR9),"")))))))</f>
        <v/>
      </c>
      <c r="AM8" s="26" t="str">
        <f t="shared" ref="AM8" si="55">IF($B$15=0,IF($B$12=1,IF(SUM(AN10)&lt;=0,"",AN10),IF($B$12=2,IF(SUM(AO10)&lt;=0,"",AO10),IF($B$12=3,IF(SUM(AP10)&lt;=0,"",AP10),IF($B$12=4,IF(SUM(AQ10)&lt;=0,"",AQ10),IF($B$12=5,IF(SUM(AR10)&lt;=0,"",AR10),IF($B$12=6,IF(SUM(AS10)&lt;=0,"",AS10),"")))))),IF($B$12=1,IF(SUM(AN9)&lt;=0,"",AN9),IF($B$12=2,IF(SUM(AO9)&lt;=0,"",AO9),IF($B$12=3,IF(SUM(AP9)&lt;=0,"",AP9),IF($B$12=4,IF(SUM(AQ9)&lt;=0,"",AQ9),IF($B$12=5,IF(SUM(AR9)&lt;=0,"",AR9),IF($B$12=6,IF(SUM(AS9)&lt;=0,"",AS9),"")))))))</f>
        <v/>
      </c>
      <c r="AN8" s="26" t="str">
        <f t="shared" ref="AN8" si="56">IF($B$15=0,IF($B$12=1,IF(SUM(AO10)&lt;=0,"",AO10),IF($B$12=2,IF(SUM(AP10)&lt;=0,"",AP10),IF($B$12=3,IF(SUM(AQ10)&lt;=0,"",AQ10),IF($B$12=4,IF(SUM(AR10)&lt;=0,"",AR10),IF($B$12=5,IF(SUM(AS10)&lt;=0,"",AS10),IF($B$12=6,IF(SUM(AT10)&lt;=0,"",AT10),"")))))),IF($B$12=1,IF(SUM(AO9)&lt;=0,"",AO9),IF($B$12=2,IF(SUM(AP9)&lt;=0,"",AP9),IF($B$12=3,IF(SUM(AQ9)&lt;=0,"",AQ9),IF($B$12=4,IF(SUM(AR9)&lt;=0,"",AR9),IF($B$12=5,IF(SUM(AS9)&lt;=0,"",AS9),IF($B$12=6,IF(SUM(AT9)&lt;=0,"",AT9),"")))))))</f>
        <v/>
      </c>
      <c r="AO8" s="26" t="str">
        <f t="shared" ref="AO8" si="57">IF($B$15=0,IF($B$12=1,IF(SUM(AP10)&lt;=0,"",AP10),IF($B$12=2,IF(SUM(AQ10)&lt;=0,"",AQ10),IF($B$12=3,IF(SUM(AR10)&lt;=0,"",AR10),IF($B$12=4,IF(SUM(AS10)&lt;=0,"",AS10),IF($B$12=5,IF(SUM(AT10)&lt;=0,"",AT10),IF($B$12=6,IF(SUM(AU10)&lt;=0,"",AU10),"")))))),IF($B$12=1,IF(SUM(AP9)&lt;=0,"",AP9),IF($B$12=2,IF(SUM(AQ9)&lt;=0,"",AQ9),IF($B$12=3,IF(SUM(AR9)&lt;=0,"",AR9),IF($B$12=4,IF(SUM(AS9)&lt;=0,"",AS9),IF($B$12=5,IF(SUM(AT9)&lt;=0,"",AT9),IF($B$12=6,IF(SUM(AU9)&lt;=0,"",AU9),"")))))))</f>
        <v/>
      </c>
      <c r="AP8" s="26" t="str">
        <f t="shared" ref="AP8" si="58">IF($B$15=0,IF($B$12=1,IF(SUM(AQ10)&lt;=0,"",AQ10),IF($B$12=2,IF(SUM(AR10)&lt;=0,"",AR10),IF($B$12=3,IF(SUM(AS10)&lt;=0,"",AS10),IF($B$12=4,IF(SUM(AT10)&lt;=0,"",AT10),IF($B$12=5,IF(SUM(AU10)&lt;=0,"",AU10),IF($B$12=6,IF(SUM(AV10)&lt;=0,"",AV10),"")))))),IF($B$12=1,IF(SUM(AQ9)&lt;=0,"",AQ9),IF($B$12=2,IF(SUM(AR9)&lt;=0,"",AR9),IF($B$12=3,IF(SUM(AS9)&lt;=0,"",AS9),IF($B$12=4,IF(SUM(AT9)&lt;=0,"",AT9),IF($B$12=5,IF(SUM(AU9)&lt;=0,"",AU9),IF($B$12=6,IF(SUM(AV9)&lt;=0,"",AV9),"")))))))</f>
        <v/>
      </c>
      <c r="AQ8" s="26" t="str">
        <f t="shared" ref="AQ8" si="59">IF($B$15=0,IF($B$12=1,IF(SUM(AR10)&lt;=0,"",AR10),IF($B$12=2,IF(SUM(AS10)&lt;=0,"",AS10),IF($B$12=3,IF(SUM(AT10)&lt;=0,"",AT10),IF($B$12=4,IF(SUM(AU10)&lt;=0,"",AU10),IF($B$12=5,IF(SUM(AV10)&lt;=0,"",AV10),IF($B$12=6,IF(SUM(AW10)&lt;=0,"",AW10),"")))))),IF($B$12=1,IF(SUM(AR9)&lt;=0,"",AR9),IF($B$12=2,IF(SUM(AS9)&lt;=0,"",AS9),IF($B$12=3,IF(SUM(AT9)&lt;=0,"",AT9),IF($B$12=4,IF(SUM(AU9)&lt;=0,"",AU9),IF($B$12=5,IF(SUM(AV9)&lt;=0,"",AV9),IF($B$12=6,IF(SUM(AW9)&lt;=0,"",AW9),"")))))))</f>
        <v/>
      </c>
      <c r="AR8" s="26" t="str">
        <f t="shared" ref="AR8" si="60">IF($B$15=0,IF($B$12=1,IF(SUM(AS10)&lt;=0,"",AS10),IF($B$12=2,IF(SUM(AT10)&lt;=0,"",AT10),IF($B$12=3,IF(SUM(AU10)&lt;=0,"",AU10),IF($B$12=4,IF(SUM(AV10)&lt;=0,"",AV10),IF($B$12=5,IF(SUM(AW10)&lt;=0,"",AW10),IF($B$12=6,IF(SUM(AX10)&lt;=0,"",AX10),"")))))),IF($B$12=1,IF(SUM(AS9)&lt;=0,"",AS9),IF($B$12=2,IF(SUM(AT9)&lt;=0,"",AT9),IF($B$12=3,IF(SUM(AU9)&lt;=0,"",AU9),IF($B$12=4,IF(SUM(AV9)&lt;=0,"",AV9),IF($B$12=5,IF(SUM(AW9)&lt;=0,"",AW9),IF($B$12=6,IF(SUM(AX9)&lt;=0,"",AX9),"")))))))</f>
        <v/>
      </c>
      <c r="AS8" s="26" t="str">
        <f t="shared" ref="AS8" si="61">IF($B$15=0,IF($B$12=1,IF(SUM(AT10)&lt;=0,"",AT10),IF($B$12=2,IF(SUM(AU10)&lt;=0,"",AU10),IF($B$12=3,IF(SUM(AV10)&lt;=0,"",AV10),IF($B$12=4,IF(SUM(AW10)&lt;=0,"",AW10),IF($B$12=5,IF(SUM(AX10)&lt;=0,"",AX10),IF($B$12=6,IF(SUM(AY10)&lt;=0,"",AY10),"")))))),IF($B$12=1,IF(SUM(AT9)&lt;=0,"",AT9),IF($B$12=2,IF(SUM(AU9)&lt;=0,"",AU9),IF($B$12=3,IF(SUM(AV9)&lt;=0,"",AV9),IF($B$12=4,IF(SUM(AW9)&lt;=0,"",AW9),IF($B$12=5,IF(SUM(AX9)&lt;=0,"",AX9),IF($B$12=6,IF(SUM(AY9)&lt;=0,"",AY9),"")))))))</f>
        <v/>
      </c>
      <c r="AT8" s="26">
        <f t="shared" ref="AT8" si="62">IF($B$15=0,IF($B$12=1,IF(SUM(AU10)&lt;=0,"",AU10),IF($B$12=2,IF(SUM(AV10)&lt;=0,"",AV10),IF($B$12=3,IF(SUM(AW10)&lt;=0,"",AW10),IF($B$12=4,IF(SUM(AX10)&lt;=0,"",AX10),IF($B$12=5,IF(SUM(AY10)&lt;=0,"",AY10),IF($B$12=6,IF(SUM(AZ10)&lt;=0,"",AZ10),"")))))),IF($B$12=1,IF(SUM(AU9)&lt;=0,"",AU9),IF($B$12=2,IF(SUM(AV9)&lt;=0,"",AV9),IF($B$12=3,IF(SUM(AW9)&lt;=0,"",AW9),IF($B$12=4,IF(SUM(AX9)&lt;=0,"",AX9),IF($B$12=5,IF(SUM(AY9)&lt;=0,"",AY9),IF($B$12=6,IF(SUM(AZ9)&lt;=0,"",AZ9),"")))))))</f>
        <v>40</v>
      </c>
      <c r="AU8" s="26" t="str">
        <f t="shared" ref="AU8" si="63">IF($B$15=0,IF($B$12=1,IF(SUM(AV10)&lt;=0,"",AV10),IF($B$12=2,IF(SUM(AW10)&lt;=0,"",AW10),IF($B$12=3,IF(SUM(AX10)&lt;=0,"",AX10),IF($B$12=4,IF(SUM(AY10)&lt;=0,"",AY10),IF($B$12=5,IF(SUM(AZ10)&lt;=0,"",AZ10),IF($B$12=6,IF(SUM(BA10)&lt;=0,"",BA10),"")))))),IF($B$12=1,IF(SUM(AV9)&lt;=0,"",AV9),IF($B$12=2,IF(SUM(AW9)&lt;=0,"",AW9),IF($B$12=3,IF(SUM(AX9)&lt;=0,"",AX9),IF($B$12=4,IF(SUM(AY9)&lt;=0,"",AY9),IF($B$12=5,IF(SUM(AZ9)&lt;=0,"",AZ9),IF($B$12=6,IF(SUM(BA9)&lt;=0,"",BA9),"")))))))</f>
        <v/>
      </c>
      <c r="AV8" s="26">
        <f t="shared" ref="AV8" si="64">IF($B$15=0,IF($B$12=1,IF(SUM(AW10)&lt;=0,"",AW10),IF($B$12=2,IF(SUM(AX10)&lt;=0,"",AX10),IF($B$12=3,IF(SUM(AY10)&lt;=0,"",AY10),IF($B$12=4,IF(SUM(AZ10)&lt;=0,"",AZ10),IF($B$12=5,IF(SUM(BA10)&lt;=0,"",BA10),IF($B$12=6,IF(SUM(BB10)&lt;=0,"",BB10),"")))))),IF($B$12=1,IF(SUM(AW9)&lt;=0,"",AW9),IF($B$12=2,IF(SUM(AX9)&lt;=0,"",AX9),IF($B$12=3,IF(SUM(AY9)&lt;=0,"",AY9),IF($B$12=4,IF(SUM(AZ9)&lt;=0,"",AZ9),IF($B$12=5,IF(SUM(BA9)&lt;=0,"",BA9),IF($B$12=6,IF(SUM(BB9)&lt;=0,"",BB9),"")))))))</f>
        <v>90</v>
      </c>
      <c r="AW8" s="26">
        <f t="shared" ref="AW8" si="65">IF($B$15=0,IF($B$12=1,IF(SUM(AX10)&lt;=0,"",AX10),IF($B$12=2,IF(SUM(AY10)&lt;=0,"",AY10),IF($B$12=3,IF(SUM(AZ10)&lt;=0,"",AZ10),IF($B$12=4,IF(SUM(BA10)&lt;=0,"",BA10),IF($B$12=5,IF(SUM(BB10)&lt;=0,"",BB10),IF($B$12=6,IF(SUM(BC10)&lt;=0,"",BC10),"")))))),IF($B$12=1,IF(SUM(AX9)&lt;=0,"",AX9),IF($B$12=2,IF(SUM(AY9)&lt;=0,"",AY9),IF($B$12=3,IF(SUM(AZ9)&lt;=0,"",AZ9),IF($B$12=4,IF(SUM(BA9)&lt;=0,"",BA9),IF($B$12=5,IF(SUM(BB9)&lt;=0,"",BB9),IF($B$12=6,IF(SUM(BC9)&lt;=0,"",BC9),"")))))))</f>
        <v>90</v>
      </c>
      <c r="AX8" s="26">
        <f t="shared" ref="AX8" si="66">IF($B$15=0,IF($B$12=1,IF(SUM(AY10)&lt;=0,"",AY10),IF($B$12=2,IF(SUM(AZ10)&lt;=0,"",AZ10),IF($B$12=3,IF(SUM(BA10)&lt;=0,"",BA10),IF($B$12=4,IF(SUM(BB10)&lt;=0,"",BB10),IF($B$12=5,IF(SUM(BC10)&lt;=0,"",BC10),IF($B$12=6,IF(SUM(BD10)&lt;=0,"",BD10),"")))))),IF($B$12=1,IF(SUM(AY9)&lt;=0,"",AY9),IF($B$12=2,IF(SUM(AZ9)&lt;=0,"",AZ9),IF($B$12=3,IF(SUM(BA9)&lt;=0,"",BA9),IF($B$12=4,IF(SUM(BB9)&lt;=0,"",BB9),IF($B$12=5,IF(SUM(BC9)&lt;=0,"",BC9),IF($B$12=6,IF(SUM(BD9)&lt;=0,"",BD9),"")))))))</f>
        <v>120</v>
      </c>
      <c r="AY8" s="26" t="str">
        <f>IF($B$15=0,IF($B$12=1,IF(SUM(AZ10)&lt;=0,"",AZ10),IF($B$12=2,IF(SUM(BA10)&lt;=0,"",BA10),IF($B$12=3,IF(SUM(BB10)&lt;=0,"",BB10),IF($B$12=4,IF(SUM(BC10)&lt;=0,"",BC10),IF($B$12=5,IF(SUM(BD10)&lt;=0,"",BD10),IF($B$12=6,IF(SUM(#REF!)&lt;=0,"",#REF!),"")))))),IF($B$12=1,IF(SUM(AZ9)&lt;=0,"",AZ9),IF($B$12=2,IF(SUM(BA9)&lt;=0,"",BA9),IF($B$12=3,IF(SUM(BB9)&lt;=0,"",BB9),IF($B$12=4,IF(SUM(BC9)&lt;=0,"",BC9),IF($B$12=5,IF(SUM(BD9)&lt;=0,"",BD9),IF($B$12=6,IF(SUM(#REF!)&lt;=0,"",#REF!),"")))))))</f>
        <v/>
      </c>
      <c r="AZ8" s="26" t="str">
        <f>IF($B$15=0,IF($B$12=1,IF(SUM(BA10)&lt;=0,"",BA10),IF($B$12=2,IF(SUM(BB10)&lt;=0,"",BB10),IF($B$12=3,IF(SUM(BC10)&lt;=0,"",BC10),IF($B$12=4,IF(SUM(BD10)&lt;=0,"",BD10),IF($B$12=5,IF(SUM(#REF!)&lt;=0,"",#REF!),IF($B$12=6,IF(SUM(#REF!)&lt;=0,"",#REF!),"")))))),IF($B$12=1,IF(SUM(BA9)&lt;=0,"",BA9),IF($B$12=2,IF(SUM(BB9)&lt;=0,"",BB9),IF($B$12=3,IF(SUM(BC9)&lt;=0,"",BC9),IF($B$12=4,IF(SUM(BD9)&lt;=0,"",BD9),IF($B$12=5,IF(SUM(#REF!)&lt;=0,"",#REF!),IF($B$12=6,IF(SUM(#REF!)&lt;=0,"",#REF!),"")))))))</f>
        <v/>
      </c>
      <c r="BA8" s="26" t="str">
        <f>IF($B$15=0,IF($B$12=1,IF(SUM(BB10)&lt;=0,"",BB10),IF($B$12=2,IF(SUM(BC10)&lt;=0,"",BC10),IF($B$12=3,IF(SUM(BD10)&lt;=0,"",BD10),IF($B$12=4,IF(SUM(BE10)&lt;=0,"",BE10),IF($B$12=5,IF(SUM(#REF!)&lt;=0,"",#REF!),IF($B$12=6,IF(SUM(#REF!)&lt;=0,"",#REF!),"")))))),IF($B$12=1,IF(SUM(BB9)&lt;=0,"",BB9),IF($B$12=2,IF(SUM(BC9)&lt;=0,"",BC9),IF($B$12=3,IF(SUM(BD9)&lt;=0,"",BD9),IF($B$12=4,IF(SUM(BE9)&lt;=0,"",BE9),IF($B$12=5,IF(SUM(#REF!)&lt;=0,"",#REF!),IF($B$12=6,IF(SUM(#REF!)&lt;=0,"",#REF!),"")))))))</f>
        <v/>
      </c>
      <c r="BB8" s="26" t="str">
        <f>IF($B$15=0,IF($B$12=1,IF(SUM(BC10)&lt;=0,"",BC10),IF($B$12=2,IF(SUM(BD10)&lt;=0,"",BD10),IF($B$12=3,IF(SUM(BE10)&lt;=0,"",BE10),IF($B$12=4,IF(SUM(BF10)&lt;=0,"",BF10),IF($B$12=5,IF(SUM(#REF!)&lt;=0,"",#REF!),IF($B$12=6,IF(SUM(#REF!)&lt;=0,"",#REF!),"")))))),IF($B$12=1,IF(SUM(BC9)&lt;=0,"",BC9),IF($B$12=2,IF(SUM(BD9)&lt;=0,"",BD9),IF($B$12=3,IF(SUM(BE9)&lt;=0,"",BE9),IF($B$12=4,IF(SUM(BF9)&lt;=0,"",BF9),IF($B$12=5,IF(SUM(#REF!)&lt;=0,"",#REF!),IF($B$12=6,IF(SUM(#REF!)&lt;=0,"",#REF!),"")))))))</f>
        <v/>
      </c>
      <c r="BC8" s="26" t="str">
        <f>IF($B$15=0,IF($B$12=1,IF(SUM(BD10)&lt;=0,"",BD10),IF($B$12=2,IF(SUM(BE10)&lt;=0,"",BE10),IF($B$12=3,IF(SUM(BF10)&lt;=0,"",BF10),IF($B$12=4,IF(SUM(BG10)&lt;=0,"",BG10),IF($B$12=5,IF(SUM(#REF!)&lt;=0,"",#REF!),IF($B$12=6,IF(SUM(#REF!)&lt;=0,"",#REF!),"")))))),IF($B$12=1,IF(SUM(BD9)&lt;=0,"",BD9),IF($B$12=2,IF(SUM(BE9)&lt;=0,"",BE9),IF($B$12=3,IF(SUM(BF9)&lt;=0,"",BF9),IF($B$12=4,IF(SUM(BG9)&lt;=0,"",BG9),IF($B$12=5,IF(SUM(#REF!)&lt;=0,"",#REF!),IF($B$12=6,IF(SUM(#REF!)&lt;=0,"",#REF!),"")))))))</f>
        <v/>
      </c>
      <c r="BD8" s="26" t="str">
        <f>IF($B$15=0,IF($B$12=1,IF(SUM(BE10)&lt;=0,"",BE10),IF($B$12=2,IF(SUM(BF10)&lt;=0,"",BF10),IF($B$12=3,IF(SUM(BG10)&lt;=0,"",BG10),IF($B$12=4,IF(SUM(BH10)&lt;=0,"",BH10),IF($B$12=5,IF(SUM(#REF!)&lt;=0,"",#REF!),IF($B$12=6,IF(SUM(#REF!)&lt;=0,"",#REF!),"")))))),IF($B$12=1,IF(SUM(BE9)&lt;=0,"",BE9),IF($B$12=2,IF(SUM(BF9)&lt;=0,"",BF9),IF($B$12=3,IF(SUM(BG9)&lt;=0,"",BG9),IF($B$12=4,IF(SUM(BH9)&lt;=0,"",BH9),IF($B$12=5,IF(SUM(#REF!)&lt;=0,"",#REF!),IF($B$12=6,IF(SUM(#REF!)&lt;=0,"",#REF!),"")))))))</f>
        <v/>
      </c>
    </row>
    <row r="9" spans="1:56" ht="17.25" thickBot="1" x14ac:dyDescent="0.3">
      <c r="A9" s="4"/>
      <c r="B9" s="40">
        <v>0.3</v>
      </c>
      <c r="C9" s="4"/>
      <c r="D9" s="16" t="s">
        <v>9</v>
      </c>
      <c r="E9" s="24" t="str">
        <f>IF($B$15=1,IF(SUM(F10)&lt;=0,"",F10),IF($B$15=2,IF(SUM(G10)&lt;=0,"",G10),IF($B$15=3,IF(SUM(H10)&lt;=0,"",H10),IF($B$15=4,IF(SUM(I10)&lt;=0,"",I10),IF($B$15=5,IF(SUM(J10)&lt;=0,"",J10),"")))))</f>
        <v/>
      </c>
      <c r="F9" s="24" t="str">
        <f t="shared" ref="F9:AA9" si="67">IF($B$15=1,IF(SUM(G10)&lt;=0,"",G10),IF($B$15=2,IF(SUM(H10)&lt;=0,"",H10),IF($B$15=3,IF(SUM(I10)&lt;=0,"",I10),IF($B$15=4,IF(SUM(J10)&lt;=0,"",J10),IF($B$15=5,IF(SUM(K10)&lt;=0,"",K10),"")))))</f>
        <v/>
      </c>
      <c r="G9" s="24" t="str">
        <f t="shared" si="67"/>
        <v/>
      </c>
      <c r="H9" s="24" t="str">
        <f t="shared" si="67"/>
        <v/>
      </c>
      <c r="I9" s="24" t="str">
        <f t="shared" si="67"/>
        <v/>
      </c>
      <c r="J9" s="24" t="str">
        <f t="shared" si="67"/>
        <v/>
      </c>
      <c r="K9" s="24" t="str">
        <f t="shared" si="67"/>
        <v/>
      </c>
      <c r="L9" s="24" t="str">
        <f t="shared" si="67"/>
        <v/>
      </c>
      <c r="M9" s="24" t="str">
        <f>IF($B$15=1,IF(SUM(N10)&lt;=0,"",N10),IF($B$15=2,IF(SUM(O10)&lt;=0,"",O10),IF($B$15=3,IF(SUM(P10)&lt;=0,"",P10),IF($B$15=4,IF(SUM(Q10)&lt;=0,"",Q10),IF($B$15=5,IF(SUM(R10)&lt;=0,"",R10),"")))))</f>
        <v/>
      </c>
      <c r="N9" s="24" t="str">
        <f t="shared" si="67"/>
        <v/>
      </c>
      <c r="O9" s="24" t="str">
        <f t="shared" si="67"/>
        <v/>
      </c>
      <c r="P9" s="24" t="str">
        <f t="shared" si="67"/>
        <v/>
      </c>
      <c r="Q9" s="24" t="str">
        <f t="shared" si="67"/>
        <v/>
      </c>
      <c r="R9" s="24" t="str">
        <f t="shared" si="67"/>
        <v/>
      </c>
      <c r="S9" s="24" t="str">
        <f t="shared" si="67"/>
        <v/>
      </c>
      <c r="T9" s="24" t="str">
        <f t="shared" si="67"/>
        <v/>
      </c>
      <c r="U9" s="24" t="str">
        <f t="shared" si="67"/>
        <v/>
      </c>
      <c r="V9" s="24" t="str">
        <f t="shared" si="67"/>
        <v/>
      </c>
      <c r="W9" s="24" t="str">
        <f t="shared" si="67"/>
        <v/>
      </c>
      <c r="X9" s="24" t="str">
        <f t="shared" si="67"/>
        <v/>
      </c>
      <c r="Y9" s="24" t="str">
        <f t="shared" si="67"/>
        <v/>
      </c>
      <c r="Z9" s="24" t="str">
        <f t="shared" si="67"/>
        <v/>
      </c>
      <c r="AA9" s="24" t="str">
        <f t="shared" si="67"/>
        <v/>
      </c>
      <c r="AB9" s="24" t="str">
        <f>IF($B$15=1,IF(SUM(AC10)&lt;=0,"",AC10),IF($B$15=2,IF(SUM(AD10)&lt;=0,"",AD10),IF($B$15=3,IF(SUM(AE10)&lt;=0,"",AE10),IF($B$15=4,IF(SUM(AF10)&lt;=0,"",AF10),IF($B$15=5,IF(SUM(AG10)&lt;=0,"",AG10),"")))))</f>
        <v/>
      </c>
      <c r="AC9" s="24" t="str">
        <f t="shared" ref="AC9:AH9" si="68">IF($B$15=1,IF(SUM(AD10)&lt;=0,"",AD10),IF($B$15=2,IF(SUM(AE10)&lt;=0,"",AE10),IF($B$15=3,IF(SUM(AF10)&lt;=0,"",AF10),IF($B$15=4,IF(SUM(AG10)&lt;=0,"",AG10),IF($B$15=5,IF(SUM(AH10)&lt;=0,"",AH10),"")))))</f>
        <v/>
      </c>
      <c r="AD9" s="25" t="str">
        <f t="shared" si="68"/>
        <v/>
      </c>
      <c r="AE9" s="16" t="str">
        <f t="shared" si="68"/>
        <v/>
      </c>
      <c r="AF9" s="24" t="str">
        <f t="shared" si="68"/>
        <v/>
      </c>
      <c r="AG9" s="24" t="str">
        <f t="shared" si="68"/>
        <v/>
      </c>
      <c r="AH9" s="24" t="str">
        <f t="shared" si="68"/>
        <v/>
      </c>
      <c r="AI9" s="24" t="str">
        <f t="shared" ref="AI9" si="69">IF($B$15=1,IF(SUM(AJ10)&lt;=0,"",AJ10),IF($B$15=2,IF(SUM(AK10)&lt;=0,"",AK10),IF($B$15=3,IF(SUM(AL10)&lt;=0,"",AL10),IF($B$15=4,IF(SUM(AM10)&lt;=0,"",AM10),IF($B$15=5,IF(SUM(AN10)&lt;=0,"",AN10),"")))))</f>
        <v/>
      </c>
      <c r="AJ9" s="24" t="str">
        <f t="shared" ref="AJ9" si="70">IF($B$15=1,IF(SUM(AK10)&lt;=0,"",AK10),IF($B$15=2,IF(SUM(AL10)&lt;=0,"",AL10),IF($B$15=3,IF(SUM(AM10)&lt;=0,"",AM10),IF($B$15=4,IF(SUM(AN10)&lt;=0,"",AN10),IF($B$15=5,IF(SUM(AO10)&lt;=0,"",AO10),"")))))</f>
        <v/>
      </c>
      <c r="AK9" s="24" t="str">
        <f t="shared" ref="AK9" si="71">IF($B$15=1,IF(SUM(AL10)&lt;=0,"",AL10),IF($B$15=2,IF(SUM(AM10)&lt;=0,"",AM10),IF($B$15=3,IF(SUM(AN10)&lt;=0,"",AN10),IF($B$15=4,IF(SUM(AO10)&lt;=0,"",AO10),IF($B$15=5,IF(SUM(AP10)&lt;=0,"",AP10),"")))))</f>
        <v/>
      </c>
      <c r="AL9" s="24" t="str">
        <f t="shared" ref="AL9" si="72">IF($B$15=1,IF(SUM(AM10)&lt;=0,"",AM10),IF($B$15=2,IF(SUM(AN10)&lt;=0,"",AN10),IF($B$15=3,IF(SUM(AO10)&lt;=0,"",AO10),IF($B$15=4,IF(SUM(AP10)&lt;=0,"",AP10),IF($B$15=5,IF(SUM(AQ10)&lt;=0,"",AQ10),"")))))</f>
        <v/>
      </c>
      <c r="AM9" s="24" t="str">
        <f t="shared" ref="AM9" si="73">IF($B$15=1,IF(SUM(AN10)&lt;=0,"",AN10),IF($B$15=2,IF(SUM(AO10)&lt;=0,"",AO10),IF($B$15=3,IF(SUM(AP10)&lt;=0,"",AP10),IF($B$15=4,IF(SUM(AQ10)&lt;=0,"",AQ10),IF($B$15=5,IF(SUM(AR10)&lt;=0,"",AR10),"")))))</f>
        <v/>
      </c>
      <c r="AN9" s="24" t="str">
        <f t="shared" ref="AN9" si="74">IF($B$15=1,IF(SUM(AO10)&lt;=0,"",AO10),IF($B$15=2,IF(SUM(AP10)&lt;=0,"",AP10),IF($B$15=3,IF(SUM(AQ10)&lt;=0,"",AQ10),IF($B$15=4,IF(SUM(AR10)&lt;=0,"",AR10),IF($B$15=5,IF(SUM(AS10)&lt;=0,"",AS10),"")))))</f>
        <v/>
      </c>
      <c r="AO9" s="24" t="str">
        <f t="shared" ref="AO9" si="75">IF($B$15=1,IF(SUM(AP10)&lt;=0,"",AP10),IF($B$15=2,IF(SUM(AQ10)&lt;=0,"",AQ10),IF($B$15=3,IF(SUM(AR10)&lt;=0,"",AR10),IF($B$15=4,IF(SUM(AS10)&lt;=0,"",AS10),IF($B$15=5,IF(SUM(AT10)&lt;=0,"",AT10),"")))))</f>
        <v/>
      </c>
      <c r="AP9" s="24" t="str">
        <f t="shared" ref="AP9" si="76">IF($B$15=1,IF(SUM(AQ10)&lt;=0,"",AQ10),IF($B$15=2,IF(SUM(AR10)&lt;=0,"",AR10),IF($B$15=3,IF(SUM(AS10)&lt;=0,"",AS10),IF($B$15=4,IF(SUM(AT10)&lt;=0,"",AT10),IF($B$15=5,IF(SUM(AU10)&lt;=0,"",AU10),"")))))</f>
        <v/>
      </c>
      <c r="AQ9" s="24" t="str">
        <f t="shared" ref="AQ9" si="77">IF($B$15=1,IF(SUM(AR10)&lt;=0,"",AR10),IF($B$15=2,IF(SUM(AS10)&lt;=0,"",AS10),IF($B$15=3,IF(SUM(AT10)&lt;=0,"",AT10),IF($B$15=4,IF(SUM(AU10)&lt;=0,"",AU10),IF($B$15=5,IF(SUM(AV10)&lt;=0,"",AV10),"")))))</f>
        <v/>
      </c>
      <c r="AR9" s="24" t="str">
        <f t="shared" ref="AR9" si="78">IF($B$15=1,IF(SUM(AS10)&lt;=0,"",AS10),IF($B$15=2,IF(SUM(AT10)&lt;=0,"",AT10),IF($B$15=3,IF(SUM(AU10)&lt;=0,"",AU10),IF($B$15=4,IF(SUM(AV10)&lt;=0,"",AV10),IF($B$15=5,IF(SUM(AW10)&lt;=0,"",AW10),"")))))</f>
        <v/>
      </c>
      <c r="AS9" s="24" t="str">
        <f t="shared" ref="AS9" si="79">IF($B$15=1,IF(SUM(AT10)&lt;=0,"",AT10),IF($B$15=2,IF(SUM(AU10)&lt;=0,"",AU10),IF($B$15=3,IF(SUM(AV10)&lt;=0,"",AV10),IF($B$15=4,IF(SUM(AW10)&lt;=0,"",AW10),IF($B$15=5,IF(SUM(AX10)&lt;=0,"",AX10),"")))))</f>
        <v/>
      </c>
      <c r="AT9" s="24" t="str">
        <f t="shared" ref="AT9" si="80">IF($B$15=1,IF(SUM(AU10)&lt;=0,"",AU10),IF($B$15=2,IF(SUM(AV10)&lt;=0,"",AV10),IF($B$15=3,IF(SUM(AW10)&lt;=0,"",AW10),IF($B$15=4,IF(SUM(AX10)&lt;=0,"",AX10),IF($B$15=5,IF(SUM(AY10)&lt;=0,"",AY10),"")))))</f>
        <v/>
      </c>
      <c r="AU9" s="24" t="str">
        <f t="shared" ref="AU9" si="81">IF($B$15=1,IF(SUM(AV10)&lt;=0,"",AV10),IF($B$15=2,IF(SUM(AW10)&lt;=0,"",AW10),IF($B$15=3,IF(SUM(AX10)&lt;=0,"",AX10),IF($B$15=4,IF(SUM(AY10)&lt;=0,"",AY10),IF($B$15=5,IF(SUM(AZ10)&lt;=0,"",AZ10),"")))))</f>
        <v/>
      </c>
      <c r="AV9" s="24" t="str">
        <f t="shared" ref="AV9" si="82">IF($B$15=1,IF(SUM(AW10)&lt;=0,"",AW10),IF($B$15=2,IF(SUM(AX10)&lt;=0,"",AX10),IF($B$15=3,IF(SUM(AY10)&lt;=0,"",AY10),IF($B$15=4,IF(SUM(AZ10)&lt;=0,"",AZ10),IF($B$15=5,IF(SUM(BA10)&lt;=0,"",BA10),"")))))</f>
        <v/>
      </c>
      <c r="AW9" s="24" t="str">
        <f t="shared" ref="AW9" si="83">IF($B$15=1,IF(SUM(AX10)&lt;=0,"",AX10),IF($B$15=2,IF(SUM(AY10)&lt;=0,"",AY10),IF($B$15=3,IF(SUM(AZ10)&lt;=0,"",AZ10),IF($B$15=4,IF(SUM(BA10)&lt;=0,"",BA10),IF($B$15=5,IF(SUM(BB10)&lt;=0,"",BB10),"")))))</f>
        <v/>
      </c>
      <c r="AX9" s="24" t="str">
        <f t="shared" ref="AX9" si="84">IF($B$15=1,IF(SUM(AY10)&lt;=0,"",AY10),IF($B$15=2,IF(SUM(AZ10)&lt;=0,"",AZ10),IF($B$15=3,IF(SUM(BA10)&lt;=0,"",BA10),IF($B$15=4,IF(SUM(BB10)&lt;=0,"",BB10),IF($B$15=5,IF(SUM(BC10)&lt;=0,"",BC10),"")))))</f>
        <v/>
      </c>
      <c r="AY9" s="24" t="str">
        <f t="shared" ref="AY9" si="85">IF($B$15=1,IF(SUM(AZ10)&lt;=0,"",AZ10),IF($B$15=2,IF(SUM(BA10)&lt;=0,"",BA10),IF($B$15=3,IF(SUM(BB10)&lt;=0,"",BB10),IF($B$15=4,IF(SUM(BC10)&lt;=0,"",BC10),IF($B$15=5,IF(SUM(BD10)&lt;=0,"",BD10),"")))))</f>
        <v/>
      </c>
      <c r="AZ9" s="24" t="str">
        <f>IF($B$15=1,IF(SUM(BA10)&lt;=0,"",BA10),IF($B$15=2,IF(SUM(BB10)&lt;=0,"",BB10),IF($B$15=3,IF(SUM(BC10)&lt;=0,"",BC10),IF($B$15=4,IF(SUM(BD10)&lt;=0,"",BD10),IF($B$15=5,IF(SUM(#REF!)&lt;=0,"",#REF!),"")))))</f>
        <v/>
      </c>
      <c r="BA9" s="24" t="str">
        <f>IF($B$15=1,IF(SUM(BB10)&lt;=0,"",BB10),IF($B$15=2,IF(SUM(BC10)&lt;=0,"",BC10),IF($B$15=3,IF(SUM(BD10)&lt;=0,"",BD10),IF($B$15=4,IF(SUM(BE10)&lt;=0,"",BE10),IF($B$15=5,IF(SUM(#REF!)&lt;=0,"",#REF!),"")))))</f>
        <v/>
      </c>
      <c r="BB9" s="24" t="str">
        <f>IF($B$15=1,IF(SUM(BC10)&lt;=0,"",BC10),IF($B$15=2,IF(SUM(BD10)&lt;=0,"",BD10),IF($B$15=3,IF(SUM(BE10)&lt;=0,"",BE10),IF($B$15=4,IF(SUM(BF10)&lt;=0,"",BF10),IF($B$15=5,IF(SUM(#REF!)&lt;=0,"",#REF!),"")))))</f>
        <v/>
      </c>
      <c r="BC9" s="24" t="str">
        <f>IF($B$15=1,IF(SUM(BD10)&lt;=0,"",BD10),IF($B$15=2,IF(SUM(BE10)&lt;=0,"",BE10),IF($B$15=3,IF(SUM(BF10)&lt;=0,"",BF10),IF($B$15=4,IF(SUM(BG10)&lt;=0,"",BG10),IF($B$15=5,IF(SUM(#REF!)&lt;=0,"",#REF!),"")))))</f>
        <v/>
      </c>
      <c r="BD9" s="24" t="str">
        <f>IF($B$15=1,IF(SUM(BE10)&lt;=0,"",BE10),IF($B$15=2,IF(SUM(BF10)&lt;=0,"",BF10),IF($B$15=3,IF(SUM(BG10)&lt;=0,"",BG10),IF($B$15=4,IF(SUM(BH10)&lt;=0,"",BH10),IF($B$15=5,IF(SUM(#REF!)&lt;=0,"",#REF!),"")))))</f>
        <v/>
      </c>
    </row>
    <row r="10" spans="1:56" ht="17.25" thickBot="1" x14ac:dyDescent="0.3">
      <c r="A10" s="4"/>
      <c r="C10" s="4"/>
      <c r="D10" s="14" t="s">
        <v>10</v>
      </c>
      <c r="E10" s="28"/>
      <c r="F10" s="28"/>
      <c r="G10" s="28"/>
      <c r="H10" s="28"/>
      <c r="I10" s="28"/>
      <c r="J10" s="28"/>
      <c r="K10" s="28"/>
      <c r="L10" s="28"/>
      <c r="M10" s="28"/>
      <c r="N10" s="28"/>
      <c r="O10" s="28"/>
      <c r="P10" s="28">
        <v>10</v>
      </c>
      <c r="Q10" s="28"/>
      <c r="R10" s="28"/>
      <c r="S10" s="28"/>
      <c r="T10" s="28">
        <v>40</v>
      </c>
      <c r="U10" s="28"/>
      <c r="V10" s="28"/>
      <c r="W10" s="28">
        <v>30</v>
      </c>
      <c r="X10" s="28"/>
      <c r="Y10" s="28"/>
      <c r="Z10" s="28"/>
      <c r="AA10" s="28"/>
      <c r="AB10" s="28"/>
      <c r="AC10" s="28">
        <v>30</v>
      </c>
      <c r="AD10" s="36"/>
      <c r="AE10" s="34"/>
      <c r="AF10" s="28"/>
      <c r="AG10" s="28"/>
      <c r="AH10" s="28"/>
      <c r="AI10" s="28"/>
      <c r="AJ10" s="28"/>
      <c r="AK10" s="28"/>
      <c r="AL10" s="28"/>
      <c r="AM10" s="28"/>
      <c r="AN10" s="28"/>
      <c r="AO10" s="28"/>
      <c r="AP10" s="28"/>
      <c r="AQ10" s="28"/>
      <c r="AR10" s="28"/>
      <c r="AS10" s="28"/>
      <c r="AT10" s="28"/>
      <c r="AU10" s="28"/>
      <c r="AV10" s="28">
        <v>40</v>
      </c>
      <c r="AW10" s="28"/>
      <c r="AX10" s="28">
        <v>90</v>
      </c>
      <c r="AY10" s="28">
        <v>90</v>
      </c>
      <c r="AZ10" s="28">
        <v>120</v>
      </c>
      <c r="BA10" s="28"/>
      <c r="BB10" s="28"/>
      <c r="BC10" s="28"/>
      <c r="BD10" s="28"/>
    </row>
    <row r="11" spans="1:56" x14ac:dyDescent="0.25">
      <c r="A11" s="4"/>
      <c r="B11" s="11" t="s">
        <v>8</v>
      </c>
      <c r="C11" s="4"/>
      <c r="AD11" s="8"/>
    </row>
    <row r="12" spans="1:56" ht="34.5" customHeight="1" thickBot="1" x14ac:dyDescent="0.3">
      <c r="A12" s="4"/>
      <c r="B12" s="13">
        <v>2</v>
      </c>
      <c r="C12" s="4"/>
      <c r="D12" s="31" t="s">
        <v>13</v>
      </c>
    </row>
    <row r="13" spans="1:56" ht="24" thickBot="1" x14ac:dyDescent="0.3">
      <c r="A13" s="4"/>
      <c r="B13" s="7"/>
      <c r="C13" s="4"/>
      <c r="D13" s="9"/>
      <c r="E13" s="10">
        <f>B18</f>
        <v>44569</v>
      </c>
      <c r="F13" s="10">
        <f>E13+7</f>
        <v>44576</v>
      </c>
      <c r="G13" s="10">
        <f t="shared" ref="G13:Q13" si="86">F13+7</f>
        <v>44583</v>
      </c>
      <c r="H13" s="10">
        <f t="shared" si="86"/>
        <v>44590</v>
      </c>
      <c r="I13" s="10">
        <f t="shared" si="86"/>
        <v>44597</v>
      </c>
      <c r="J13" s="10">
        <f t="shared" si="86"/>
        <v>44604</v>
      </c>
      <c r="K13" s="10">
        <f t="shared" si="86"/>
        <v>44611</v>
      </c>
      <c r="L13" s="10">
        <f t="shared" si="86"/>
        <v>44618</v>
      </c>
      <c r="M13" s="10">
        <f t="shared" si="86"/>
        <v>44625</v>
      </c>
      <c r="N13" s="10">
        <f t="shared" si="86"/>
        <v>44632</v>
      </c>
      <c r="O13" s="10">
        <f t="shared" si="86"/>
        <v>44639</v>
      </c>
      <c r="P13" s="10">
        <f t="shared" si="86"/>
        <v>44646</v>
      </c>
      <c r="Q13" s="10">
        <f t="shared" si="86"/>
        <v>44653</v>
      </c>
    </row>
    <row r="14" spans="1:56" ht="18" thickTop="1" thickBot="1" x14ac:dyDescent="0.3">
      <c r="A14" s="4"/>
      <c r="B14" s="11" t="s">
        <v>11</v>
      </c>
      <c r="C14" s="4"/>
      <c r="D14" s="12" t="s">
        <v>4</v>
      </c>
      <c r="E14" s="29">
        <f t="shared" ref="E14:Q14" si="87">IFERROR(HLOOKUP(E13,$E$2:$AH$10,2,FALSE),"")</f>
        <v>249.87427980826627</v>
      </c>
      <c r="F14" s="29">
        <f t="shared" si="87"/>
        <v>201.62188021282458</v>
      </c>
      <c r="G14" s="29">
        <f t="shared" si="87"/>
        <v>155.46952938763744</v>
      </c>
      <c r="H14" s="29">
        <f t="shared" si="87"/>
        <v>144.33803630258038</v>
      </c>
      <c r="I14" s="29">
        <f t="shared" si="87"/>
        <v>140.24692578653088</v>
      </c>
      <c r="J14" s="29">
        <f t="shared" si="87"/>
        <v>126.79178972963622</v>
      </c>
      <c r="K14" s="29">
        <f t="shared" si="87"/>
        <v>106.13914047926204</v>
      </c>
      <c r="L14" s="29">
        <f t="shared" si="87"/>
        <v>108.04928678209595</v>
      </c>
      <c r="M14" s="29">
        <f t="shared" si="87"/>
        <v>105.9595652187401</v>
      </c>
      <c r="N14" s="29">
        <f t="shared" si="87"/>
        <v>119.8533373436849</v>
      </c>
      <c r="O14" s="29">
        <f t="shared" si="87"/>
        <v>137.0115823231628</v>
      </c>
      <c r="P14" s="29">
        <f t="shared" si="87"/>
        <v>135.20353767463632</v>
      </c>
      <c r="Q14" s="29">
        <f t="shared" si="87"/>
        <v>109.19592874846334</v>
      </c>
    </row>
    <row r="15" spans="1:56" ht="17.25" thickBot="1" x14ac:dyDescent="0.3">
      <c r="A15" s="4"/>
      <c r="B15" s="13">
        <v>0</v>
      </c>
      <c r="C15" s="4"/>
      <c r="D15" s="14" t="s">
        <v>17</v>
      </c>
      <c r="E15" s="15">
        <f t="shared" ref="E15:Q15" si="88">IFERROR(HLOOKUP(E13,$E$2:$AH$10,3,FALSE),"")</f>
        <v>284.58325000000002</v>
      </c>
      <c r="F15" s="15">
        <f t="shared" si="88"/>
        <v>277.46866875000001</v>
      </c>
      <c r="G15" s="15">
        <f t="shared" si="88"/>
        <v>270.53195203125</v>
      </c>
      <c r="H15" s="15">
        <f t="shared" si="88"/>
        <v>263.76865323046877</v>
      </c>
      <c r="I15" s="15">
        <f t="shared" si="88"/>
        <v>257.17443689970708</v>
      </c>
      <c r="J15" s="15">
        <f t="shared" si="88"/>
        <v>250.74507597721441</v>
      </c>
      <c r="K15" s="15">
        <f t="shared" si="88"/>
        <v>244.47644907778405</v>
      </c>
      <c r="L15" s="15">
        <f t="shared" si="88"/>
        <v>238.36453785083944</v>
      </c>
      <c r="M15" s="15">
        <f t="shared" si="88"/>
        <v>232.40542440456846</v>
      </c>
      <c r="N15" s="15">
        <f t="shared" si="88"/>
        <v>226.59528879445426</v>
      </c>
      <c r="O15" s="15">
        <f t="shared" si="88"/>
        <v>220.93040657459289</v>
      </c>
      <c r="P15" s="15">
        <f t="shared" si="88"/>
        <v>225.40714641022808</v>
      </c>
      <c r="Q15" s="15">
        <f t="shared" si="88"/>
        <v>219.77196774997239</v>
      </c>
    </row>
    <row r="16" spans="1:56" ht="17.25" thickBot="1" x14ac:dyDescent="0.3">
      <c r="A16" s="4"/>
      <c r="B16" s="7"/>
      <c r="C16" s="4"/>
      <c r="D16" s="16" t="str">
        <f>D5</f>
        <v>VARIANCE</v>
      </c>
      <c r="E16" s="17">
        <f t="shared" ref="E16:Q16" si="89">IFERROR(HLOOKUP(E13,$E$2:$AH$10,4,FALSE),"")</f>
        <v>35</v>
      </c>
      <c r="F16" s="17">
        <f t="shared" si="89"/>
        <v>76</v>
      </c>
      <c r="G16" s="17">
        <f t="shared" si="89"/>
        <v>115</v>
      </c>
      <c r="H16" s="17">
        <f t="shared" si="89"/>
        <v>119</v>
      </c>
      <c r="I16" s="17">
        <f t="shared" si="89"/>
        <v>117</v>
      </c>
      <c r="J16" s="17">
        <f t="shared" si="89"/>
        <v>124</v>
      </c>
      <c r="K16" s="17">
        <f t="shared" si="89"/>
        <v>138</v>
      </c>
      <c r="L16" s="17">
        <f t="shared" si="89"/>
        <v>130</v>
      </c>
      <c r="M16" s="17">
        <f t="shared" si="89"/>
        <v>126</v>
      </c>
      <c r="N16" s="17">
        <f t="shared" si="89"/>
        <v>107</v>
      </c>
      <c r="O16" s="17">
        <f t="shared" si="89"/>
        <v>84</v>
      </c>
      <c r="P16" s="17">
        <f t="shared" si="89"/>
        <v>90</v>
      </c>
      <c r="Q16" s="17">
        <f t="shared" si="89"/>
        <v>111</v>
      </c>
    </row>
    <row r="17" spans="1:28" ht="24" thickBot="1" x14ac:dyDescent="0.3">
      <c r="A17" s="4"/>
      <c r="B17" s="11" t="s">
        <v>12</v>
      </c>
      <c r="C17" s="4"/>
      <c r="D17" s="20"/>
      <c r="E17" s="21"/>
      <c r="F17" s="21"/>
      <c r="G17" s="21"/>
      <c r="H17" s="21"/>
      <c r="I17" s="21"/>
      <c r="J17" s="21"/>
      <c r="K17" s="21"/>
      <c r="L17" s="21"/>
      <c r="M17" s="21"/>
      <c r="N17" s="21"/>
      <c r="O17" s="21"/>
      <c r="P17" s="21"/>
      <c r="Q17" s="21"/>
    </row>
    <row r="18" spans="1:28" ht="17.25" thickBot="1" x14ac:dyDescent="0.3">
      <c r="A18" s="4"/>
      <c r="B18" s="30">
        <f>E2</f>
        <v>44569</v>
      </c>
      <c r="C18" s="4"/>
      <c r="D18" s="16" t="str">
        <f>D7</f>
        <v>NEW HIRE</v>
      </c>
      <c r="E18" s="24" t="str">
        <f t="shared" ref="E18:Q18" si="90">IFERROR(HLOOKUP(E13,$E$2:$AH$10,6,FALSE),"")</f>
        <v/>
      </c>
      <c r="F18" s="24" t="str">
        <f t="shared" si="90"/>
        <v/>
      </c>
      <c r="G18" s="24" t="str">
        <f t="shared" si="90"/>
        <v/>
      </c>
      <c r="H18" s="24" t="str">
        <f t="shared" si="90"/>
        <v/>
      </c>
      <c r="I18" s="24" t="str">
        <f t="shared" si="90"/>
        <v/>
      </c>
      <c r="J18" s="24" t="str">
        <f t="shared" si="90"/>
        <v/>
      </c>
      <c r="K18" s="24" t="str">
        <f t="shared" si="90"/>
        <v/>
      </c>
      <c r="L18" s="24" t="str">
        <f t="shared" si="90"/>
        <v/>
      </c>
      <c r="M18" s="24">
        <f t="shared" si="90"/>
        <v>13</v>
      </c>
      <c r="N18" s="24" t="str">
        <f t="shared" si="90"/>
        <v/>
      </c>
      <c r="O18" s="24" t="str">
        <f t="shared" si="90"/>
        <v/>
      </c>
      <c r="P18" s="24" t="str">
        <f t="shared" si="90"/>
        <v/>
      </c>
      <c r="Q18" s="24">
        <f t="shared" si="90"/>
        <v>52</v>
      </c>
    </row>
    <row r="19" spans="1:28" ht="17.25" thickBot="1" x14ac:dyDescent="0.3">
      <c r="A19" s="4"/>
      <c r="C19" s="4"/>
      <c r="D19" s="14" t="str">
        <f>D8</f>
        <v>TRAINING</v>
      </c>
      <c r="E19" s="26" t="str">
        <f t="shared" ref="E19:Q19" si="91">IFERROR(HLOOKUP(E13,$E$2:$AH$10,7,FALSE),"")</f>
        <v/>
      </c>
      <c r="F19" s="26" t="str">
        <f t="shared" si="91"/>
        <v/>
      </c>
      <c r="G19" s="26" t="str">
        <f t="shared" si="91"/>
        <v/>
      </c>
      <c r="H19" s="26" t="str">
        <f t="shared" si="91"/>
        <v/>
      </c>
      <c r="I19" s="26" t="str">
        <f t="shared" si="91"/>
        <v/>
      </c>
      <c r="J19" s="26" t="str">
        <f t="shared" si="91"/>
        <v/>
      </c>
      <c r="K19" s="26" t="str">
        <f t="shared" si="91"/>
        <v/>
      </c>
      <c r="L19" s="26" t="str">
        <f t="shared" si="91"/>
        <v/>
      </c>
      <c r="M19" s="26" t="str">
        <f t="shared" si="91"/>
        <v/>
      </c>
      <c r="N19" s="26">
        <f t="shared" si="91"/>
        <v>10</v>
      </c>
      <c r="O19" s="26" t="str">
        <f t="shared" si="91"/>
        <v/>
      </c>
      <c r="P19" s="26" t="str">
        <f t="shared" si="91"/>
        <v/>
      </c>
      <c r="Q19" s="26" t="str">
        <f t="shared" si="91"/>
        <v/>
      </c>
    </row>
    <row r="20" spans="1:28" ht="17.25" thickBot="1" x14ac:dyDescent="0.3">
      <c r="C20" s="4"/>
      <c r="D20" s="16" t="str">
        <f>D9</f>
        <v>NESTING</v>
      </c>
      <c r="E20" s="24" t="str">
        <f t="shared" ref="E20:Q20" si="92">IFERROR(HLOOKUP(E13,$E$2:$AH$10,8,FALSE),"")</f>
        <v/>
      </c>
      <c r="F20" s="24" t="str">
        <f t="shared" si="92"/>
        <v/>
      </c>
      <c r="G20" s="24" t="str">
        <f t="shared" si="92"/>
        <v/>
      </c>
      <c r="H20" s="24" t="str">
        <f t="shared" si="92"/>
        <v/>
      </c>
      <c r="I20" s="24" t="str">
        <f t="shared" si="92"/>
        <v/>
      </c>
      <c r="J20" s="24" t="str">
        <f t="shared" si="92"/>
        <v/>
      </c>
      <c r="K20" s="24" t="str">
        <f t="shared" si="92"/>
        <v/>
      </c>
      <c r="L20" s="24" t="str">
        <f t="shared" si="92"/>
        <v/>
      </c>
      <c r="M20" s="24" t="str">
        <f t="shared" si="92"/>
        <v/>
      </c>
      <c r="N20" s="24" t="str">
        <f t="shared" si="92"/>
        <v/>
      </c>
      <c r="O20" s="24" t="str">
        <f t="shared" si="92"/>
        <v/>
      </c>
      <c r="P20" s="24" t="str">
        <f t="shared" si="92"/>
        <v/>
      </c>
      <c r="Q20" s="24" t="str">
        <f t="shared" si="92"/>
        <v/>
      </c>
      <c r="AB20" s="4"/>
    </row>
    <row r="21" spans="1:28" ht="17.25" thickBot="1" x14ac:dyDescent="0.3">
      <c r="D21" s="26" t="str">
        <f>D10</f>
        <v>PRODUCTION</v>
      </c>
      <c r="E21" s="26" t="str">
        <f t="shared" ref="E21:Q21" si="93">IFERROR(IF(HLOOKUP(E13,$E$2:$AH$10,9,FALSE)=0,"",HLOOKUP(E13,$E$2:$AD$10,9,FALSE)),"")</f>
        <v/>
      </c>
      <c r="F21" s="26" t="str">
        <f t="shared" si="93"/>
        <v/>
      </c>
      <c r="G21" s="26" t="str">
        <f t="shared" si="93"/>
        <v/>
      </c>
      <c r="H21" s="26" t="str">
        <f t="shared" si="93"/>
        <v/>
      </c>
      <c r="I21" s="26" t="str">
        <f t="shared" si="93"/>
        <v/>
      </c>
      <c r="J21" s="26" t="str">
        <f t="shared" si="93"/>
        <v/>
      </c>
      <c r="K21" s="26" t="str">
        <f t="shared" si="93"/>
        <v/>
      </c>
      <c r="L21" s="26" t="str">
        <f t="shared" si="93"/>
        <v/>
      </c>
      <c r="M21" s="26" t="str">
        <f t="shared" si="93"/>
        <v/>
      </c>
      <c r="N21" s="26" t="str">
        <f t="shared" si="93"/>
        <v/>
      </c>
      <c r="O21" s="26" t="str">
        <f t="shared" si="93"/>
        <v/>
      </c>
      <c r="P21" s="26">
        <f t="shared" si="93"/>
        <v>10</v>
      </c>
      <c r="Q21" s="26" t="str">
        <f t="shared" si="93"/>
        <v/>
      </c>
    </row>
  </sheetData>
  <conditionalFormatting sqref="E5:AB5">
    <cfRule type="cellIs" dxfId="896" priority="7" operator="equal">
      <formula>0</formula>
    </cfRule>
    <cfRule type="cellIs" dxfId="895" priority="8" operator="lessThan">
      <formula>0</formula>
    </cfRule>
    <cfRule type="cellIs" dxfId="894" priority="9" operator="greaterThan">
      <formula>0</formula>
    </cfRule>
  </conditionalFormatting>
  <conditionalFormatting sqref="E16:Q16">
    <cfRule type="cellIs" dxfId="893" priority="4" operator="equal">
      <formula>0</formula>
    </cfRule>
    <cfRule type="cellIs" dxfId="892" priority="5" operator="lessThan">
      <formula>0</formula>
    </cfRule>
    <cfRule type="cellIs" dxfId="891" priority="6" operator="greaterThan">
      <formula>0</formula>
    </cfRule>
  </conditionalFormatting>
  <conditionalFormatting sqref="AC5:BD5">
    <cfRule type="cellIs" dxfId="890" priority="1" operator="equal">
      <formula>0</formula>
    </cfRule>
    <cfRule type="cellIs" dxfId="889" priority="2" operator="lessThan">
      <formula>0</formula>
    </cfRule>
    <cfRule type="cellIs" dxfId="888" priority="3" operator="greaterThan">
      <formula>0</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AA338-E006-451F-97A8-2E21321ED6E9}">
  <sheetPr codeName="Sheet2"/>
  <dimension ref="A1:BD21"/>
  <sheetViews>
    <sheetView showGridLines="0" zoomScale="70" zoomScaleNormal="70" workbookViewId="0">
      <selection activeCell="G10" sqref="G10"/>
    </sheetView>
  </sheetViews>
  <sheetFormatPr defaultRowHeight="15" x14ac:dyDescent="0.25"/>
  <cols>
    <col min="1" max="1" width="2.28515625" style="6" bestFit="1" customWidth="1"/>
    <col min="2" max="2" width="26.140625" style="6" bestFit="1" customWidth="1"/>
    <col min="3" max="3" width="3.7109375" style="6" customWidth="1"/>
    <col min="4" max="4" width="33.42578125" style="6" bestFit="1" customWidth="1"/>
    <col min="5" max="5" width="6.85546875" style="6" bestFit="1" customWidth="1"/>
    <col min="6" max="8" width="8.28515625" style="6" bestFit="1" customWidth="1"/>
    <col min="9" max="9" width="6.85546875" style="6" bestFit="1" customWidth="1"/>
    <col min="10" max="12" width="8.28515625" style="6" bestFit="1" customWidth="1"/>
    <col min="13" max="13" width="5.42578125" style="6" bestFit="1" customWidth="1"/>
    <col min="14" max="17" width="6.85546875" style="6" bestFit="1" customWidth="1"/>
    <col min="18" max="18" width="5.42578125" style="6" bestFit="1" customWidth="1"/>
    <col min="19" max="21" width="6.85546875" style="6" bestFit="1" customWidth="1"/>
    <col min="22" max="22" width="5.42578125" style="6" bestFit="1" customWidth="1"/>
    <col min="23" max="25" width="6.85546875" style="6" bestFit="1" customWidth="1"/>
    <col min="26" max="26" width="5.42578125" style="6" bestFit="1" customWidth="1"/>
    <col min="27" max="30" width="6.85546875" style="6" bestFit="1" customWidth="1"/>
    <col min="31" max="31" width="5.42578125" style="6" bestFit="1" customWidth="1"/>
    <col min="32" max="32" width="6.85546875" style="6" bestFit="1" customWidth="1"/>
    <col min="33" max="33" width="6.85546875" style="6" customWidth="1"/>
    <col min="34" max="34" width="6.85546875" style="6" bestFit="1" customWidth="1"/>
    <col min="35" max="16384" width="9.140625" style="6"/>
  </cols>
  <sheetData>
    <row r="1" spans="1:56" ht="20.25" thickBot="1" x14ac:dyDescent="0.3">
      <c r="A1" s="4" t="s">
        <v>15</v>
      </c>
      <c r="C1" s="4"/>
      <c r="D1" s="31" t="s">
        <v>14</v>
      </c>
      <c r="AD1" s="8"/>
    </row>
    <row r="2" spans="1:56" ht="24" thickBot="1" x14ac:dyDescent="0.3">
      <c r="A2" s="4"/>
      <c r="B2" s="11" t="s">
        <v>3</v>
      </c>
      <c r="C2" s="4"/>
      <c r="D2" s="9"/>
      <c r="E2" s="10">
        <v>44569</v>
      </c>
      <c r="F2" s="10">
        <f>E2+7</f>
        <v>44576</v>
      </c>
      <c r="G2" s="10">
        <f t="shared" ref="G2:P2" si="0">F2+7</f>
        <v>44583</v>
      </c>
      <c r="H2" s="10">
        <f t="shared" si="0"/>
        <v>44590</v>
      </c>
      <c r="I2" s="10">
        <f t="shared" si="0"/>
        <v>44597</v>
      </c>
      <c r="J2" s="10">
        <f t="shared" si="0"/>
        <v>44604</v>
      </c>
      <c r="K2" s="10">
        <f t="shared" si="0"/>
        <v>44611</v>
      </c>
      <c r="L2" s="10">
        <f t="shared" si="0"/>
        <v>44618</v>
      </c>
      <c r="M2" s="10">
        <f t="shared" si="0"/>
        <v>44625</v>
      </c>
      <c r="N2" s="10">
        <f t="shared" si="0"/>
        <v>44632</v>
      </c>
      <c r="O2" s="10">
        <f t="shared" si="0"/>
        <v>44639</v>
      </c>
      <c r="P2" s="10">
        <f t="shared" si="0"/>
        <v>44646</v>
      </c>
      <c r="Q2" s="10">
        <f t="shared" ref="Q2" si="1">P2+7</f>
        <v>44653</v>
      </c>
      <c r="R2" s="10">
        <f t="shared" ref="R2" si="2">Q2+7</f>
        <v>44660</v>
      </c>
      <c r="S2" s="10">
        <f t="shared" ref="S2" si="3">R2+7</f>
        <v>44667</v>
      </c>
      <c r="T2" s="10">
        <f t="shared" ref="T2" si="4">S2+7</f>
        <v>44674</v>
      </c>
      <c r="U2" s="10">
        <f t="shared" ref="U2" si="5">T2+7</f>
        <v>44681</v>
      </c>
      <c r="V2" s="10">
        <f t="shared" ref="V2" si="6">U2+7</f>
        <v>44688</v>
      </c>
      <c r="W2" s="10">
        <f t="shared" ref="W2" si="7">V2+7</f>
        <v>44695</v>
      </c>
      <c r="X2" s="10">
        <f t="shared" ref="X2" si="8">W2+7</f>
        <v>44702</v>
      </c>
      <c r="Y2" s="10">
        <f t="shared" ref="Y2" si="9">X2+7</f>
        <v>44709</v>
      </c>
      <c r="Z2" s="10">
        <f t="shared" ref="Z2" si="10">Y2+7</f>
        <v>44716</v>
      </c>
      <c r="AA2" s="10">
        <f t="shared" ref="AA2" si="11">Z2+7</f>
        <v>44723</v>
      </c>
      <c r="AB2" s="10">
        <f t="shared" ref="AB2" si="12">AA2+7</f>
        <v>44730</v>
      </c>
      <c r="AC2" s="10">
        <f t="shared" ref="AC2" si="13">AB2+7</f>
        <v>44737</v>
      </c>
      <c r="AD2" s="10">
        <f t="shared" ref="AD2" si="14">AC2+7</f>
        <v>44744</v>
      </c>
      <c r="AE2" s="10">
        <f t="shared" ref="AE2" si="15">AD2+7</f>
        <v>44751</v>
      </c>
      <c r="AF2" s="10">
        <f t="shared" ref="AF2" si="16">AE2+7</f>
        <v>44758</v>
      </c>
      <c r="AG2" s="10">
        <f t="shared" ref="AG2" si="17">AF2+7</f>
        <v>44765</v>
      </c>
      <c r="AH2" s="10">
        <f t="shared" ref="AH2" si="18">AG2+7</f>
        <v>44772</v>
      </c>
      <c r="AI2" s="10">
        <f t="shared" ref="AI2" si="19">AH2+7</f>
        <v>44779</v>
      </c>
      <c r="AJ2" s="10">
        <f t="shared" ref="AJ2" si="20">AI2+7</f>
        <v>44786</v>
      </c>
      <c r="AK2" s="10">
        <f t="shared" ref="AK2" si="21">AJ2+7</f>
        <v>44793</v>
      </c>
      <c r="AL2" s="10">
        <f t="shared" ref="AL2" si="22">AK2+7</f>
        <v>44800</v>
      </c>
      <c r="AM2" s="10">
        <f t="shared" ref="AM2" si="23">AL2+7</f>
        <v>44807</v>
      </c>
      <c r="AN2" s="10">
        <f t="shared" ref="AN2" si="24">AM2+7</f>
        <v>44814</v>
      </c>
      <c r="AO2" s="10">
        <f t="shared" ref="AO2" si="25">AN2+7</f>
        <v>44821</v>
      </c>
      <c r="AP2" s="10">
        <f t="shared" ref="AP2" si="26">AO2+7</f>
        <v>44828</v>
      </c>
      <c r="AQ2" s="10">
        <f t="shared" ref="AQ2" si="27">AP2+7</f>
        <v>44835</v>
      </c>
      <c r="AR2" s="10">
        <f t="shared" ref="AR2" si="28">AQ2+7</f>
        <v>44842</v>
      </c>
      <c r="AS2" s="10">
        <f t="shared" ref="AS2" si="29">AR2+7</f>
        <v>44849</v>
      </c>
      <c r="AT2" s="10">
        <f t="shared" ref="AT2" si="30">AS2+7</f>
        <v>44856</v>
      </c>
      <c r="AU2" s="10">
        <f t="shared" ref="AU2" si="31">AT2+7</f>
        <v>44863</v>
      </c>
      <c r="AV2" s="10">
        <f t="shared" ref="AV2" si="32">AU2+7</f>
        <v>44870</v>
      </c>
      <c r="AW2" s="10">
        <f t="shared" ref="AW2" si="33">AV2+7</f>
        <v>44877</v>
      </c>
      <c r="AX2" s="10">
        <f t="shared" ref="AX2" si="34">AW2+7</f>
        <v>44884</v>
      </c>
      <c r="AY2" s="10">
        <f t="shared" ref="AY2" si="35">AX2+7</f>
        <v>44891</v>
      </c>
      <c r="AZ2" s="10">
        <f t="shared" ref="AZ2" si="36">AY2+7</f>
        <v>44898</v>
      </c>
      <c r="BA2" s="10">
        <f t="shared" ref="BA2" si="37">AZ2+7</f>
        <v>44905</v>
      </c>
      <c r="BB2" s="10">
        <f t="shared" ref="BB2" si="38">BA2+7</f>
        <v>44912</v>
      </c>
      <c r="BC2" s="10">
        <f t="shared" ref="BC2" si="39">BB2+7</f>
        <v>44919</v>
      </c>
      <c r="BD2" s="10">
        <f t="shared" ref="BD2" si="40">BC2+7</f>
        <v>44926</v>
      </c>
    </row>
    <row r="3" spans="1:56" ht="18" thickTop="1" thickBot="1" x14ac:dyDescent="0.3">
      <c r="A3" s="4"/>
      <c r="B3" s="13">
        <f>LauderNew!E134</f>
        <v>181.88749999999999</v>
      </c>
      <c r="C3" s="5"/>
      <c r="D3" s="12" t="s">
        <v>1</v>
      </c>
      <c r="E3" s="2">
        <f>LauderNew!E112</f>
        <v>159.06764704412336</v>
      </c>
      <c r="F3" s="2">
        <f>LauderNew!F112</f>
        <v>126.31620223362204</v>
      </c>
      <c r="G3" s="2">
        <f>LauderNew!G112</f>
        <v>100.44613295975923</v>
      </c>
      <c r="H3" s="2">
        <f>LauderNew!H112</f>
        <v>93.745229847815708</v>
      </c>
      <c r="I3" s="2">
        <f>LauderNew!I112</f>
        <v>90.486302304400155</v>
      </c>
      <c r="J3" s="2">
        <f>LauderNew!J112</f>
        <v>83.130437359950278</v>
      </c>
      <c r="K3" s="2">
        <f>LauderNew!K112</f>
        <v>71.285459441641379</v>
      </c>
      <c r="L3" s="2">
        <f>LauderNew!L112</f>
        <v>71.731977273945304</v>
      </c>
      <c r="M3" s="2">
        <f>LauderNew!M112</f>
        <v>73.310413596101696</v>
      </c>
      <c r="N3" s="2">
        <f>LauderNew!N112</f>
        <v>82.058140475662725</v>
      </c>
      <c r="O3" s="2">
        <f>LauderNew!O112</f>
        <v>93.080055924258289</v>
      </c>
      <c r="P3" s="2">
        <f>LauderNew!P112</f>
        <v>91.268020427659621</v>
      </c>
      <c r="Q3" s="2">
        <f>LauderNew!Q112</f>
        <v>74.988215979864549</v>
      </c>
      <c r="R3" s="2">
        <f>LauderNew!R112</f>
        <v>75.477763562647311</v>
      </c>
      <c r="S3" s="2">
        <f>LauderNew!S112</f>
        <v>78.235999022723107</v>
      </c>
      <c r="T3" s="2">
        <f>LauderNew!T112</f>
        <v>81.835004965254527</v>
      </c>
      <c r="U3" s="2">
        <f>LauderNew!U112</f>
        <v>83.585550964607094</v>
      </c>
      <c r="V3" s="2">
        <f>LauderNew!V112</f>
        <v>91.175361137559662</v>
      </c>
      <c r="W3" s="2">
        <f>LauderNew!W112</f>
        <v>89.680904184240688</v>
      </c>
      <c r="X3" s="2">
        <f>LauderNew!X112</f>
        <v>93.633894390432587</v>
      </c>
      <c r="Y3" s="2">
        <f>LauderNew!Y112</f>
        <v>86.162778989107508</v>
      </c>
      <c r="Z3" s="2">
        <f>LauderNew!Z112</f>
        <v>78.77337088345557</v>
      </c>
      <c r="AA3" s="2">
        <f>LauderNew!AA112</f>
        <v>93.905472097122811</v>
      </c>
      <c r="AB3" s="2">
        <f>LauderNew!AB112</f>
        <v>89.415782110306338</v>
      </c>
      <c r="AC3" s="2">
        <f>LauderNew!AC112</f>
        <v>84.943740055544424</v>
      </c>
      <c r="AD3" s="2">
        <f>LauderNew!AD112</f>
        <v>72.673222836262909</v>
      </c>
      <c r="AE3" s="2">
        <f>LauderNew!AE112</f>
        <v>65.719405978781566</v>
      </c>
      <c r="AF3" s="2">
        <f>LauderNew!AF112</f>
        <v>72.029907771828448</v>
      </c>
      <c r="AG3" s="2">
        <f>LauderNew!AG112</f>
        <v>65.414311106615429</v>
      </c>
      <c r="AH3" s="2">
        <f>LauderNew!AH112</f>
        <v>76.92697911909184</v>
      </c>
      <c r="AI3" s="2">
        <f>LauderNew!AI112</f>
        <v>78.218214667813598</v>
      </c>
      <c r="AJ3" s="2">
        <f>LauderNew!AJ112</f>
        <v>86.798353261895471</v>
      </c>
      <c r="AK3" s="2">
        <f>LauderNew!AK112</f>
        <v>89.305060210994043</v>
      </c>
      <c r="AL3" s="2">
        <f>LauderNew!AL112</f>
        <v>88.495856106153397</v>
      </c>
      <c r="AM3" s="2">
        <f>LauderNew!AM112</f>
        <v>78.594336678575488</v>
      </c>
      <c r="AN3" s="2">
        <f>LauderNew!AN112</f>
        <v>70.341877187185986</v>
      </c>
      <c r="AO3" s="2">
        <f>LauderNew!AO112</f>
        <v>71.476593048196065</v>
      </c>
      <c r="AP3" s="2">
        <f>LauderNew!AP112</f>
        <v>74.594827627787069</v>
      </c>
      <c r="AQ3" s="2">
        <f>LauderNew!AQ112</f>
        <v>80.197883542323581</v>
      </c>
      <c r="AR3" s="2">
        <f>LauderNew!AR112</f>
        <v>81.39873287508243</v>
      </c>
      <c r="AS3" s="2">
        <f>LauderNew!AS112</f>
        <v>85.191398303634358</v>
      </c>
      <c r="AT3" s="2">
        <f>LauderNew!AT112</f>
        <v>86.724210411865542</v>
      </c>
      <c r="AU3" s="2">
        <f>LauderNew!AU112</f>
        <v>95.514458806968264</v>
      </c>
      <c r="AV3" s="2">
        <f>LauderNew!AV112</f>
        <v>113.81595226657983</v>
      </c>
      <c r="AW3" s="2">
        <f>LauderNew!AW112</f>
        <v>124.83489864135338</v>
      </c>
      <c r="AX3" s="2">
        <f>LauderNew!AX112</f>
        <v>122.93751618809503</v>
      </c>
      <c r="AY3" s="2">
        <f>LauderNew!AY112</f>
        <v>242.2853229578684</v>
      </c>
      <c r="AZ3" s="2">
        <f>LauderNew!AZ112</f>
        <v>325.41473402287761</v>
      </c>
      <c r="BA3" s="2">
        <f>LauderNew!BA112</f>
        <v>285.81478498100194</v>
      </c>
      <c r="BB3" s="2">
        <f>LauderNew!BB112</f>
        <v>240.01343354823092</v>
      </c>
      <c r="BC3" s="2">
        <f>LauderNew!BC112</f>
        <v>145.58956489059213</v>
      </c>
      <c r="BD3" s="2">
        <f>LauderNew!BD112</f>
        <v>132.22632519692715</v>
      </c>
    </row>
    <row r="4" spans="1:56" ht="17.25" thickBot="1" x14ac:dyDescent="0.3">
      <c r="A4" s="4"/>
      <c r="B4" s="7"/>
      <c r="C4" s="5"/>
      <c r="D4" s="14" t="s">
        <v>2</v>
      </c>
      <c r="E4" s="2">
        <f>IF(B3=0,"",B3+SUM(E10))</f>
        <v>181.88749999999999</v>
      </c>
      <c r="F4" s="2">
        <f>IF($B$3=0,"",(E4-(E4*$B$6))+SUM(F10))</f>
        <v>177.34031249999998</v>
      </c>
      <c r="G4" s="2">
        <f t="shared" ref="G4:AD4" si="41">IF($B$3=0,"",(F4-(F4*$B$6))+SUM(G10))</f>
        <v>122.90680468749997</v>
      </c>
      <c r="H4" s="2">
        <f t="shared" si="41"/>
        <v>119.83413457031247</v>
      </c>
      <c r="I4" s="2">
        <f t="shared" si="41"/>
        <v>116.83828120605466</v>
      </c>
      <c r="J4" s="2">
        <f t="shared" si="41"/>
        <v>88.917324175903289</v>
      </c>
      <c r="K4" s="2">
        <f>IF($B$3=0,"",(J4-(J4*$B$6))+SUM(K10))</f>
        <v>86.694391071505706</v>
      </c>
      <c r="L4" s="2">
        <f t="shared" si="41"/>
        <v>84.527031294718057</v>
      </c>
      <c r="M4" s="2">
        <f t="shared" si="41"/>
        <v>82.413855512350111</v>
      </c>
      <c r="N4" s="2">
        <f t="shared" si="41"/>
        <v>95.353509124541361</v>
      </c>
      <c r="O4" s="2">
        <f t="shared" si="41"/>
        <v>92.969671396427827</v>
      </c>
      <c r="P4" s="2">
        <f t="shared" si="41"/>
        <v>90.64542961151713</v>
      </c>
      <c r="Q4" s="2">
        <f t="shared" si="41"/>
        <v>88.379293871229208</v>
      </c>
      <c r="R4" s="2">
        <f t="shared" si="41"/>
        <v>86.169811524448477</v>
      </c>
      <c r="S4" s="2">
        <f t="shared" si="41"/>
        <v>84.015566236337264</v>
      </c>
      <c r="T4" s="2">
        <f t="shared" si="41"/>
        <v>101.91517708042883</v>
      </c>
      <c r="U4" s="2">
        <f t="shared" si="41"/>
        <v>99.367297653418106</v>
      </c>
      <c r="V4" s="2">
        <f t="shared" si="41"/>
        <v>96.883115212082657</v>
      </c>
      <c r="W4" s="2">
        <f t="shared" si="41"/>
        <v>94.461037331780588</v>
      </c>
      <c r="X4" s="2">
        <f t="shared" si="41"/>
        <v>92.099511398486072</v>
      </c>
      <c r="Y4" s="2">
        <f t="shared" si="41"/>
        <v>84.797023613523919</v>
      </c>
      <c r="Z4" s="2">
        <f t="shared" si="41"/>
        <v>82.67709802318582</v>
      </c>
      <c r="AA4" s="2">
        <f t="shared" si="41"/>
        <v>80.610170572606179</v>
      </c>
      <c r="AB4" s="2">
        <f t="shared" si="41"/>
        <v>78.594916308291019</v>
      </c>
      <c r="AC4" s="2">
        <f t="shared" si="41"/>
        <v>76.630043400583745</v>
      </c>
      <c r="AD4" s="1">
        <f t="shared" si="41"/>
        <v>74.714292315569153</v>
      </c>
      <c r="AE4" s="3">
        <f>IF($B$3=0,"",(AD4-(AD4*$B$6))+SUM(AE10))</f>
        <v>72.846435007679929</v>
      </c>
      <c r="AF4" s="2">
        <f t="shared" ref="AF4:AH4" si="42">IF($B$3=0,"",(AE4-(AE4*$B$6))+SUM(AF10))</f>
        <v>71.025274132487937</v>
      </c>
      <c r="AG4" s="2">
        <f t="shared" si="42"/>
        <v>69.249642279175731</v>
      </c>
      <c r="AH4" s="2">
        <f t="shared" si="42"/>
        <v>67.518401222196331</v>
      </c>
      <c r="AI4" s="2">
        <f t="shared" ref="AI4" si="43">IF($B$3=0,"",(AH4-(AH4*$B$6))+SUM(AI10))</f>
        <v>65.830441191641427</v>
      </c>
      <c r="AJ4" s="2">
        <f t="shared" ref="AJ4" si="44">IF($B$3=0,"",(AI4-(AI4*$B$6))+SUM(AJ10))</f>
        <v>64.184680161850395</v>
      </c>
      <c r="AK4" s="2">
        <f t="shared" ref="AK4" si="45">IF($B$3=0,"",(AJ4-(AJ4*$B$6))+SUM(AK10))</f>
        <v>82.580063157804133</v>
      </c>
      <c r="AL4" s="2">
        <f t="shared" ref="AL4" si="46">IF($B$3=0,"",(AK4-(AK4*$B$6))+SUM(AL10))</f>
        <v>80.515561578859035</v>
      </c>
      <c r="AM4" s="2">
        <f t="shared" ref="AM4" si="47">IF($B$3=0,"",(AL4-(AL4*$B$6))+SUM(AM10))</f>
        <v>78.502672539387561</v>
      </c>
      <c r="AN4" s="2">
        <f t="shared" ref="AN4" si="48">IF($B$3=0,"",(AM4-(AM4*$B$6))+SUM(AN10))</f>
        <v>76.540105725902876</v>
      </c>
      <c r="AO4" s="2">
        <f t="shared" ref="AO4" si="49">IF($B$3=0,"",(AN4-(AN4*$B$6))+SUM(AO10))</f>
        <v>74.62660308275531</v>
      </c>
      <c r="AP4" s="2">
        <f t="shared" ref="AP4" si="50">IF($B$3=0,"",(AO4-(AO4*$B$6))+SUM(AP10))</f>
        <v>72.760938005686427</v>
      </c>
      <c r="AQ4" s="2">
        <f t="shared" ref="AQ4" si="51">IF($B$3=0,"",(AP4-(AP4*$B$6))+SUM(AQ10))</f>
        <v>90.941914555544273</v>
      </c>
      <c r="AR4" s="2">
        <f t="shared" ref="AR4" si="52">IF($B$3=0,"",(AQ4-(AQ4*$B$6))+SUM(AR10))</f>
        <v>88.668366691655663</v>
      </c>
      <c r="AS4" s="2">
        <f t="shared" ref="AS4" si="53">IF($B$3=0,"",(AR4-(AR4*$B$6))+SUM(AS10))</f>
        <v>86.451657524364265</v>
      </c>
      <c r="AT4" s="2">
        <f t="shared" ref="AT4" si="54">IF($B$3=0,"",(AS4-(AS4*$B$6))+SUM(AT10))</f>
        <v>84.290366086255162</v>
      </c>
      <c r="AU4" s="2">
        <f t="shared" ref="AU4" si="55">IF($B$3=0,"",(AT4-(AT4*$B$6))+SUM(AU10))</f>
        <v>112.18310693409879</v>
      </c>
      <c r="AV4" s="2">
        <f t="shared" ref="AV4" si="56">IF($B$3=0,"",(AU4-(AU4*$B$6))+SUM(AV10))</f>
        <v>109.37852926074632</v>
      </c>
      <c r="AW4" s="2">
        <f t="shared" ref="AW4" si="57">IF($B$3=0,"",(AV4-(AV4*$B$6))+SUM(AW10))</f>
        <v>166.64406602922764</v>
      </c>
      <c r="AX4" s="2">
        <f t="shared" ref="AX4" si="58">IF($B$3=0,"",(AW4-(AW4*$B$6))+SUM(AX10))</f>
        <v>162.47796437849695</v>
      </c>
      <c r="AY4" s="2">
        <f t="shared" ref="AY4" si="59">IF($B$3=0,"",(AX4-(AX4*$B$6))+SUM(AY10))</f>
        <v>218.41601526903452</v>
      </c>
      <c r="AZ4" s="2">
        <f t="shared" ref="AZ4" si="60">IF($B$3=0,"",(AY4-(AY4*$B$6))+SUM(AZ10))</f>
        <v>302.95561488730868</v>
      </c>
      <c r="BA4" s="2">
        <f t="shared" ref="BA4" si="61">IF($B$3=0,"",(AZ4-(AZ4*$B$6))+SUM(BA10))</f>
        <v>295.38172451512594</v>
      </c>
      <c r="BB4" s="2">
        <f t="shared" ref="BB4" si="62">IF($B$3=0,"",(BA4-(BA4*$B$6))+SUM(BB10))</f>
        <v>287.9971814022478</v>
      </c>
      <c r="BC4" s="2">
        <f t="shared" ref="BC4" si="63">IF($B$3=0,"",(BB4-(BB4*$B$6))+SUM(BC10))</f>
        <v>280.79725186719162</v>
      </c>
      <c r="BD4" s="2">
        <f t="shared" ref="BD4" si="64">IF($B$3=0,"",(BC4-(BC4*$B$6))+SUM(BD10))</f>
        <v>273.77732057051185</v>
      </c>
    </row>
    <row r="5" spans="1:56" ht="17.25" thickBot="1" x14ac:dyDescent="0.3">
      <c r="A5" s="4"/>
      <c r="B5" s="19" t="s">
        <v>0</v>
      </c>
      <c r="C5" s="4"/>
      <c r="D5" s="16" t="s">
        <v>5</v>
      </c>
      <c r="E5" s="17">
        <f>IFERROR(ROUND(E4-E3,0),"")</f>
        <v>23</v>
      </c>
      <c r="F5" s="17">
        <f t="shared" ref="F5:AH5" si="65">IFERROR(ROUND(F4-F3,0),"")</f>
        <v>51</v>
      </c>
      <c r="G5" s="17">
        <f t="shared" si="65"/>
        <v>22</v>
      </c>
      <c r="H5" s="17">
        <f t="shared" si="65"/>
        <v>26</v>
      </c>
      <c r="I5" s="17">
        <f t="shared" si="65"/>
        <v>26</v>
      </c>
      <c r="J5" s="17">
        <f t="shared" si="65"/>
        <v>6</v>
      </c>
      <c r="K5" s="17">
        <f t="shared" si="65"/>
        <v>15</v>
      </c>
      <c r="L5" s="17">
        <f t="shared" si="65"/>
        <v>13</v>
      </c>
      <c r="M5" s="17">
        <f t="shared" si="65"/>
        <v>9</v>
      </c>
      <c r="N5" s="17">
        <f t="shared" si="65"/>
        <v>13</v>
      </c>
      <c r="O5" s="17">
        <f t="shared" si="65"/>
        <v>0</v>
      </c>
      <c r="P5" s="17">
        <f t="shared" si="65"/>
        <v>-1</v>
      </c>
      <c r="Q5" s="17">
        <f t="shared" si="65"/>
        <v>13</v>
      </c>
      <c r="R5" s="17">
        <f t="shared" si="65"/>
        <v>11</v>
      </c>
      <c r="S5" s="17">
        <f t="shared" si="65"/>
        <v>6</v>
      </c>
      <c r="T5" s="17">
        <f t="shared" si="65"/>
        <v>20</v>
      </c>
      <c r="U5" s="17">
        <f t="shared" si="65"/>
        <v>16</v>
      </c>
      <c r="V5" s="17">
        <f t="shared" si="65"/>
        <v>6</v>
      </c>
      <c r="W5" s="17">
        <f t="shared" si="65"/>
        <v>5</v>
      </c>
      <c r="X5" s="17">
        <f t="shared" si="65"/>
        <v>-2</v>
      </c>
      <c r="Y5" s="17">
        <f t="shared" si="65"/>
        <v>-1</v>
      </c>
      <c r="Z5" s="17">
        <f t="shared" si="65"/>
        <v>4</v>
      </c>
      <c r="AA5" s="17">
        <f t="shared" si="65"/>
        <v>-13</v>
      </c>
      <c r="AB5" s="17">
        <f t="shared" si="65"/>
        <v>-11</v>
      </c>
      <c r="AC5" s="17">
        <f t="shared" si="65"/>
        <v>-8</v>
      </c>
      <c r="AD5" s="18">
        <f t="shared" si="65"/>
        <v>2</v>
      </c>
      <c r="AE5" s="33">
        <f t="shared" si="65"/>
        <v>7</v>
      </c>
      <c r="AF5" s="17">
        <f t="shared" si="65"/>
        <v>-1</v>
      </c>
      <c r="AG5" s="17">
        <f t="shared" si="65"/>
        <v>4</v>
      </c>
      <c r="AH5" s="17">
        <f t="shared" si="65"/>
        <v>-9</v>
      </c>
      <c r="AI5" s="17">
        <f t="shared" ref="AI5:BD5" si="66">IFERROR(ROUND(AI4-AI3,0),"")</f>
        <v>-12</v>
      </c>
      <c r="AJ5" s="17">
        <f t="shared" si="66"/>
        <v>-23</v>
      </c>
      <c r="AK5" s="17">
        <f t="shared" si="66"/>
        <v>-7</v>
      </c>
      <c r="AL5" s="17">
        <f t="shared" si="66"/>
        <v>-8</v>
      </c>
      <c r="AM5" s="17">
        <f t="shared" si="66"/>
        <v>0</v>
      </c>
      <c r="AN5" s="17">
        <f t="shared" si="66"/>
        <v>6</v>
      </c>
      <c r="AO5" s="17">
        <f t="shared" si="66"/>
        <v>3</v>
      </c>
      <c r="AP5" s="17">
        <f t="shared" si="66"/>
        <v>-2</v>
      </c>
      <c r="AQ5" s="17">
        <f t="shared" si="66"/>
        <v>11</v>
      </c>
      <c r="AR5" s="17">
        <f t="shared" si="66"/>
        <v>7</v>
      </c>
      <c r="AS5" s="17">
        <f t="shared" si="66"/>
        <v>1</v>
      </c>
      <c r="AT5" s="17">
        <f t="shared" si="66"/>
        <v>-2</v>
      </c>
      <c r="AU5" s="17">
        <f t="shared" si="66"/>
        <v>17</v>
      </c>
      <c r="AV5" s="17">
        <f t="shared" si="66"/>
        <v>-4</v>
      </c>
      <c r="AW5" s="17">
        <f t="shared" si="66"/>
        <v>42</v>
      </c>
      <c r="AX5" s="17">
        <f t="shared" si="66"/>
        <v>40</v>
      </c>
      <c r="AY5" s="17">
        <f t="shared" si="66"/>
        <v>-24</v>
      </c>
      <c r="AZ5" s="17">
        <f t="shared" si="66"/>
        <v>-22</v>
      </c>
      <c r="BA5" s="17">
        <f t="shared" si="66"/>
        <v>10</v>
      </c>
      <c r="BB5" s="17">
        <f t="shared" si="66"/>
        <v>48</v>
      </c>
      <c r="BC5" s="17">
        <f t="shared" si="66"/>
        <v>135</v>
      </c>
      <c r="BD5" s="17">
        <f t="shared" si="66"/>
        <v>142</v>
      </c>
    </row>
    <row r="6" spans="1:56" ht="24" thickBot="1" x14ac:dyDescent="0.3">
      <c r="A6" s="4"/>
      <c r="B6" s="23">
        <v>2.5000000000000001E-2</v>
      </c>
      <c r="C6" s="4"/>
      <c r="D6" s="20"/>
      <c r="E6" s="21"/>
      <c r="F6" s="21"/>
      <c r="G6" s="21"/>
      <c r="H6" s="21"/>
      <c r="I6" s="21"/>
      <c r="J6" s="21"/>
      <c r="K6" s="21"/>
      <c r="L6" s="21"/>
      <c r="M6" s="21"/>
      <c r="N6" s="21"/>
      <c r="O6" s="21"/>
      <c r="P6" s="21"/>
      <c r="Q6" s="21"/>
      <c r="R6" s="21"/>
      <c r="S6" s="21"/>
      <c r="T6" s="21"/>
      <c r="U6" s="21"/>
      <c r="V6" s="21"/>
      <c r="W6" s="21"/>
      <c r="X6" s="21"/>
      <c r="Y6" s="21"/>
      <c r="Z6" s="21"/>
      <c r="AA6" s="21"/>
      <c r="AB6" s="21"/>
      <c r="AC6" s="21"/>
      <c r="AD6" s="22"/>
      <c r="AE6" s="20"/>
      <c r="AF6" s="21"/>
      <c r="AG6" s="21"/>
      <c r="AH6" s="21"/>
      <c r="AI6" s="21"/>
      <c r="AJ6" s="21"/>
      <c r="AK6" s="21"/>
      <c r="AL6" s="21"/>
      <c r="AM6" s="21"/>
      <c r="AN6" s="21"/>
      <c r="AO6" s="21"/>
      <c r="AP6" s="21"/>
      <c r="AQ6" s="21"/>
      <c r="AR6" s="21"/>
      <c r="AS6" s="21"/>
      <c r="AT6" s="21"/>
      <c r="AU6" s="21"/>
      <c r="AV6" s="21"/>
      <c r="AW6" s="21"/>
      <c r="AX6" s="21"/>
      <c r="AY6" s="21"/>
      <c r="AZ6" s="21"/>
      <c r="BA6" s="21"/>
      <c r="BB6" s="21"/>
      <c r="BC6" s="21"/>
      <c r="BD6" s="21"/>
    </row>
    <row r="7" spans="1:56" ht="17.25" thickBot="1" x14ac:dyDescent="0.3">
      <c r="A7" s="4"/>
      <c r="B7" s="7"/>
      <c r="C7" s="4"/>
      <c r="D7" s="16" t="s">
        <v>6</v>
      </c>
      <c r="E7" s="37" t="str">
        <f>IFERROR(IF(COUNTA(F8)=0,"",F8+(ROUNDUP(F8*$B$9,0))),"")</f>
        <v/>
      </c>
      <c r="F7" s="37" t="str">
        <f t="shared" ref="F7:AH7" si="67">IFERROR(IF(COUNTA(G8)=0,"",G8+(ROUNDUP(G8*$B$9,0))),"")</f>
        <v/>
      </c>
      <c r="G7" s="37" t="str">
        <f t="shared" si="67"/>
        <v/>
      </c>
      <c r="H7" s="37" t="str">
        <f>IFERROR(IF(COUNTA(I8)=0,"",I8+(ROUNDUP(I8*$B$9,0))),"")</f>
        <v/>
      </c>
      <c r="I7" s="37" t="str">
        <f t="shared" si="67"/>
        <v/>
      </c>
      <c r="J7" s="37" t="str">
        <f t="shared" si="67"/>
        <v/>
      </c>
      <c r="K7" s="37">
        <f t="shared" si="67"/>
        <v>20</v>
      </c>
      <c r="L7" s="37" t="str">
        <f t="shared" si="67"/>
        <v/>
      </c>
      <c r="M7" s="37" t="str">
        <f t="shared" si="67"/>
        <v/>
      </c>
      <c r="N7" s="37" t="str">
        <f t="shared" si="67"/>
        <v/>
      </c>
      <c r="O7" s="37" t="str">
        <f>IFERROR(IF(COUNTA(P8)=0,"",P8+(ROUNDUP(P8*$B$9,0))),"")</f>
        <v/>
      </c>
      <c r="P7" s="37" t="str">
        <f t="shared" si="67"/>
        <v/>
      </c>
      <c r="Q7" s="37">
        <f t="shared" si="67"/>
        <v>26</v>
      </c>
      <c r="R7" s="37" t="str">
        <f t="shared" si="67"/>
        <v/>
      </c>
      <c r="S7" s="37" t="str">
        <f t="shared" si="67"/>
        <v/>
      </c>
      <c r="T7" s="37" t="str">
        <f t="shared" si="67"/>
        <v/>
      </c>
      <c r="U7" s="37" t="str">
        <f t="shared" si="67"/>
        <v/>
      </c>
      <c r="V7" s="37" t="str">
        <f t="shared" si="67"/>
        <v/>
      </c>
      <c r="W7" s="37" t="str">
        <f t="shared" si="67"/>
        <v/>
      </c>
      <c r="X7" s="37" t="str">
        <f t="shared" si="67"/>
        <v/>
      </c>
      <c r="Y7" s="37" t="str">
        <f t="shared" si="67"/>
        <v/>
      </c>
      <c r="Z7" s="37" t="str">
        <f t="shared" si="67"/>
        <v/>
      </c>
      <c r="AA7" s="37" t="str">
        <f t="shared" si="67"/>
        <v/>
      </c>
      <c r="AB7" s="37" t="str">
        <f t="shared" si="67"/>
        <v/>
      </c>
      <c r="AC7" s="37" t="str">
        <f t="shared" si="67"/>
        <v/>
      </c>
      <c r="AD7" s="38" t="str">
        <f t="shared" si="67"/>
        <v/>
      </c>
      <c r="AE7" s="39" t="str">
        <f t="shared" si="67"/>
        <v/>
      </c>
      <c r="AF7" s="37" t="str">
        <f t="shared" si="67"/>
        <v/>
      </c>
      <c r="AG7" s="37" t="str">
        <f t="shared" si="67"/>
        <v/>
      </c>
      <c r="AH7" s="37">
        <f t="shared" si="67"/>
        <v>26</v>
      </c>
      <c r="AI7" s="37" t="str">
        <f t="shared" ref="AI7" si="68">IFERROR(IF(COUNTA(AJ8)=0,"",AJ8+(ROUNDUP(AJ8*$B$9,0))),"")</f>
        <v/>
      </c>
      <c r="AJ7" s="37" t="str">
        <f t="shared" ref="AJ7" si="69">IFERROR(IF(COUNTA(AK8)=0,"",AK8+(ROUNDUP(AK8*$B$9,0))),"")</f>
        <v/>
      </c>
      <c r="AK7" s="37" t="str">
        <f t="shared" ref="AK7" si="70">IFERROR(IF(COUNTA(AL8)=0,"",AL8+(ROUNDUP(AL8*$B$9,0))),"")</f>
        <v/>
      </c>
      <c r="AL7" s="37" t="str">
        <f t="shared" ref="AL7" si="71">IFERROR(IF(COUNTA(AM8)=0,"",AM8+(ROUNDUP(AM8*$B$9,0))),"")</f>
        <v/>
      </c>
      <c r="AM7" s="37" t="str">
        <f t="shared" ref="AM7" si="72">IFERROR(IF(COUNTA(AN8)=0,"",AN8+(ROUNDUP(AN8*$B$9,0))),"")</f>
        <v/>
      </c>
      <c r="AN7" s="37">
        <f t="shared" ref="AN7" si="73">IFERROR(IF(COUNTA(AO8)=0,"",AO8+(ROUNDUP(AO8*$B$9,0))),"")</f>
        <v>26</v>
      </c>
      <c r="AO7" s="37" t="str">
        <f t="shared" ref="AO7" si="74">IFERROR(IF(COUNTA(AP8)=0,"",AP8+(ROUNDUP(AP8*$B$9,0))),"")</f>
        <v/>
      </c>
      <c r="AP7" s="37" t="str">
        <f t="shared" ref="AP7" si="75">IFERROR(IF(COUNTA(AQ8)=0,"",AQ8+(ROUNDUP(AQ8*$B$9,0))),"")</f>
        <v/>
      </c>
      <c r="AQ7" s="37" t="str">
        <f t="shared" ref="AQ7" si="76">IFERROR(IF(COUNTA(AR8)=0,"",AR8+(ROUNDUP(AR8*$B$9,0))),"")</f>
        <v/>
      </c>
      <c r="AR7" s="37">
        <f t="shared" ref="AR7" si="77">IFERROR(IF(COUNTA(AS8)=0,"",AS8+(ROUNDUP(AS8*$B$9,0))),"")</f>
        <v>39</v>
      </c>
      <c r="AS7" s="37" t="str">
        <f t="shared" ref="AS7" si="78">IFERROR(IF(COUNTA(AT8)=0,"",AT8+(ROUNDUP(AT8*$B$9,0))),"")</f>
        <v/>
      </c>
      <c r="AT7" s="37">
        <f t="shared" ref="AT7" si="79">IFERROR(IF(COUNTA(AU8)=0,"",AU8+(ROUNDUP(AU8*$B$9,0))),"")</f>
        <v>78</v>
      </c>
      <c r="AU7" s="37" t="str">
        <f t="shared" ref="AU7" si="80">IFERROR(IF(COUNTA(AV8)=0,"",AV8+(ROUNDUP(AV8*$B$9,0))),"")</f>
        <v/>
      </c>
      <c r="AV7" s="37">
        <f t="shared" ref="AV7" si="81">IFERROR(IF(COUNTA(AW8)=0,"",AW8+(ROUNDUP(AW8*$B$9,0))),"")</f>
        <v>78</v>
      </c>
      <c r="AW7" s="37">
        <f t="shared" ref="AW7" si="82">IFERROR(IF(COUNTA(AX8)=0,"",AX8+(ROUNDUP(AX8*$B$9,0))),"")</f>
        <v>117</v>
      </c>
      <c r="AX7" s="37" t="str">
        <f t="shared" ref="AX7" si="83">IFERROR(IF(COUNTA(AY8)=0,"",AY8+(ROUNDUP(AY8*$B$9,0))),"")</f>
        <v/>
      </c>
      <c r="AY7" s="37" t="str">
        <f t="shared" ref="AY7" si="84">IFERROR(IF(COUNTA(AZ8)=0,"",AZ8+(ROUNDUP(AZ8*$B$9,0))),"")</f>
        <v/>
      </c>
      <c r="AZ7" s="37" t="str">
        <f t="shared" ref="AZ7" si="85">IFERROR(IF(COUNTA(BA8)=0,"",BA8+(ROUNDUP(BA8*$B$9,0))),"")</f>
        <v/>
      </c>
      <c r="BA7" s="37" t="str">
        <f t="shared" ref="BA7" si="86">IFERROR(IF(COUNTA(BB8)=0,"",BB8+(ROUNDUP(BB8*$B$9,0))),"")</f>
        <v/>
      </c>
      <c r="BB7" s="37" t="str">
        <f t="shared" ref="BB7" si="87">IFERROR(IF(COUNTA(BC8)=0,"",BC8+(ROUNDUP(BC8*$B$9,0))),"")</f>
        <v/>
      </c>
      <c r="BC7" s="37" t="str">
        <f t="shared" ref="BC7" si="88">IFERROR(IF(COUNTA(BD8)=0,"",BD8+(ROUNDUP(BD8*$B$9,0))),"")</f>
        <v/>
      </c>
      <c r="BD7" s="37" t="str">
        <f t="shared" ref="BD7" si="89">IFERROR(IF(COUNTA(BE8)=0,"",BE8+(ROUNDUP(BE8*$B$9,0))),"")</f>
        <v/>
      </c>
    </row>
    <row r="8" spans="1:56" ht="17.25" thickBot="1" x14ac:dyDescent="0.3">
      <c r="A8" s="4"/>
      <c r="B8" s="19" t="s">
        <v>16</v>
      </c>
      <c r="C8" s="4"/>
      <c r="D8" s="14" t="s">
        <v>7</v>
      </c>
      <c r="E8" s="26" t="str">
        <f t="shared" ref="E8:AH8" si="90">IF($B$15=0,IF($B$12=1,IF(SUM(F10)&lt;=0,"",F10),IF($B$12=2,IF(SUM(G10)&lt;=0,"",G10),IF($B$12=3,IF(SUM(H10)&lt;=0,"",H10),IF($B$12=4,IF(SUM(I10)&lt;=0,"",I10),IF($B$12=5,IF(SUM(J10)&lt;=0,"",J10),IF($B$12=6,IF(SUM(K10)&lt;=0,"",K10),"")))))),IF($B$12=1,IF(SUM(F9)&lt;=0,"",F9),IF($B$12=2,IF(SUM(G9)&lt;=0,"",G9),IF($B$12=3,IF(SUM(H9)&lt;=0,"",H9),IF($B$12=4,IF(SUM(I9)&lt;=0,"",I9),IF($B$12=5,IF(SUM(J9)&lt;=0,"",J9),IF($B$12=6,IF(SUM(K9)&lt;=0,"",K9),"")))))))</f>
        <v/>
      </c>
      <c r="F8" s="26" t="str">
        <f t="shared" si="90"/>
        <v/>
      </c>
      <c r="G8" s="26" t="str">
        <f t="shared" si="90"/>
        <v/>
      </c>
      <c r="H8" s="26" t="str">
        <f t="shared" si="90"/>
        <v/>
      </c>
      <c r="I8" s="26" t="str">
        <f t="shared" si="90"/>
        <v/>
      </c>
      <c r="J8" s="26" t="str">
        <f t="shared" si="90"/>
        <v/>
      </c>
      <c r="K8" s="26" t="str">
        <f t="shared" si="90"/>
        <v/>
      </c>
      <c r="L8" s="26">
        <f t="shared" si="90"/>
        <v>15</v>
      </c>
      <c r="M8" s="26" t="str">
        <f t="shared" si="90"/>
        <v/>
      </c>
      <c r="N8" s="26" t="str">
        <f>IF($B$15=0,IF($B$12=1,IF(SUM(O10)&lt;=0,"",O10),IF($B$12=2,IF(SUM(P10)&lt;=0,"",P10),IF($B$12=3,IF(SUM(Q10)&lt;=0,"",Q10),IF($B$12=4,IF(SUM(R10)&lt;=0,"",R10),IF($B$12=5,IF(SUM(S10)&lt;=0,"",S10),IF($B$12=6,IF(SUM(T10)&lt;=0,"",T10),"")))))),IF($B$12=1,IF(SUM(O9)&lt;=0,"",O9),IF($B$12=2,IF(SUM(P9)&lt;=0,"",P9),IF($B$12=3,IF(SUM(Q9)&lt;=0,"",Q9),IF($B$12=4,IF(SUM(R9)&lt;=0,"",R9),IF($B$12=5,IF(SUM(S9)&lt;=0,"",S9),IF($B$12=6,IF(SUM(T9)&lt;=0,"",T9),"")))))))</f>
        <v/>
      </c>
      <c r="O8" s="26" t="str">
        <f>IF($B$15=0,IF($B$12=1,IF(SUM(P10)&lt;=0,"",P10),IF($B$12=2,IF(SUM(Q10)&lt;=0,"",Q10),IF($B$12=3,IF(SUM(R10)&lt;=0,"",R10),IF($B$12=4,IF(SUM(S10)&lt;=0,"",S10),IF($B$12=5,IF(SUM(T10)&lt;=0,"",T10),IF($B$12=6,IF(SUM(U10)&lt;=0,"",U10),"")))))),IF($B$12=1,IF(SUM(P9)&lt;=0,"",P9),IF($B$12=2,IF(SUM(Q9)&lt;=0,"",Q9),IF($B$12=3,IF(SUM(R9)&lt;=0,"",R9),IF($B$12=4,IF(SUM(S9)&lt;=0,"",S9),IF($B$12=5,IF(SUM(T9)&lt;=0,"",T9),IF($B$12=6,IF(SUM(U9)&lt;=0,"",U9),"")))))))</f>
        <v/>
      </c>
      <c r="P8" s="26" t="str">
        <f>IF($B$15=0,IF($B$12=1,IF(SUM(Q10)&lt;=0,"",Q10),IF($B$12=2,IF(SUM(R10)&lt;=0,"",R10),IF($B$12=3,IF(SUM(S10)&lt;=0,"",S10),IF($B$12=4,IF(SUM(T10)&lt;=0,"",T10),IF($B$12=5,IF(SUM(U10)&lt;=0,"",U10),IF($B$12=6,IF(SUM(V10)&lt;=0,"",V10),"")))))),IF($B$12=1,IF(SUM(Q9)&lt;=0,"",Q9),IF($B$12=2,IF(SUM(R9)&lt;=0,"",R9),IF($B$12=3,IF(SUM(S9)&lt;=0,"",S9),IF($B$12=4,IF(SUM(T9)&lt;=0,"",T9),IF($B$12=5,IF(SUM(U9)&lt;=0,"",U9),IF($B$12=6,IF(SUM(V9)&lt;=0,"",V9),"")))))))</f>
        <v/>
      </c>
      <c r="Q8" s="26" t="str">
        <f>IF($B$15=0,IF($B$12=1,IF(SUM(R10)&lt;=0,"",R10),IF($B$12=2,IF(SUM(S10)&lt;=0,"",S10),IF($B$12=3,IF(SUM(T10)&lt;=0,"",T10),IF($B$12=4,IF(SUM(U10)&lt;=0,"",U10),IF($B$12=5,IF(SUM(V10)&lt;=0,"",V10),IF($B$12=6,IF(SUM(W10)&lt;=0,"",W10),"")))))),IF($B$12=1,IF(SUM(R9)&lt;=0,"",R9),IF($B$12=2,IF(SUM(S9)&lt;=0,"",S9),IF($B$12=3,IF(SUM(T9)&lt;=0,"",T9),IF($B$12=4,IF(SUM(U9)&lt;=0,"",U9),IF($B$12=5,IF(SUM(V9)&lt;=0,"",V9),IF($B$12=6,IF(SUM(W9)&lt;=0,"",W9),"")))))))</f>
        <v/>
      </c>
      <c r="R8" s="26">
        <f t="shared" si="90"/>
        <v>20</v>
      </c>
      <c r="S8" s="26" t="str">
        <f t="shared" si="90"/>
        <v/>
      </c>
      <c r="T8" s="26" t="str">
        <f t="shared" si="90"/>
        <v/>
      </c>
      <c r="U8" s="26" t="str">
        <f t="shared" si="90"/>
        <v/>
      </c>
      <c r="V8" s="26" t="str">
        <f t="shared" si="90"/>
        <v/>
      </c>
      <c r="W8" s="26" t="str">
        <f t="shared" si="90"/>
        <v/>
      </c>
      <c r="X8" s="26" t="str">
        <f t="shared" si="90"/>
        <v/>
      </c>
      <c r="Y8" s="26" t="str">
        <f t="shared" si="90"/>
        <v/>
      </c>
      <c r="Z8" s="26" t="str">
        <f t="shared" si="90"/>
        <v/>
      </c>
      <c r="AA8" s="26" t="str">
        <f t="shared" si="90"/>
        <v/>
      </c>
      <c r="AB8" s="26" t="str">
        <f t="shared" si="90"/>
        <v/>
      </c>
      <c r="AC8" s="26" t="str">
        <f t="shared" si="90"/>
        <v/>
      </c>
      <c r="AD8" s="27" t="str">
        <f t="shared" si="90"/>
        <v/>
      </c>
      <c r="AE8" s="14" t="str">
        <f t="shared" si="90"/>
        <v/>
      </c>
      <c r="AF8" s="26" t="str">
        <f t="shared" si="90"/>
        <v/>
      </c>
      <c r="AG8" s="26" t="str">
        <f t="shared" si="90"/>
        <v/>
      </c>
      <c r="AH8" s="26" t="str">
        <f t="shared" si="90"/>
        <v/>
      </c>
      <c r="AI8" s="26">
        <f t="shared" ref="AI8" si="91">IF($B$15=0,IF($B$12=1,IF(SUM(AJ10)&lt;=0,"",AJ10),IF($B$12=2,IF(SUM(AK10)&lt;=0,"",AK10),IF($B$12=3,IF(SUM(AL10)&lt;=0,"",AL10),IF($B$12=4,IF(SUM(AM10)&lt;=0,"",AM10),IF($B$12=5,IF(SUM(AN10)&lt;=0,"",AN10),IF($B$12=6,IF(SUM(AO10)&lt;=0,"",AO10),"")))))),IF($B$12=1,IF(SUM(AJ9)&lt;=0,"",AJ9),IF($B$12=2,IF(SUM(AK9)&lt;=0,"",AK9),IF($B$12=3,IF(SUM(AL9)&lt;=0,"",AL9),IF($B$12=4,IF(SUM(AM9)&lt;=0,"",AM9),IF($B$12=5,IF(SUM(AN9)&lt;=0,"",AN9),IF($B$12=6,IF(SUM(AO9)&lt;=0,"",AO9),"")))))))</f>
        <v>20</v>
      </c>
      <c r="AJ8" s="26" t="str">
        <f t="shared" ref="AJ8" si="92">IF($B$15=0,IF($B$12=1,IF(SUM(AK10)&lt;=0,"",AK10),IF($B$12=2,IF(SUM(AL10)&lt;=0,"",AL10),IF($B$12=3,IF(SUM(AM10)&lt;=0,"",AM10),IF($B$12=4,IF(SUM(AN10)&lt;=0,"",AN10),IF($B$12=5,IF(SUM(AO10)&lt;=0,"",AO10),IF($B$12=6,IF(SUM(AP10)&lt;=0,"",AP10),"")))))),IF($B$12=1,IF(SUM(AK9)&lt;=0,"",AK9),IF($B$12=2,IF(SUM(AL9)&lt;=0,"",AL9),IF($B$12=3,IF(SUM(AM9)&lt;=0,"",AM9),IF($B$12=4,IF(SUM(AN9)&lt;=0,"",AN9),IF($B$12=5,IF(SUM(AO9)&lt;=0,"",AO9),IF($B$12=6,IF(SUM(AP9)&lt;=0,"",AP9),"")))))))</f>
        <v/>
      </c>
      <c r="AK8" s="26" t="str">
        <f t="shared" ref="AK8" si="93">IF($B$15=0,IF($B$12=1,IF(SUM(AL10)&lt;=0,"",AL10),IF($B$12=2,IF(SUM(AM10)&lt;=0,"",AM10),IF($B$12=3,IF(SUM(AN10)&lt;=0,"",AN10),IF($B$12=4,IF(SUM(AO10)&lt;=0,"",AO10),IF($B$12=5,IF(SUM(AP10)&lt;=0,"",AP10),IF($B$12=6,IF(SUM(AQ10)&lt;=0,"",AQ10),"")))))),IF($B$12=1,IF(SUM(AL9)&lt;=0,"",AL9),IF($B$12=2,IF(SUM(AM9)&lt;=0,"",AM9),IF($B$12=3,IF(SUM(AN9)&lt;=0,"",AN9),IF($B$12=4,IF(SUM(AO9)&lt;=0,"",AO9),IF($B$12=5,IF(SUM(AP9)&lt;=0,"",AP9),IF($B$12=6,IF(SUM(AQ9)&lt;=0,"",AQ9),"")))))))</f>
        <v/>
      </c>
      <c r="AL8" s="26" t="str">
        <f t="shared" ref="AL8" si="94">IF($B$15=0,IF($B$12=1,IF(SUM(AM10)&lt;=0,"",AM10),IF($B$12=2,IF(SUM(AN10)&lt;=0,"",AN10),IF($B$12=3,IF(SUM(AO10)&lt;=0,"",AO10),IF($B$12=4,IF(SUM(AP10)&lt;=0,"",AP10),IF($B$12=5,IF(SUM(AQ10)&lt;=0,"",AQ10),IF($B$12=6,IF(SUM(AR10)&lt;=0,"",AR10),"")))))),IF($B$12=1,IF(SUM(AM9)&lt;=0,"",AM9),IF($B$12=2,IF(SUM(AN9)&lt;=0,"",AN9),IF($B$12=3,IF(SUM(AO9)&lt;=0,"",AO9),IF($B$12=4,IF(SUM(AP9)&lt;=0,"",AP9),IF($B$12=5,IF(SUM(AQ9)&lt;=0,"",AQ9),IF($B$12=6,IF(SUM(AR9)&lt;=0,"",AR9),"")))))))</f>
        <v/>
      </c>
      <c r="AM8" s="26" t="str">
        <f t="shared" ref="AM8" si="95">IF($B$15=0,IF($B$12=1,IF(SUM(AN10)&lt;=0,"",AN10),IF($B$12=2,IF(SUM(AO10)&lt;=0,"",AO10),IF($B$12=3,IF(SUM(AP10)&lt;=0,"",AP10),IF($B$12=4,IF(SUM(AQ10)&lt;=0,"",AQ10),IF($B$12=5,IF(SUM(AR10)&lt;=0,"",AR10),IF($B$12=6,IF(SUM(AS10)&lt;=0,"",AS10),"")))))),IF($B$12=1,IF(SUM(AN9)&lt;=0,"",AN9),IF($B$12=2,IF(SUM(AO9)&lt;=0,"",AO9),IF($B$12=3,IF(SUM(AP9)&lt;=0,"",AP9),IF($B$12=4,IF(SUM(AQ9)&lt;=0,"",AQ9),IF($B$12=5,IF(SUM(AR9)&lt;=0,"",AR9),IF($B$12=6,IF(SUM(AS9)&lt;=0,"",AS9),"")))))))</f>
        <v/>
      </c>
      <c r="AN8" s="26" t="str">
        <f t="shared" ref="AN8" si="96">IF($B$15=0,IF($B$12=1,IF(SUM(AO10)&lt;=0,"",AO10),IF($B$12=2,IF(SUM(AP10)&lt;=0,"",AP10),IF($B$12=3,IF(SUM(AQ10)&lt;=0,"",AQ10),IF($B$12=4,IF(SUM(AR10)&lt;=0,"",AR10),IF($B$12=5,IF(SUM(AS10)&lt;=0,"",AS10),IF($B$12=6,IF(SUM(AT10)&lt;=0,"",AT10),"")))))),IF($B$12=1,IF(SUM(AO9)&lt;=0,"",AO9),IF($B$12=2,IF(SUM(AP9)&lt;=0,"",AP9),IF($B$12=3,IF(SUM(AQ9)&lt;=0,"",AQ9),IF($B$12=4,IF(SUM(AR9)&lt;=0,"",AR9),IF($B$12=5,IF(SUM(AS9)&lt;=0,"",AS9),IF($B$12=6,IF(SUM(AT9)&lt;=0,"",AT9),"")))))))</f>
        <v/>
      </c>
      <c r="AO8" s="26">
        <f t="shared" ref="AO8" si="97">IF($B$15=0,IF($B$12=1,IF(SUM(AP10)&lt;=0,"",AP10),IF($B$12=2,IF(SUM(AQ10)&lt;=0,"",AQ10),IF($B$12=3,IF(SUM(AR10)&lt;=0,"",AR10),IF($B$12=4,IF(SUM(AS10)&lt;=0,"",AS10),IF($B$12=5,IF(SUM(AT10)&lt;=0,"",AT10),IF($B$12=6,IF(SUM(AU10)&lt;=0,"",AU10),"")))))),IF($B$12=1,IF(SUM(AP9)&lt;=0,"",AP9),IF($B$12=2,IF(SUM(AQ9)&lt;=0,"",AQ9),IF($B$12=3,IF(SUM(AR9)&lt;=0,"",AR9),IF($B$12=4,IF(SUM(AS9)&lt;=0,"",AS9),IF($B$12=5,IF(SUM(AT9)&lt;=0,"",AT9),IF($B$12=6,IF(SUM(AU9)&lt;=0,"",AU9),"")))))))</f>
        <v>20</v>
      </c>
      <c r="AP8" s="26" t="str">
        <f t="shared" ref="AP8" si="98">IF($B$15=0,IF($B$12=1,IF(SUM(AQ10)&lt;=0,"",AQ10),IF($B$12=2,IF(SUM(AR10)&lt;=0,"",AR10),IF($B$12=3,IF(SUM(AS10)&lt;=0,"",AS10),IF($B$12=4,IF(SUM(AT10)&lt;=0,"",AT10),IF($B$12=5,IF(SUM(AU10)&lt;=0,"",AU10),IF($B$12=6,IF(SUM(AV10)&lt;=0,"",AV10),"")))))),IF($B$12=1,IF(SUM(AQ9)&lt;=0,"",AQ9),IF($B$12=2,IF(SUM(AR9)&lt;=0,"",AR9),IF($B$12=3,IF(SUM(AS9)&lt;=0,"",AS9),IF($B$12=4,IF(SUM(AT9)&lt;=0,"",AT9),IF($B$12=5,IF(SUM(AU9)&lt;=0,"",AU9),IF($B$12=6,IF(SUM(AV9)&lt;=0,"",AV9),"")))))))</f>
        <v/>
      </c>
      <c r="AQ8" s="26" t="str">
        <f t="shared" ref="AQ8" si="99">IF($B$15=0,IF($B$12=1,IF(SUM(AR10)&lt;=0,"",AR10),IF($B$12=2,IF(SUM(AS10)&lt;=0,"",AS10),IF($B$12=3,IF(SUM(AT10)&lt;=0,"",AT10),IF($B$12=4,IF(SUM(AU10)&lt;=0,"",AU10),IF($B$12=5,IF(SUM(AV10)&lt;=0,"",AV10),IF($B$12=6,IF(SUM(AW10)&lt;=0,"",AW10),"")))))),IF($B$12=1,IF(SUM(AR9)&lt;=0,"",AR9),IF($B$12=2,IF(SUM(AS9)&lt;=0,"",AS9),IF($B$12=3,IF(SUM(AT9)&lt;=0,"",AT9),IF($B$12=4,IF(SUM(AU9)&lt;=0,"",AU9),IF($B$12=5,IF(SUM(AV9)&lt;=0,"",AV9),IF($B$12=6,IF(SUM(AW9)&lt;=0,"",AW9),"")))))))</f>
        <v/>
      </c>
      <c r="AR8" s="26" t="str">
        <f t="shared" ref="AR8" si="100">IF($B$15=0,IF($B$12=1,IF(SUM(AS10)&lt;=0,"",AS10),IF($B$12=2,IF(SUM(AT10)&lt;=0,"",AT10),IF($B$12=3,IF(SUM(AU10)&lt;=0,"",AU10),IF($B$12=4,IF(SUM(AV10)&lt;=0,"",AV10),IF($B$12=5,IF(SUM(AW10)&lt;=0,"",AW10),IF($B$12=6,IF(SUM(AX10)&lt;=0,"",AX10),"")))))),IF($B$12=1,IF(SUM(AS9)&lt;=0,"",AS9),IF($B$12=2,IF(SUM(AT9)&lt;=0,"",AT9),IF($B$12=3,IF(SUM(AU9)&lt;=0,"",AU9),IF($B$12=4,IF(SUM(AV9)&lt;=0,"",AV9),IF($B$12=5,IF(SUM(AW9)&lt;=0,"",AW9),IF($B$12=6,IF(SUM(AX9)&lt;=0,"",AX9),"")))))))</f>
        <v/>
      </c>
      <c r="AS8" s="26">
        <f t="shared" ref="AS8" si="101">IF($B$15=0,IF($B$12=1,IF(SUM(AT10)&lt;=0,"",AT10),IF($B$12=2,IF(SUM(AU10)&lt;=0,"",AU10),IF($B$12=3,IF(SUM(AV10)&lt;=0,"",AV10),IF($B$12=4,IF(SUM(AW10)&lt;=0,"",AW10),IF($B$12=5,IF(SUM(AX10)&lt;=0,"",AX10),IF($B$12=6,IF(SUM(AY10)&lt;=0,"",AY10),"")))))),IF($B$12=1,IF(SUM(AT9)&lt;=0,"",AT9),IF($B$12=2,IF(SUM(AU9)&lt;=0,"",AU9),IF($B$12=3,IF(SUM(AV9)&lt;=0,"",AV9),IF($B$12=4,IF(SUM(AW9)&lt;=0,"",AW9),IF($B$12=5,IF(SUM(AX9)&lt;=0,"",AX9),IF($B$12=6,IF(SUM(AY9)&lt;=0,"",AY9),"")))))))</f>
        <v>30</v>
      </c>
      <c r="AT8" s="26" t="str">
        <f t="shared" ref="AT8" si="102">IF($B$15=0,IF($B$12=1,IF(SUM(AU10)&lt;=0,"",AU10),IF($B$12=2,IF(SUM(AV10)&lt;=0,"",AV10),IF($B$12=3,IF(SUM(AW10)&lt;=0,"",AW10),IF($B$12=4,IF(SUM(AX10)&lt;=0,"",AX10),IF($B$12=5,IF(SUM(AY10)&lt;=0,"",AY10),IF($B$12=6,IF(SUM(AZ10)&lt;=0,"",AZ10),"")))))),IF($B$12=1,IF(SUM(AU9)&lt;=0,"",AU9),IF($B$12=2,IF(SUM(AV9)&lt;=0,"",AV9),IF($B$12=3,IF(SUM(AW9)&lt;=0,"",AW9),IF($B$12=4,IF(SUM(AX9)&lt;=0,"",AX9),IF($B$12=5,IF(SUM(AY9)&lt;=0,"",AY9),IF($B$12=6,IF(SUM(AZ9)&lt;=0,"",AZ9),"")))))))</f>
        <v/>
      </c>
      <c r="AU8" s="26">
        <f t="shared" ref="AU8" si="103">IF($B$15=0,IF($B$12=1,IF(SUM(AV10)&lt;=0,"",AV10),IF($B$12=2,IF(SUM(AW10)&lt;=0,"",AW10),IF($B$12=3,IF(SUM(AX10)&lt;=0,"",AX10),IF($B$12=4,IF(SUM(AY10)&lt;=0,"",AY10),IF($B$12=5,IF(SUM(AZ10)&lt;=0,"",AZ10),IF($B$12=6,IF(SUM(BA10)&lt;=0,"",BA10),"")))))),IF($B$12=1,IF(SUM(AV9)&lt;=0,"",AV9),IF($B$12=2,IF(SUM(AW9)&lt;=0,"",AW9),IF($B$12=3,IF(SUM(AX9)&lt;=0,"",AX9),IF($B$12=4,IF(SUM(AY9)&lt;=0,"",AY9),IF($B$12=5,IF(SUM(AZ9)&lt;=0,"",AZ9),IF($B$12=6,IF(SUM(BA9)&lt;=0,"",BA9),"")))))))</f>
        <v>60</v>
      </c>
      <c r="AV8" s="26" t="str">
        <f t="shared" ref="AV8" si="104">IF($B$15=0,IF($B$12=1,IF(SUM(AW10)&lt;=0,"",AW10),IF($B$12=2,IF(SUM(AX10)&lt;=0,"",AX10),IF($B$12=3,IF(SUM(AY10)&lt;=0,"",AY10),IF($B$12=4,IF(SUM(AZ10)&lt;=0,"",AZ10),IF($B$12=5,IF(SUM(BA10)&lt;=0,"",BA10),IF($B$12=6,IF(SUM(BB10)&lt;=0,"",BB10),"")))))),IF($B$12=1,IF(SUM(AW9)&lt;=0,"",AW9),IF($B$12=2,IF(SUM(AX9)&lt;=0,"",AX9),IF($B$12=3,IF(SUM(AY9)&lt;=0,"",AY9),IF($B$12=4,IF(SUM(AZ9)&lt;=0,"",AZ9),IF($B$12=5,IF(SUM(BA9)&lt;=0,"",BA9),IF($B$12=6,IF(SUM(BB9)&lt;=0,"",BB9),"")))))))</f>
        <v/>
      </c>
      <c r="AW8" s="26">
        <f t="shared" ref="AW8" si="105">IF($B$15=0,IF($B$12=1,IF(SUM(AX10)&lt;=0,"",AX10),IF($B$12=2,IF(SUM(AY10)&lt;=0,"",AY10),IF($B$12=3,IF(SUM(AZ10)&lt;=0,"",AZ10),IF($B$12=4,IF(SUM(BA10)&lt;=0,"",BA10),IF($B$12=5,IF(SUM(BB10)&lt;=0,"",BB10),IF($B$12=6,IF(SUM(BC10)&lt;=0,"",BC10),"")))))),IF($B$12=1,IF(SUM(AX9)&lt;=0,"",AX9),IF($B$12=2,IF(SUM(AY9)&lt;=0,"",AY9),IF($B$12=3,IF(SUM(AZ9)&lt;=0,"",AZ9),IF($B$12=4,IF(SUM(BA9)&lt;=0,"",BA9),IF($B$12=5,IF(SUM(BB9)&lt;=0,"",BB9),IF($B$12=6,IF(SUM(BC9)&lt;=0,"",BC9),"")))))))</f>
        <v>60</v>
      </c>
      <c r="AX8" s="26">
        <f t="shared" ref="AX8" si="106">IF($B$15=0,IF($B$12=1,IF(SUM(AY10)&lt;=0,"",AY10),IF($B$12=2,IF(SUM(AZ10)&lt;=0,"",AZ10),IF($B$12=3,IF(SUM(BA10)&lt;=0,"",BA10),IF($B$12=4,IF(SUM(BB10)&lt;=0,"",BB10),IF($B$12=5,IF(SUM(BC10)&lt;=0,"",BC10),IF($B$12=6,IF(SUM(BD10)&lt;=0,"",BD10),"")))))),IF($B$12=1,IF(SUM(AY9)&lt;=0,"",AY9),IF($B$12=2,IF(SUM(AZ9)&lt;=0,"",AZ9),IF($B$12=3,IF(SUM(BA9)&lt;=0,"",BA9),IF($B$12=4,IF(SUM(BB9)&lt;=0,"",BB9),IF($B$12=5,IF(SUM(BC9)&lt;=0,"",BC9),IF($B$12=6,IF(SUM(BD9)&lt;=0,"",BD9),"")))))))</f>
        <v>90</v>
      </c>
      <c r="AY8" s="26" t="str">
        <f t="shared" ref="AY8" si="107">IF($B$15=0,IF($B$12=1,IF(SUM(AZ10)&lt;=0,"",AZ10),IF($B$12=2,IF(SUM(BA10)&lt;=0,"",BA10),IF($B$12=3,IF(SUM(BB10)&lt;=0,"",BB10),IF($B$12=4,IF(SUM(BC10)&lt;=0,"",BC10),IF($B$12=5,IF(SUM(BD10)&lt;=0,"",BD10),IF($B$12=6,IF(SUM(BE10)&lt;=0,"",BE10),"")))))),IF($B$12=1,IF(SUM(AZ9)&lt;=0,"",AZ9),IF($B$12=2,IF(SUM(BA9)&lt;=0,"",BA9),IF($B$12=3,IF(SUM(BB9)&lt;=0,"",BB9),IF($B$12=4,IF(SUM(BC9)&lt;=0,"",BC9),IF($B$12=5,IF(SUM(BD9)&lt;=0,"",BD9),IF($B$12=6,IF(SUM(BE9)&lt;=0,"",BE9),"")))))))</f>
        <v/>
      </c>
      <c r="AZ8" s="26" t="str">
        <f t="shared" ref="AZ8" si="108">IF($B$15=0,IF($B$12=1,IF(SUM(BA10)&lt;=0,"",BA10),IF($B$12=2,IF(SUM(BB10)&lt;=0,"",BB10),IF($B$12=3,IF(SUM(BC10)&lt;=0,"",BC10),IF($B$12=4,IF(SUM(BD10)&lt;=0,"",BD10),IF($B$12=5,IF(SUM(BE10)&lt;=0,"",BE10),IF($B$12=6,IF(SUM(BF10)&lt;=0,"",BF10),"")))))),IF($B$12=1,IF(SUM(BA9)&lt;=0,"",BA9),IF($B$12=2,IF(SUM(BB9)&lt;=0,"",BB9),IF($B$12=3,IF(SUM(BC9)&lt;=0,"",BC9),IF($B$12=4,IF(SUM(BD9)&lt;=0,"",BD9),IF($B$12=5,IF(SUM(BE9)&lt;=0,"",BE9),IF($B$12=6,IF(SUM(BF9)&lt;=0,"",BF9),"")))))))</f>
        <v/>
      </c>
      <c r="BA8" s="26" t="str">
        <f t="shared" ref="BA8" si="109">IF($B$15=0,IF($B$12=1,IF(SUM(BB10)&lt;=0,"",BB10),IF($B$12=2,IF(SUM(BC10)&lt;=0,"",BC10),IF($B$12=3,IF(SUM(BD10)&lt;=0,"",BD10),IF($B$12=4,IF(SUM(BE10)&lt;=0,"",BE10),IF($B$12=5,IF(SUM(BF10)&lt;=0,"",BF10),IF($B$12=6,IF(SUM(BG10)&lt;=0,"",BG10),"")))))),IF($B$12=1,IF(SUM(BB9)&lt;=0,"",BB9),IF($B$12=2,IF(SUM(BC9)&lt;=0,"",BC9),IF($B$12=3,IF(SUM(BD9)&lt;=0,"",BD9),IF($B$12=4,IF(SUM(BE9)&lt;=0,"",BE9),IF($B$12=5,IF(SUM(BF9)&lt;=0,"",BF9),IF($B$12=6,IF(SUM(BG9)&lt;=0,"",BG9),"")))))))</f>
        <v/>
      </c>
      <c r="BB8" s="26" t="str">
        <f t="shared" ref="BB8" si="110">IF($B$15=0,IF($B$12=1,IF(SUM(BC10)&lt;=0,"",BC10),IF($B$12=2,IF(SUM(BD10)&lt;=0,"",BD10),IF($B$12=3,IF(SUM(BE10)&lt;=0,"",BE10),IF($B$12=4,IF(SUM(BF10)&lt;=0,"",BF10),IF($B$12=5,IF(SUM(BG10)&lt;=0,"",BG10),IF($B$12=6,IF(SUM(BH10)&lt;=0,"",BH10),"")))))),IF($B$12=1,IF(SUM(BC9)&lt;=0,"",BC9),IF($B$12=2,IF(SUM(BD9)&lt;=0,"",BD9),IF($B$12=3,IF(SUM(BE9)&lt;=0,"",BE9),IF($B$12=4,IF(SUM(BF9)&lt;=0,"",BF9),IF($B$12=5,IF(SUM(BG9)&lt;=0,"",BG9),IF($B$12=6,IF(SUM(BH9)&lt;=0,"",BH9),"")))))))</f>
        <v/>
      </c>
      <c r="BC8" s="26" t="str">
        <f t="shared" ref="BC8" si="111">IF($B$15=0,IF($B$12=1,IF(SUM(BD10)&lt;=0,"",BD10),IF($B$12=2,IF(SUM(BE10)&lt;=0,"",BE10),IF($B$12=3,IF(SUM(BF10)&lt;=0,"",BF10),IF($B$12=4,IF(SUM(BG10)&lt;=0,"",BG10),IF($B$12=5,IF(SUM(BH10)&lt;=0,"",BH10),IF($B$12=6,IF(SUM(BI10)&lt;=0,"",BI10),"")))))),IF($B$12=1,IF(SUM(BD9)&lt;=0,"",BD9),IF($B$12=2,IF(SUM(BE9)&lt;=0,"",BE9),IF($B$12=3,IF(SUM(BF9)&lt;=0,"",BF9),IF($B$12=4,IF(SUM(BG9)&lt;=0,"",BG9),IF($B$12=5,IF(SUM(BH9)&lt;=0,"",BH9),IF($B$12=6,IF(SUM(BI9)&lt;=0,"",BI9),"")))))))</f>
        <v/>
      </c>
      <c r="BD8" s="26" t="str">
        <f t="shared" ref="BD8" si="112">IF($B$15=0,IF($B$12=1,IF(SUM(BE10)&lt;=0,"",BE10),IF($B$12=2,IF(SUM(BF10)&lt;=0,"",BF10),IF($B$12=3,IF(SUM(BG10)&lt;=0,"",BG10),IF($B$12=4,IF(SUM(BH10)&lt;=0,"",BH10),IF($B$12=5,IF(SUM(BI10)&lt;=0,"",BI10),IF($B$12=6,IF(SUM(BJ10)&lt;=0,"",BJ10),"")))))),IF($B$12=1,IF(SUM(BE9)&lt;=0,"",BE9),IF($B$12=2,IF(SUM(BF9)&lt;=0,"",BF9),IF($B$12=3,IF(SUM(BG9)&lt;=0,"",BG9),IF($B$12=4,IF(SUM(BH9)&lt;=0,"",BH9),IF($B$12=5,IF(SUM(BI9)&lt;=0,"",BI9),IF($B$12=6,IF(SUM(BJ9)&lt;=0,"",BJ9),"")))))))</f>
        <v/>
      </c>
    </row>
    <row r="9" spans="1:56" ht="17.25" thickBot="1" x14ac:dyDescent="0.3">
      <c r="A9" s="4"/>
      <c r="B9" s="40">
        <v>0.3</v>
      </c>
      <c r="C9" s="4"/>
      <c r="D9" s="16" t="s">
        <v>9</v>
      </c>
      <c r="E9" s="24" t="str">
        <f>IF($B$15=1,IF(SUM(F10)&lt;=0,"",F10),IF($B$15=2,IF(SUM(G10)&lt;=0,"",G10),IF($B$15=3,IF(SUM(H10)&lt;=0,"",H10),IF($B$15=4,IF(SUM(I10)&lt;=0,"",I10),IF($B$15=5,IF(SUM(J10)&lt;=0,"",J10),"")))))</f>
        <v/>
      </c>
      <c r="F9" s="24" t="str">
        <f t="shared" ref="F9:AA9" si="113">IF($B$15=1,IF(SUM(G10)&lt;=0,"",G10),IF($B$15=2,IF(SUM(H10)&lt;=0,"",H10),IF($B$15=3,IF(SUM(I10)&lt;=0,"",I10),IF($B$15=4,IF(SUM(J10)&lt;=0,"",J10),IF($B$15=5,IF(SUM(K10)&lt;=0,"",K10),"")))))</f>
        <v/>
      </c>
      <c r="G9" s="24" t="str">
        <f t="shared" si="113"/>
        <v/>
      </c>
      <c r="H9" s="24" t="str">
        <f t="shared" si="113"/>
        <v/>
      </c>
      <c r="I9" s="24" t="str">
        <f t="shared" si="113"/>
        <v/>
      </c>
      <c r="J9" s="24" t="str">
        <f t="shared" si="113"/>
        <v/>
      </c>
      <c r="K9" s="24" t="str">
        <f t="shared" si="113"/>
        <v/>
      </c>
      <c r="L9" s="24" t="str">
        <f t="shared" si="113"/>
        <v/>
      </c>
      <c r="M9" s="24" t="str">
        <f>IF($B$15=1,IF(SUM(N10)&lt;=0,"",N10),IF($B$15=2,IF(SUM(O10)&lt;=0,"",O10),IF($B$15=3,IF(SUM(P10)&lt;=0,"",P10),IF($B$15=4,IF(SUM(Q10)&lt;=0,"",Q10),IF($B$15=5,IF(SUM(R10)&lt;=0,"",R10),"")))))</f>
        <v/>
      </c>
      <c r="N9" s="24" t="str">
        <f t="shared" si="113"/>
        <v/>
      </c>
      <c r="O9" s="24" t="str">
        <f t="shared" si="113"/>
        <v/>
      </c>
      <c r="P9" s="24" t="str">
        <f t="shared" si="113"/>
        <v/>
      </c>
      <c r="Q9" s="24" t="str">
        <f t="shared" si="113"/>
        <v/>
      </c>
      <c r="R9" s="24" t="str">
        <f t="shared" si="113"/>
        <v/>
      </c>
      <c r="S9" s="24" t="str">
        <f t="shared" si="113"/>
        <v/>
      </c>
      <c r="T9" s="24" t="str">
        <f t="shared" si="113"/>
        <v/>
      </c>
      <c r="U9" s="24" t="str">
        <f t="shared" si="113"/>
        <v/>
      </c>
      <c r="V9" s="24" t="str">
        <f t="shared" si="113"/>
        <v/>
      </c>
      <c r="W9" s="24" t="str">
        <f t="shared" si="113"/>
        <v/>
      </c>
      <c r="X9" s="24" t="str">
        <f t="shared" si="113"/>
        <v/>
      </c>
      <c r="Y9" s="24" t="str">
        <f t="shared" si="113"/>
        <v/>
      </c>
      <c r="Z9" s="24" t="str">
        <f t="shared" si="113"/>
        <v/>
      </c>
      <c r="AA9" s="24" t="str">
        <f t="shared" si="113"/>
        <v/>
      </c>
      <c r="AB9" s="24" t="str">
        <f>IF($B$15=1,IF(SUM(AC10)&lt;=0,"",AC10),IF($B$15=2,IF(SUM(AD10)&lt;=0,"",AD10),IF($B$15=3,IF(SUM(AE10)&lt;=0,"",AE10),IF($B$15=4,IF(SUM(AF10)&lt;=0,"",AF10),IF($B$15=5,IF(SUM(AG10)&lt;=0,"",AG10),"")))))</f>
        <v/>
      </c>
      <c r="AC9" s="24" t="str">
        <f t="shared" ref="AC9:AH9" si="114">IF($B$15=1,IF(SUM(AD10)&lt;=0,"",AD10),IF($B$15=2,IF(SUM(AE10)&lt;=0,"",AE10),IF($B$15=3,IF(SUM(AF10)&lt;=0,"",AF10),IF($B$15=4,IF(SUM(AG10)&lt;=0,"",AG10),IF($B$15=5,IF(SUM(AH10)&lt;=0,"",AH10),"")))))</f>
        <v/>
      </c>
      <c r="AD9" s="25" t="str">
        <f t="shared" si="114"/>
        <v/>
      </c>
      <c r="AE9" s="16" t="str">
        <f t="shared" si="114"/>
        <v/>
      </c>
      <c r="AF9" s="24" t="str">
        <f t="shared" si="114"/>
        <v/>
      </c>
      <c r="AG9" s="24" t="str">
        <f t="shared" si="114"/>
        <v/>
      </c>
      <c r="AH9" s="24" t="str">
        <f t="shared" si="114"/>
        <v/>
      </c>
      <c r="AI9" s="24" t="str">
        <f t="shared" ref="AI9" si="115">IF($B$15=1,IF(SUM(AJ10)&lt;=0,"",AJ10),IF($B$15=2,IF(SUM(AK10)&lt;=0,"",AK10),IF($B$15=3,IF(SUM(AL10)&lt;=0,"",AL10),IF($B$15=4,IF(SUM(AM10)&lt;=0,"",AM10),IF($B$15=5,IF(SUM(AN10)&lt;=0,"",AN10),"")))))</f>
        <v/>
      </c>
      <c r="AJ9" s="24" t="str">
        <f t="shared" ref="AJ9" si="116">IF($B$15=1,IF(SUM(AK10)&lt;=0,"",AK10),IF($B$15=2,IF(SUM(AL10)&lt;=0,"",AL10),IF($B$15=3,IF(SUM(AM10)&lt;=0,"",AM10),IF($B$15=4,IF(SUM(AN10)&lt;=0,"",AN10),IF($B$15=5,IF(SUM(AO10)&lt;=0,"",AO10),"")))))</f>
        <v/>
      </c>
      <c r="AK9" s="24" t="str">
        <f t="shared" ref="AK9" si="117">IF($B$15=1,IF(SUM(AL10)&lt;=0,"",AL10),IF($B$15=2,IF(SUM(AM10)&lt;=0,"",AM10),IF($B$15=3,IF(SUM(AN10)&lt;=0,"",AN10),IF($B$15=4,IF(SUM(AO10)&lt;=0,"",AO10),IF($B$15=5,IF(SUM(AP10)&lt;=0,"",AP10),"")))))</f>
        <v/>
      </c>
      <c r="AL9" s="24" t="str">
        <f t="shared" ref="AL9" si="118">IF($B$15=1,IF(SUM(AM10)&lt;=0,"",AM10),IF($B$15=2,IF(SUM(AN10)&lt;=0,"",AN10),IF($B$15=3,IF(SUM(AO10)&lt;=0,"",AO10),IF($B$15=4,IF(SUM(AP10)&lt;=0,"",AP10),IF($B$15=5,IF(SUM(AQ10)&lt;=0,"",AQ10),"")))))</f>
        <v/>
      </c>
      <c r="AM9" s="24" t="str">
        <f t="shared" ref="AM9" si="119">IF($B$15=1,IF(SUM(AN10)&lt;=0,"",AN10),IF($B$15=2,IF(SUM(AO10)&lt;=0,"",AO10),IF($B$15=3,IF(SUM(AP10)&lt;=0,"",AP10),IF($B$15=4,IF(SUM(AQ10)&lt;=0,"",AQ10),IF($B$15=5,IF(SUM(AR10)&lt;=0,"",AR10),"")))))</f>
        <v/>
      </c>
      <c r="AN9" s="24" t="str">
        <f t="shared" ref="AN9" si="120">IF($B$15=1,IF(SUM(AO10)&lt;=0,"",AO10),IF($B$15=2,IF(SUM(AP10)&lt;=0,"",AP10),IF($B$15=3,IF(SUM(AQ10)&lt;=0,"",AQ10),IF($B$15=4,IF(SUM(AR10)&lt;=0,"",AR10),IF($B$15=5,IF(SUM(AS10)&lt;=0,"",AS10),"")))))</f>
        <v/>
      </c>
      <c r="AO9" s="24" t="str">
        <f t="shared" ref="AO9" si="121">IF($B$15=1,IF(SUM(AP10)&lt;=0,"",AP10),IF($B$15=2,IF(SUM(AQ10)&lt;=0,"",AQ10),IF($B$15=3,IF(SUM(AR10)&lt;=0,"",AR10),IF($B$15=4,IF(SUM(AS10)&lt;=0,"",AS10),IF($B$15=5,IF(SUM(AT10)&lt;=0,"",AT10),"")))))</f>
        <v/>
      </c>
      <c r="AP9" s="24" t="str">
        <f t="shared" ref="AP9" si="122">IF($B$15=1,IF(SUM(AQ10)&lt;=0,"",AQ10),IF($B$15=2,IF(SUM(AR10)&lt;=0,"",AR10),IF($B$15=3,IF(SUM(AS10)&lt;=0,"",AS10),IF($B$15=4,IF(SUM(AT10)&lt;=0,"",AT10),IF($B$15=5,IF(SUM(AU10)&lt;=0,"",AU10),"")))))</f>
        <v/>
      </c>
      <c r="AQ9" s="24" t="str">
        <f t="shared" ref="AQ9" si="123">IF($B$15=1,IF(SUM(AR10)&lt;=0,"",AR10),IF($B$15=2,IF(SUM(AS10)&lt;=0,"",AS10),IF($B$15=3,IF(SUM(AT10)&lt;=0,"",AT10),IF($B$15=4,IF(SUM(AU10)&lt;=0,"",AU10),IF($B$15=5,IF(SUM(AV10)&lt;=0,"",AV10),"")))))</f>
        <v/>
      </c>
      <c r="AR9" s="24" t="str">
        <f t="shared" ref="AR9" si="124">IF($B$15=1,IF(SUM(AS10)&lt;=0,"",AS10),IF($B$15=2,IF(SUM(AT10)&lt;=0,"",AT10),IF($B$15=3,IF(SUM(AU10)&lt;=0,"",AU10),IF($B$15=4,IF(SUM(AV10)&lt;=0,"",AV10),IF($B$15=5,IF(SUM(AW10)&lt;=0,"",AW10),"")))))</f>
        <v/>
      </c>
      <c r="AS9" s="24" t="str">
        <f t="shared" ref="AS9" si="125">IF($B$15=1,IF(SUM(AT10)&lt;=0,"",AT10),IF($B$15=2,IF(SUM(AU10)&lt;=0,"",AU10),IF($B$15=3,IF(SUM(AV10)&lt;=0,"",AV10),IF($B$15=4,IF(SUM(AW10)&lt;=0,"",AW10),IF($B$15=5,IF(SUM(AX10)&lt;=0,"",AX10),"")))))</f>
        <v/>
      </c>
      <c r="AT9" s="24" t="str">
        <f t="shared" ref="AT9" si="126">IF($B$15=1,IF(SUM(AU10)&lt;=0,"",AU10),IF($B$15=2,IF(SUM(AV10)&lt;=0,"",AV10),IF($B$15=3,IF(SUM(AW10)&lt;=0,"",AW10),IF($B$15=4,IF(SUM(AX10)&lt;=0,"",AX10),IF($B$15=5,IF(SUM(AY10)&lt;=0,"",AY10),"")))))</f>
        <v/>
      </c>
      <c r="AU9" s="24" t="str">
        <f t="shared" ref="AU9" si="127">IF($B$15=1,IF(SUM(AV10)&lt;=0,"",AV10),IF($B$15=2,IF(SUM(AW10)&lt;=0,"",AW10),IF($B$15=3,IF(SUM(AX10)&lt;=0,"",AX10),IF($B$15=4,IF(SUM(AY10)&lt;=0,"",AY10),IF($B$15=5,IF(SUM(AZ10)&lt;=0,"",AZ10),"")))))</f>
        <v/>
      </c>
      <c r="AV9" s="24" t="str">
        <f t="shared" ref="AV9" si="128">IF($B$15=1,IF(SUM(AW10)&lt;=0,"",AW10),IF($B$15=2,IF(SUM(AX10)&lt;=0,"",AX10),IF($B$15=3,IF(SUM(AY10)&lt;=0,"",AY10),IF($B$15=4,IF(SUM(AZ10)&lt;=0,"",AZ10),IF($B$15=5,IF(SUM(BA10)&lt;=0,"",BA10),"")))))</f>
        <v/>
      </c>
      <c r="AW9" s="24" t="str">
        <f t="shared" ref="AW9" si="129">IF($B$15=1,IF(SUM(AX10)&lt;=0,"",AX10),IF($B$15=2,IF(SUM(AY10)&lt;=0,"",AY10),IF($B$15=3,IF(SUM(AZ10)&lt;=0,"",AZ10),IF($B$15=4,IF(SUM(BA10)&lt;=0,"",BA10),IF($B$15=5,IF(SUM(BB10)&lt;=0,"",BB10),"")))))</f>
        <v/>
      </c>
      <c r="AX9" s="24" t="str">
        <f t="shared" ref="AX9" si="130">IF($B$15=1,IF(SUM(AY10)&lt;=0,"",AY10),IF($B$15=2,IF(SUM(AZ10)&lt;=0,"",AZ10),IF($B$15=3,IF(SUM(BA10)&lt;=0,"",BA10),IF($B$15=4,IF(SUM(BB10)&lt;=0,"",BB10),IF($B$15=5,IF(SUM(BC10)&lt;=0,"",BC10),"")))))</f>
        <v/>
      </c>
      <c r="AY9" s="24" t="str">
        <f t="shared" ref="AY9" si="131">IF($B$15=1,IF(SUM(AZ10)&lt;=0,"",AZ10),IF($B$15=2,IF(SUM(BA10)&lt;=0,"",BA10),IF($B$15=3,IF(SUM(BB10)&lt;=0,"",BB10),IF($B$15=4,IF(SUM(BC10)&lt;=0,"",BC10),IF($B$15=5,IF(SUM(BD10)&lt;=0,"",BD10),"")))))</f>
        <v/>
      </c>
      <c r="AZ9" s="24" t="str">
        <f t="shared" ref="AZ9" si="132">IF($B$15=1,IF(SUM(BA10)&lt;=0,"",BA10),IF($B$15=2,IF(SUM(BB10)&lt;=0,"",BB10),IF($B$15=3,IF(SUM(BC10)&lt;=0,"",BC10),IF($B$15=4,IF(SUM(BD10)&lt;=0,"",BD10),IF($B$15=5,IF(SUM(BE10)&lt;=0,"",BE10),"")))))</f>
        <v/>
      </c>
      <c r="BA9" s="24" t="str">
        <f t="shared" ref="BA9" si="133">IF($B$15=1,IF(SUM(BB10)&lt;=0,"",BB10),IF($B$15=2,IF(SUM(BC10)&lt;=0,"",BC10),IF($B$15=3,IF(SUM(BD10)&lt;=0,"",BD10),IF($B$15=4,IF(SUM(BE10)&lt;=0,"",BE10),IF($B$15=5,IF(SUM(BF10)&lt;=0,"",BF10),"")))))</f>
        <v/>
      </c>
      <c r="BB9" s="24" t="str">
        <f t="shared" ref="BB9" si="134">IF($B$15=1,IF(SUM(BC10)&lt;=0,"",BC10),IF($B$15=2,IF(SUM(BD10)&lt;=0,"",BD10),IF($B$15=3,IF(SUM(BE10)&lt;=0,"",BE10),IF($B$15=4,IF(SUM(BF10)&lt;=0,"",BF10),IF($B$15=5,IF(SUM(BG10)&lt;=0,"",BG10),"")))))</f>
        <v/>
      </c>
      <c r="BC9" s="24" t="str">
        <f t="shared" ref="BC9" si="135">IF($B$15=1,IF(SUM(BD10)&lt;=0,"",BD10),IF($B$15=2,IF(SUM(BE10)&lt;=0,"",BE10),IF($B$15=3,IF(SUM(BF10)&lt;=0,"",BF10),IF($B$15=4,IF(SUM(BG10)&lt;=0,"",BG10),IF($B$15=5,IF(SUM(BH10)&lt;=0,"",BH10),"")))))</f>
        <v/>
      </c>
      <c r="BD9" s="24" t="str">
        <f t="shared" ref="BD9" si="136">IF($B$15=1,IF(SUM(BE10)&lt;=0,"",BE10),IF($B$15=2,IF(SUM(BF10)&lt;=0,"",BF10),IF($B$15=3,IF(SUM(BG10)&lt;=0,"",BG10),IF($B$15=4,IF(SUM(BH10)&lt;=0,"",BH10),IF($B$15=5,IF(SUM(BI10)&lt;=0,"",BI10),"")))))</f>
        <v/>
      </c>
    </row>
    <row r="10" spans="1:56" ht="17.25" thickBot="1" x14ac:dyDescent="0.3">
      <c r="A10" s="4"/>
      <c r="C10" s="4"/>
      <c r="D10" s="14" t="s">
        <v>10</v>
      </c>
      <c r="E10" s="28"/>
      <c r="F10" s="28"/>
      <c r="G10" s="28">
        <v>-50</v>
      </c>
      <c r="H10" s="28"/>
      <c r="I10" s="28"/>
      <c r="J10" s="28">
        <v>-25</v>
      </c>
      <c r="K10" s="28"/>
      <c r="L10" s="28"/>
      <c r="M10" s="28"/>
      <c r="N10" s="28">
        <v>15</v>
      </c>
      <c r="O10" s="28"/>
      <c r="P10" s="28"/>
      <c r="Q10" s="28"/>
      <c r="R10" s="28"/>
      <c r="S10" s="28"/>
      <c r="T10" s="28">
        <v>20</v>
      </c>
      <c r="U10" s="28"/>
      <c r="V10" s="28"/>
      <c r="W10" s="28"/>
      <c r="X10" s="28"/>
      <c r="Y10" s="28">
        <v>-5</v>
      </c>
      <c r="Z10" s="28"/>
      <c r="AA10" s="28"/>
      <c r="AB10" s="28"/>
      <c r="AC10" s="28"/>
      <c r="AD10" s="36"/>
      <c r="AE10" s="34"/>
      <c r="AF10" s="28"/>
      <c r="AG10" s="28"/>
      <c r="AH10" s="28"/>
      <c r="AI10" s="28"/>
      <c r="AJ10" s="28"/>
      <c r="AK10" s="28">
        <v>20</v>
      </c>
      <c r="AL10" s="28"/>
      <c r="AM10" s="28"/>
      <c r="AN10" s="28"/>
      <c r="AO10" s="28"/>
      <c r="AP10" s="28"/>
      <c r="AQ10" s="28">
        <v>20</v>
      </c>
      <c r="AR10" s="28"/>
      <c r="AS10" s="28"/>
      <c r="AT10" s="28"/>
      <c r="AU10" s="28">
        <v>30</v>
      </c>
      <c r="AV10" s="28"/>
      <c r="AW10" s="28">
        <v>60</v>
      </c>
      <c r="AX10" s="28"/>
      <c r="AY10" s="28">
        <v>60</v>
      </c>
      <c r="AZ10" s="28">
        <v>90</v>
      </c>
      <c r="BA10" s="28"/>
      <c r="BB10" s="28"/>
      <c r="BC10" s="28"/>
      <c r="BD10" s="28"/>
    </row>
    <row r="11" spans="1:56" x14ac:dyDescent="0.25">
      <c r="A11" s="4"/>
      <c r="B11" s="11" t="s">
        <v>8</v>
      </c>
      <c r="C11" s="4"/>
      <c r="AD11" s="8"/>
    </row>
    <row r="12" spans="1:56" ht="20.25" thickBot="1" x14ac:dyDescent="0.3">
      <c r="A12" s="4"/>
      <c r="B12" s="13">
        <v>2</v>
      </c>
      <c r="C12" s="4"/>
      <c r="D12" s="31" t="s">
        <v>13</v>
      </c>
    </row>
    <row r="13" spans="1:56" ht="24" thickBot="1" x14ac:dyDescent="0.3">
      <c r="A13" s="4"/>
      <c r="B13" s="7"/>
      <c r="C13" s="4"/>
      <c r="D13" s="9"/>
      <c r="E13" s="10">
        <f>B18</f>
        <v>44569</v>
      </c>
      <c r="F13" s="10">
        <f>E13+7</f>
        <v>44576</v>
      </c>
      <c r="G13" s="10">
        <f t="shared" ref="G13:Q13" si="137">F13+7</f>
        <v>44583</v>
      </c>
      <c r="H13" s="10">
        <f t="shared" si="137"/>
        <v>44590</v>
      </c>
      <c r="I13" s="10">
        <f t="shared" si="137"/>
        <v>44597</v>
      </c>
      <c r="J13" s="10">
        <f t="shared" si="137"/>
        <v>44604</v>
      </c>
      <c r="K13" s="10">
        <f t="shared" si="137"/>
        <v>44611</v>
      </c>
      <c r="L13" s="10">
        <f t="shared" si="137"/>
        <v>44618</v>
      </c>
      <c r="M13" s="10">
        <f t="shared" si="137"/>
        <v>44625</v>
      </c>
      <c r="N13" s="10">
        <f t="shared" si="137"/>
        <v>44632</v>
      </c>
      <c r="O13" s="10">
        <f t="shared" si="137"/>
        <v>44639</v>
      </c>
      <c r="P13" s="10">
        <f t="shared" si="137"/>
        <v>44646</v>
      </c>
      <c r="Q13" s="10">
        <f t="shared" si="137"/>
        <v>44653</v>
      </c>
    </row>
    <row r="14" spans="1:56" ht="18" thickTop="1" thickBot="1" x14ac:dyDescent="0.3">
      <c r="A14" s="4"/>
      <c r="B14" s="11" t="s">
        <v>11</v>
      </c>
      <c r="C14" s="4"/>
      <c r="D14" s="12" t="s">
        <v>4</v>
      </c>
      <c r="E14" s="29">
        <f>IFERROR(HLOOKUP(E13,$E$2:$AH$10,2,FALSE),"")</f>
        <v>159.06764704412336</v>
      </c>
      <c r="F14" s="29">
        <f>IFERROR(HLOOKUP(F13,$E$2:$AH$10,2,FALSE),"")</f>
        <v>126.31620223362204</v>
      </c>
      <c r="G14" s="29">
        <f t="shared" ref="G14:Q14" si="138">IFERROR(HLOOKUP(G13,$E$2:$AH$10,2,FALSE),"")</f>
        <v>100.44613295975923</v>
      </c>
      <c r="H14" s="29">
        <f t="shared" si="138"/>
        <v>93.745229847815708</v>
      </c>
      <c r="I14" s="29">
        <f t="shared" si="138"/>
        <v>90.486302304400155</v>
      </c>
      <c r="J14" s="29">
        <f t="shared" si="138"/>
        <v>83.130437359950278</v>
      </c>
      <c r="K14" s="29">
        <f t="shared" si="138"/>
        <v>71.285459441641379</v>
      </c>
      <c r="L14" s="29">
        <f t="shared" si="138"/>
        <v>71.731977273945304</v>
      </c>
      <c r="M14" s="29">
        <f t="shared" si="138"/>
        <v>73.310413596101696</v>
      </c>
      <c r="N14" s="29">
        <f t="shared" si="138"/>
        <v>82.058140475662725</v>
      </c>
      <c r="O14" s="29">
        <f t="shared" si="138"/>
        <v>93.080055924258289</v>
      </c>
      <c r="P14" s="29">
        <f t="shared" si="138"/>
        <v>91.268020427659621</v>
      </c>
      <c r="Q14" s="29">
        <f t="shared" si="138"/>
        <v>74.988215979864549</v>
      </c>
    </row>
    <row r="15" spans="1:56" ht="17.25" thickBot="1" x14ac:dyDescent="0.3">
      <c r="A15" s="4"/>
      <c r="B15" s="13">
        <v>0</v>
      </c>
      <c r="C15" s="4"/>
      <c r="D15" s="14" t="s">
        <v>17</v>
      </c>
      <c r="E15" s="15">
        <f>IFERROR(HLOOKUP(E13,$E$2:$AH$10,3,FALSE),"")</f>
        <v>181.88749999999999</v>
      </c>
      <c r="F15" s="15">
        <f>IFERROR(HLOOKUP(F13,$E$2:$AH$10,3,FALSE),"")</f>
        <v>177.34031249999998</v>
      </c>
      <c r="G15" s="15">
        <f t="shared" ref="G15:Q15" si="139">IFERROR(HLOOKUP(G13,$E$2:$AH$10,3,FALSE),"")</f>
        <v>122.90680468749997</v>
      </c>
      <c r="H15" s="15">
        <f t="shared" si="139"/>
        <v>119.83413457031247</v>
      </c>
      <c r="I15" s="15">
        <f t="shared" si="139"/>
        <v>116.83828120605466</v>
      </c>
      <c r="J15" s="15">
        <f t="shared" si="139"/>
        <v>88.917324175903289</v>
      </c>
      <c r="K15" s="15">
        <f t="shared" si="139"/>
        <v>86.694391071505706</v>
      </c>
      <c r="L15" s="15">
        <f t="shared" si="139"/>
        <v>84.527031294718057</v>
      </c>
      <c r="M15" s="15">
        <f t="shared" si="139"/>
        <v>82.413855512350111</v>
      </c>
      <c r="N15" s="15">
        <f t="shared" si="139"/>
        <v>95.353509124541361</v>
      </c>
      <c r="O15" s="15">
        <f t="shared" si="139"/>
        <v>92.969671396427827</v>
      </c>
      <c r="P15" s="15">
        <f t="shared" si="139"/>
        <v>90.64542961151713</v>
      </c>
      <c r="Q15" s="15">
        <f t="shared" si="139"/>
        <v>88.379293871229208</v>
      </c>
    </row>
    <row r="16" spans="1:56" ht="17.25" thickBot="1" x14ac:dyDescent="0.3">
      <c r="A16" s="4"/>
      <c r="B16" s="7"/>
      <c r="C16" s="4"/>
      <c r="D16" s="16" t="str">
        <f>D5</f>
        <v>VARIANCE</v>
      </c>
      <c r="E16" s="17">
        <f>IFERROR(HLOOKUP(E13,$E$2:$AH$10,4,FALSE),"")</f>
        <v>23</v>
      </c>
      <c r="F16" s="17">
        <f>IFERROR(HLOOKUP(F13,$E$2:$AH$10,4,FALSE),"")</f>
        <v>51</v>
      </c>
      <c r="G16" s="17">
        <f t="shared" ref="G16:Q16" si="140">IFERROR(HLOOKUP(G13,$E$2:$AH$10,4,FALSE),"")</f>
        <v>22</v>
      </c>
      <c r="H16" s="17">
        <f t="shared" si="140"/>
        <v>26</v>
      </c>
      <c r="I16" s="17">
        <f t="shared" si="140"/>
        <v>26</v>
      </c>
      <c r="J16" s="17">
        <f t="shared" si="140"/>
        <v>6</v>
      </c>
      <c r="K16" s="17">
        <f t="shared" si="140"/>
        <v>15</v>
      </c>
      <c r="L16" s="17">
        <f t="shared" si="140"/>
        <v>13</v>
      </c>
      <c r="M16" s="17">
        <f t="shared" si="140"/>
        <v>9</v>
      </c>
      <c r="N16" s="17">
        <f t="shared" si="140"/>
        <v>13</v>
      </c>
      <c r="O16" s="17">
        <f t="shared" si="140"/>
        <v>0</v>
      </c>
      <c r="P16" s="17">
        <f t="shared" si="140"/>
        <v>-1</v>
      </c>
      <c r="Q16" s="17">
        <f t="shared" si="140"/>
        <v>13</v>
      </c>
    </row>
    <row r="17" spans="1:28" ht="24" thickBot="1" x14ac:dyDescent="0.3">
      <c r="A17" s="4"/>
      <c r="B17" s="11" t="s">
        <v>12</v>
      </c>
      <c r="C17" s="4"/>
      <c r="D17" s="20"/>
      <c r="E17" s="21"/>
      <c r="F17" s="21"/>
      <c r="G17" s="21"/>
      <c r="H17" s="21"/>
      <c r="I17" s="21"/>
      <c r="J17" s="21"/>
      <c r="K17" s="21"/>
      <c r="L17" s="21"/>
      <c r="M17" s="21"/>
      <c r="N17" s="21"/>
      <c r="O17" s="21"/>
      <c r="P17" s="21"/>
      <c r="Q17" s="21"/>
    </row>
    <row r="18" spans="1:28" ht="17.25" thickBot="1" x14ac:dyDescent="0.3">
      <c r="A18" s="4"/>
      <c r="B18" s="30">
        <f>E2</f>
        <v>44569</v>
      </c>
      <c r="C18" s="4"/>
      <c r="D18" s="16" t="str">
        <f>D7</f>
        <v>NEW HIRE</v>
      </c>
      <c r="E18" s="24" t="str">
        <f>IFERROR(HLOOKUP(E13,$E$2:$AH$10,6,FALSE),"")</f>
        <v/>
      </c>
      <c r="F18" s="24" t="str">
        <f>IFERROR(HLOOKUP(F13,$E$2:$AH$10,6,FALSE),"")</f>
        <v/>
      </c>
      <c r="G18" s="24" t="str">
        <f t="shared" ref="G18:Q18" si="141">IFERROR(HLOOKUP(G13,$E$2:$AH$10,6,FALSE),"")</f>
        <v/>
      </c>
      <c r="H18" s="24" t="str">
        <f t="shared" si="141"/>
        <v/>
      </c>
      <c r="I18" s="24" t="str">
        <f t="shared" si="141"/>
        <v/>
      </c>
      <c r="J18" s="24" t="str">
        <f t="shared" si="141"/>
        <v/>
      </c>
      <c r="K18" s="24">
        <f t="shared" si="141"/>
        <v>20</v>
      </c>
      <c r="L18" s="24" t="str">
        <f t="shared" si="141"/>
        <v/>
      </c>
      <c r="M18" s="24" t="str">
        <f t="shared" si="141"/>
        <v/>
      </c>
      <c r="N18" s="24" t="str">
        <f t="shared" si="141"/>
        <v/>
      </c>
      <c r="O18" s="24" t="str">
        <f t="shared" si="141"/>
        <v/>
      </c>
      <c r="P18" s="24" t="str">
        <f t="shared" si="141"/>
        <v/>
      </c>
      <c r="Q18" s="24">
        <f t="shared" si="141"/>
        <v>26</v>
      </c>
    </row>
    <row r="19" spans="1:28" ht="17.25" thickBot="1" x14ac:dyDescent="0.3">
      <c r="A19" s="4"/>
      <c r="C19" s="4"/>
      <c r="D19" s="14" t="str">
        <f>D8</f>
        <v>TRAINING</v>
      </c>
      <c r="E19" s="26" t="str">
        <f>IFERROR(HLOOKUP(E13,$E$2:$AH$10,7,FALSE),"")</f>
        <v/>
      </c>
      <c r="F19" s="26" t="str">
        <f>IFERROR(HLOOKUP(F13,$E$2:$AH$10,7,FALSE),"")</f>
        <v/>
      </c>
      <c r="G19" s="26" t="str">
        <f t="shared" ref="G19:Q19" si="142">IFERROR(HLOOKUP(G13,$E$2:$AH$10,7,FALSE),"")</f>
        <v/>
      </c>
      <c r="H19" s="26" t="str">
        <f t="shared" si="142"/>
        <v/>
      </c>
      <c r="I19" s="26" t="str">
        <f t="shared" si="142"/>
        <v/>
      </c>
      <c r="J19" s="26" t="str">
        <f t="shared" si="142"/>
        <v/>
      </c>
      <c r="K19" s="26" t="str">
        <f t="shared" si="142"/>
        <v/>
      </c>
      <c r="L19" s="26">
        <f t="shared" si="142"/>
        <v>15</v>
      </c>
      <c r="M19" s="26" t="str">
        <f t="shared" si="142"/>
        <v/>
      </c>
      <c r="N19" s="26" t="str">
        <f t="shared" si="142"/>
        <v/>
      </c>
      <c r="O19" s="26" t="str">
        <f t="shared" si="142"/>
        <v/>
      </c>
      <c r="P19" s="26" t="str">
        <f t="shared" si="142"/>
        <v/>
      </c>
      <c r="Q19" s="26" t="str">
        <f t="shared" si="142"/>
        <v/>
      </c>
    </row>
    <row r="20" spans="1:28" ht="17.25" thickBot="1" x14ac:dyDescent="0.3">
      <c r="C20" s="4"/>
      <c r="D20" s="16" t="str">
        <f>D9</f>
        <v>NESTING</v>
      </c>
      <c r="E20" s="24" t="str">
        <f>IFERROR(HLOOKUP(E13,$E$2:$AH$10,8,FALSE),"")</f>
        <v/>
      </c>
      <c r="F20" s="24" t="str">
        <f>IFERROR(HLOOKUP(F13,$E$2:$AH$10,8,FALSE),"")</f>
        <v/>
      </c>
      <c r="G20" s="24" t="str">
        <f t="shared" ref="G20:Q20" si="143">IFERROR(HLOOKUP(G13,$E$2:$AH$10,8,FALSE),"")</f>
        <v/>
      </c>
      <c r="H20" s="24" t="str">
        <f t="shared" si="143"/>
        <v/>
      </c>
      <c r="I20" s="24" t="str">
        <f t="shared" si="143"/>
        <v/>
      </c>
      <c r="J20" s="24" t="str">
        <f t="shared" si="143"/>
        <v/>
      </c>
      <c r="K20" s="24" t="str">
        <f t="shared" si="143"/>
        <v/>
      </c>
      <c r="L20" s="24" t="str">
        <f t="shared" si="143"/>
        <v/>
      </c>
      <c r="M20" s="24" t="str">
        <f t="shared" si="143"/>
        <v/>
      </c>
      <c r="N20" s="24" t="str">
        <f t="shared" si="143"/>
        <v/>
      </c>
      <c r="O20" s="24" t="str">
        <f t="shared" si="143"/>
        <v/>
      </c>
      <c r="P20" s="24" t="str">
        <f t="shared" si="143"/>
        <v/>
      </c>
      <c r="Q20" s="24" t="str">
        <f t="shared" si="143"/>
        <v/>
      </c>
      <c r="AB20" s="4"/>
    </row>
    <row r="21" spans="1:28" ht="17.25" thickBot="1" x14ac:dyDescent="0.3">
      <c r="D21" s="26" t="str">
        <f>D10</f>
        <v>PRODUCTION</v>
      </c>
      <c r="E21" s="26" t="str">
        <f>IFERROR(IF(HLOOKUP(E13,$E$2:$AH$10,9,FALSE)=0,"",HLOOKUP(E13,$E$2:$AD$10,9,FALSE)),"")</f>
        <v/>
      </c>
      <c r="F21" s="26" t="str">
        <f>IFERROR(IF(HLOOKUP(F13,$E$2:$AH$10,9,FALSE)=0,"",HLOOKUP(F13,$E$2:$AD$10,9,FALSE)),"")</f>
        <v/>
      </c>
      <c r="G21" s="26">
        <f t="shared" ref="G21:Q21" si="144">IFERROR(IF(HLOOKUP(G13,$E$2:$AH$10,9,FALSE)=0,"",HLOOKUP(G13,$E$2:$AD$10,9,FALSE)),"")</f>
        <v>-50</v>
      </c>
      <c r="H21" s="26" t="str">
        <f t="shared" si="144"/>
        <v/>
      </c>
      <c r="I21" s="26" t="str">
        <f t="shared" si="144"/>
        <v/>
      </c>
      <c r="J21" s="26">
        <f t="shared" si="144"/>
        <v>-25</v>
      </c>
      <c r="K21" s="26" t="str">
        <f t="shared" si="144"/>
        <v/>
      </c>
      <c r="L21" s="26" t="str">
        <f t="shared" si="144"/>
        <v/>
      </c>
      <c r="M21" s="26" t="str">
        <f t="shared" si="144"/>
        <v/>
      </c>
      <c r="N21" s="26">
        <f t="shared" si="144"/>
        <v>15</v>
      </c>
      <c r="O21" s="26" t="str">
        <f t="shared" si="144"/>
        <v/>
      </c>
      <c r="P21" s="26" t="str">
        <f t="shared" si="144"/>
        <v/>
      </c>
      <c r="Q21" s="26" t="str">
        <f t="shared" si="144"/>
        <v/>
      </c>
    </row>
  </sheetData>
  <conditionalFormatting sqref="E5:AB5">
    <cfRule type="cellIs" dxfId="887" priority="10" operator="equal">
      <formula>0</formula>
    </cfRule>
    <cfRule type="cellIs" dxfId="886" priority="11" operator="lessThan">
      <formula>0</formula>
    </cfRule>
    <cfRule type="cellIs" dxfId="885" priority="12" operator="greaterThan">
      <formula>0</formula>
    </cfRule>
  </conditionalFormatting>
  <conditionalFormatting sqref="E16:Q16">
    <cfRule type="cellIs" dxfId="884" priority="7" operator="equal">
      <formula>0</formula>
    </cfRule>
    <cfRule type="cellIs" dxfId="883" priority="8" operator="lessThan">
      <formula>0</formula>
    </cfRule>
    <cfRule type="cellIs" dxfId="882" priority="9" operator="greaterThan">
      <formula>0</formula>
    </cfRule>
  </conditionalFormatting>
  <conditionalFormatting sqref="AC5:AH5">
    <cfRule type="cellIs" dxfId="881" priority="4" operator="equal">
      <formula>0</formula>
    </cfRule>
    <cfRule type="cellIs" dxfId="880" priority="5" operator="lessThan">
      <formula>0</formula>
    </cfRule>
    <cfRule type="cellIs" dxfId="879" priority="6" operator="greaterThan">
      <formula>0</formula>
    </cfRule>
  </conditionalFormatting>
  <conditionalFormatting sqref="AI5:BD5">
    <cfRule type="cellIs" dxfId="878" priority="1" operator="equal">
      <formula>0</formula>
    </cfRule>
    <cfRule type="cellIs" dxfId="877" priority="2" operator="lessThan">
      <formula>0</formula>
    </cfRule>
    <cfRule type="cellIs" dxfId="876" priority="3" operator="greaterThan">
      <formula>0</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A218B-048A-4E18-8308-30C936BA9C72}">
  <sheetPr codeName="Sheet3"/>
  <dimension ref="B1:BD147"/>
  <sheetViews>
    <sheetView showGridLines="0" zoomScaleNormal="100" workbookViewId="0">
      <pane xSplit="4" ySplit="2" topLeftCell="E291" activePane="bottomRight" state="frozen"/>
      <selection pane="topRight" activeCell="E1" sqref="E1"/>
      <selection pane="bottomLeft" activeCell="A3" sqref="A3"/>
      <selection pane="bottomRight" activeCell="C148" sqref="A148:XFD308"/>
    </sheetView>
  </sheetViews>
  <sheetFormatPr defaultRowHeight="15" x14ac:dyDescent="0.25"/>
  <cols>
    <col min="2" max="2" width="11.85546875" customWidth="1"/>
    <col min="3" max="3" width="21.85546875" style="6" bestFit="1" customWidth="1"/>
    <col min="4" max="4" width="27.140625" style="41" bestFit="1" customWidth="1"/>
    <col min="5" max="5" width="9" style="43" customWidth="1"/>
    <col min="6" max="6" width="9.85546875" style="43" customWidth="1"/>
    <col min="7" max="7" width="10.140625" style="43" customWidth="1"/>
    <col min="8" max="8" width="10.140625" style="41" customWidth="1"/>
    <col min="9" max="9" width="9.28515625" style="41" customWidth="1"/>
    <col min="10" max="11" width="10.140625" style="41" customWidth="1"/>
    <col min="12" max="12" width="10.42578125" style="41" customWidth="1"/>
    <col min="13" max="13" width="9.28515625" style="41" customWidth="1"/>
    <col min="14" max="15" width="10.140625" customWidth="1"/>
    <col min="16" max="16" width="10.42578125" style="6" customWidth="1"/>
    <col min="17" max="18" width="9.28515625" style="6" customWidth="1"/>
    <col min="19" max="19" width="10.140625" style="6" customWidth="1"/>
    <col min="20" max="20" width="10.42578125" customWidth="1"/>
    <col min="21" max="21" width="10.42578125" style="41" customWidth="1"/>
    <col min="22" max="22" width="9.28515625" customWidth="1"/>
    <col min="23" max="23" width="10.140625" customWidth="1"/>
    <col min="24" max="24" width="10.140625" bestFit="1" customWidth="1"/>
    <col min="25" max="25" width="10.42578125" bestFit="1" customWidth="1"/>
    <col min="26" max="26" width="9.28515625" bestFit="1" customWidth="1"/>
    <col min="27" max="27" width="9.85546875" bestFit="1" customWidth="1"/>
    <col min="28" max="28" width="10.140625" bestFit="1" customWidth="1"/>
    <col min="29" max="29" width="10.42578125" bestFit="1" customWidth="1"/>
    <col min="30" max="31" width="9.28515625" bestFit="1" customWidth="1"/>
    <col min="32" max="32" width="10.140625" bestFit="1" customWidth="1"/>
    <col min="33" max="34" width="10.42578125" bestFit="1" customWidth="1"/>
    <col min="35" max="35" width="9.28515625" bestFit="1" customWidth="1"/>
    <col min="36" max="36" width="10.140625" bestFit="1" customWidth="1"/>
    <col min="37" max="38" width="10.42578125" bestFit="1" customWidth="1"/>
    <col min="39" max="39" width="9.28515625" bestFit="1" customWidth="1"/>
    <col min="40" max="41" width="10.140625" bestFit="1" customWidth="1"/>
    <col min="42" max="42" width="10.42578125" bestFit="1" customWidth="1"/>
    <col min="43" max="43" width="9.85546875" bestFit="1" customWidth="1"/>
    <col min="44" max="44" width="10.140625" bestFit="1" customWidth="1"/>
    <col min="45" max="45" width="11" bestFit="1" customWidth="1"/>
    <col min="46" max="47" width="11.28515625" bestFit="1" customWidth="1"/>
    <col min="48" max="48" width="9.85546875" bestFit="1" customWidth="1"/>
    <col min="49" max="50" width="10.5703125" bestFit="1" customWidth="1"/>
    <col min="51" max="51" width="11" bestFit="1" customWidth="1"/>
    <col min="52" max="52" width="10.140625" bestFit="1" customWidth="1"/>
    <col min="53" max="54" width="11" bestFit="1" customWidth="1"/>
    <col min="55" max="55" width="11.28515625" bestFit="1" customWidth="1"/>
    <col min="56" max="56" width="11" bestFit="1" customWidth="1"/>
  </cols>
  <sheetData>
    <row r="1" spans="3:56" x14ac:dyDescent="0.25">
      <c r="E1" s="43">
        <v>1</v>
      </c>
      <c r="F1" s="43">
        <f>E1+1</f>
        <v>2</v>
      </c>
      <c r="G1" s="43">
        <f t="shared" ref="G1:BD1" si="0">F1+1</f>
        <v>3</v>
      </c>
      <c r="H1" s="43">
        <f t="shared" si="0"/>
        <v>4</v>
      </c>
      <c r="I1" s="43">
        <f t="shared" si="0"/>
        <v>5</v>
      </c>
      <c r="J1" s="43">
        <f t="shared" si="0"/>
        <v>6</v>
      </c>
      <c r="K1" s="43">
        <f t="shared" si="0"/>
        <v>7</v>
      </c>
      <c r="L1" s="43">
        <f t="shared" si="0"/>
        <v>8</v>
      </c>
      <c r="M1" s="43">
        <f t="shared" si="0"/>
        <v>9</v>
      </c>
      <c r="N1" s="43">
        <f t="shared" si="0"/>
        <v>10</v>
      </c>
      <c r="O1" s="43">
        <f t="shared" si="0"/>
        <v>11</v>
      </c>
      <c r="P1" s="43">
        <f t="shared" si="0"/>
        <v>12</v>
      </c>
      <c r="Q1" s="43">
        <f t="shared" si="0"/>
        <v>13</v>
      </c>
      <c r="R1" s="43">
        <f t="shared" si="0"/>
        <v>14</v>
      </c>
      <c r="S1" s="43">
        <f t="shared" si="0"/>
        <v>15</v>
      </c>
      <c r="T1" s="43">
        <f t="shared" si="0"/>
        <v>16</v>
      </c>
      <c r="U1" s="43">
        <f t="shared" si="0"/>
        <v>17</v>
      </c>
      <c r="V1" s="43">
        <f t="shared" si="0"/>
        <v>18</v>
      </c>
      <c r="W1" s="43">
        <f t="shared" si="0"/>
        <v>19</v>
      </c>
      <c r="X1" s="43">
        <f t="shared" si="0"/>
        <v>20</v>
      </c>
      <c r="Y1" s="43">
        <f t="shared" si="0"/>
        <v>21</v>
      </c>
      <c r="Z1" s="43">
        <f t="shared" si="0"/>
        <v>22</v>
      </c>
      <c r="AA1" s="43">
        <f t="shared" si="0"/>
        <v>23</v>
      </c>
      <c r="AB1" s="43">
        <f t="shared" si="0"/>
        <v>24</v>
      </c>
      <c r="AC1" s="43">
        <f t="shared" si="0"/>
        <v>25</v>
      </c>
      <c r="AD1" s="43">
        <f t="shared" si="0"/>
        <v>26</v>
      </c>
      <c r="AE1" s="43">
        <f t="shared" si="0"/>
        <v>27</v>
      </c>
      <c r="AF1" s="43">
        <f t="shared" si="0"/>
        <v>28</v>
      </c>
      <c r="AG1" s="43">
        <f t="shared" si="0"/>
        <v>29</v>
      </c>
      <c r="AH1" s="43">
        <f t="shared" si="0"/>
        <v>30</v>
      </c>
      <c r="AI1" s="43">
        <f t="shared" si="0"/>
        <v>31</v>
      </c>
      <c r="AJ1" s="43">
        <f t="shared" si="0"/>
        <v>32</v>
      </c>
      <c r="AK1" s="43">
        <f t="shared" si="0"/>
        <v>33</v>
      </c>
      <c r="AL1" s="43">
        <f t="shared" si="0"/>
        <v>34</v>
      </c>
      <c r="AM1" s="43">
        <f t="shared" si="0"/>
        <v>35</v>
      </c>
      <c r="AN1" s="43">
        <f t="shared" si="0"/>
        <v>36</v>
      </c>
      <c r="AO1" s="43">
        <f t="shared" si="0"/>
        <v>37</v>
      </c>
      <c r="AP1" s="43">
        <f t="shared" si="0"/>
        <v>38</v>
      </c>
      <c r="AQ1" s="43">
        <f t="shared" si="0"/>
        <v>39</v>
      </c>
      <c r="AR1" s="43">
        <f t="shared" si="0"/>
        <v>40</v>
      </c>
      <c r="AS1" s="43">
        <f t="shared" si="0"/>
        <v>41</v>
      </c>
      <c r="AT1" s="43">
        <f t="shared" si="0"/>
        <v>42</v>
      </c>
      <c r="AU1" s="43">
        <f t="shared" si="0"/>
        <v>43</v>
      </c>
      <c r="AV1" s="43">
        <f t="shared" si="0"/>
        <v>44</v>
      </c>
      <c r="AW1" s="43">
        <f t="shared" si="0"/>
        <v>45</v>
      </c>
      <c r="AX1" s="43">
        <f t="shared" si="0"/>
        <v>46</v>
      </c>
      <c r="AY1" s="43">
        <f t="shared" si="0"/>
        <v>47</v>
      </c>
      <c r="AZ1" s="43">
        <f t="shared" si="0"/>
        <v>48</v>
      </c>
      <c r="BA1" s="43">
        <f t="shared" si="0"/>
        <v>49</v>
      </c>
      <c r="BB1" s="43">
        <f t="shared" si="0"/>
        <v>50</v>
      </c>
      <c r="BC1" s="43">
        <f t="shared" si="0"/>
        <v>51</v>
      </c>
      <c r="BD1" s="43">
        <f t="shared" si="0"/>
        <v>52</v>
      </c>
    </row>
    <row r="2" spans="3:56" s="6" customFormat="1" ht="26.25" x14ac:dyDescent="0.4">
      <c r="D2" s="47" t="s">
        <v>32</v>
      </c>
      <c r="E2" s="82">
        <v>44569</v>
      </c>
      <c r="F2" s="82">
        <f>E2+7</f>
        <v>44576</v>
      </c>
      <c r="G2" s="82">
        <f t="shared" ref="G2:M2" si="1">F2+7</f>
        <v>44583</v>
      </c>
      <c r="H2" s="82">
        <f t="shared" si="1"/>
        <v>44590</v>
      </c>
      <c r="I2" s="82">
        <f t="shared" si="1"/>
        <v>44597</v>
      </c>
      <c r="J2" s="82">
        <f t="shared" si="1"/>
        <v>44604</v>
      </c>
      <c r="K2" s="82">
        <f t="shared" si="1"/>
        <v>44611</v>
      </c>
      <c r="L2" s="82">
        <f t="shared" si="1"/>
        <v>44618</v>
      </c>
      <c r="M2" s="82">
        <f t="shared" si="1"/>
        <v>44625</v>
      </c>
      <c r="N2" s="82">
        <f t="shared" ref="N2" si="2">M2+7</f>
        <v>44632</v>
      </c>
      <c r="O2" s="82">
        <f t="shared" ref="O2" si="3">N2+7</f>
        <v>44639</v>
      </c>
      <c r="P2" s="82">
        <f t="shared" ref="P2" si="4">O2+7</f>
        <v>44646</v>
      </c>
      <c r="Q2" s="82">
        <f t="shared" ref="Q2" si="5">P2+7</f>
        <v>44653</v>
      </c>
      <c r="R2" s="82">
        <f t="shared" ref="R2" si="6">Q2+7</f>
        <v>44660</v>
      </c>
      <c r="S2" s="82">
        <f t="shared" ref="S2" si="7">R2+7</f>
        <v>44667</v>
      </c>
      <c r="T2" s="82">
        <f t="shared" ref="T2" si="8">S2+7</f>
        <v>44674</v>
      </c>
      <c r="U2" s="82">
        <f t="shared" ref="U2" si="9">T2+7</f>
        <v>44681</v>
      </c>
      <c r="V2" s="82">
        <f t="shared" ref="V2" si="10">U2+7</f>
        <v>44688</v>
      </c>
      <c r="W2" s="82">
        <f t="shared" ref="W2" si="11">V2+7</f>
        <v>44695</v>
      </c>
      <c r="X2" s="82">
        <f t="shared" ref="X2" si="12">W2+7</f>
        <v>44702</v>
      </c>
      <c r="Y2" s="82">
        <f t="shared" ref="Y2" si="13">X2+7</f>
        <v>44709</v>
      </c>
      <c r="Z2" s="82">
        <f t="shared" ref="Z2" si="14">Y2+7</f>
        <v>44716</v>
      </c>
      <c r="AA2" s="82">
        <f t="shared" ref="AA2" si="15">Z2+7</f>
        <v>44723</v>
      </c>
      <c r="AB2" s="82">
        <f t="shared" ref="AB2" si="16">AA2+7</f>
        <v>44730</v>
      </c>
      <c r="AC2" s="82">
        <f t="shared" ref="AC2" si="17">AB2+7</f>
        <v>44737</v>
      </c>
      <c r="AD2" s="82">
        <f t="shared" ref="AD2" si="18">AC2+7</f>
        <v>44744</v>
      </c>
      <c r="AE2" s="82">
        <f t="shared" ref="AE2" si="19">AD2+7</f>
        <v>44751</v>
      </c>
      <c r="AF2" s="82">
        <f t="shared" ref="AF2" si="20">AE2+7</f>
        <v>44758</v>
      </c>
      <c r="AG2" s="82">
        <f t="shared" ref="AG2" si="21">AF2+7</f>
        <v>44765</v>
      </c>
      <c r="AH2" s="82">
        <f t="shared" ref="AH2" si="22">AG2+7</f>
        <v>44772</v>
      </c>
      <c r="AI2" s="82">
        <f t="shared" ref="AI2" si="23">AH2+7</f>
        <v>44779</v>
      </c>
      <c r="AJ2" s="82">
        <f t="shared" ref="AJ2" si="24">AI2+7</f>
        <v>44786</v>
      </c>
      <c r="AK2" s="82">
        <f t="shared" ref="AK2" si="25">AJ2+7</f>
        <v>44793</v>
      </c>
      <c r="AL2" s="82">
        <f t="shared" ref="AL2" si="26">AK2+7</f>
        <v>44800</v>
      </c>
      <c r="AM2" s="82">
        <f t="shared" ref="AM2" si="27">AL2+7</f>
        <v>44807</v>
      </c>
      <c r="AN2" s="82">
        <f t="shared" ref="AN2" si="28">AM2+7</f>
        <v>44814</v>
      </c>
      <c r="AO2" s="82">
        <f t="shared" ref="AO2" si="29">AN2+7</f>
        <v>44821</v>
      </c>
      <c r="AP2" s="82">
        <f t="shared" ref="AP2" si="30">AO2+7</f>
        <v>44828</v>
      </c>
      <c r="AQ2" s="82">
        <f t="shared" ref="AQ2" si="31">AP2+7</f>
        <v>44835</v>
      </c>
      <c r="AR2" s="82">
        <f t="shared" ref="AR2" si="32">AQ2+7</f>
        <v>44842</v>
      </c>
      <c r="AS2" s="82">
        <f t="shared" ref="AS2" si="33">AR2+7</f>
        <v>44849</v>
      </c>
      <c r="AT2" s="82">
        <f t="shared" ref="AT2" si="34">AS2+7</f>
        <v>44856</v>
      </c>
      <c r="AU2" s="82">
        <f t="shared" ref="AU2" si="35">AT2+7</f>
        <v>44863</v>
      </c>
      <c r="AV2" s="82">
        <f t="shared" ref="AV2" si="36">AU2+7</f>
        <v>44870</v>
      </c>
      <c r="AW2" s="82">
        <f t="shared" ref="AW2" si="37">AV2+7</f>
        <v>44877</v>
      </c>
      <c r="AX2" s="82">
        <f t="shared" ref="AX2" si="38">AW2+7</f>
        <v>44884</v>
      </c>
      <c r="AY2" s="82">
        <f t="shared" ref="AY2" si="39">AX2+7</f>
        <v>44891</v>
      </c>
      <c r="AZ2" s="82">
        <f t="shared" ref="AZ2" si="40">AY2+7</f>
        <v>44898</v>
      </c>
      <c r="BA2" s="82">
        <f t="shared" ref="BA2" si="41">AZ2+7</f>
        <v>44905</v>
      </c>
      <c r="BB2" s="82">
        <f t="shared" ref="BB2" si="42">BA2+7</f>
        <v>44912</v>
      </c>
      <c r="BC2" s="82">
        <f t="shared" ref="BC2:BD2" si="43">BB2+7</f>
        <v>44919</v>
      </c>
      <c r="BD2" s="82">
        <f t="shared" si="43"/>
        <v>44926</v>
      </c>
    </row>
    <row r="3" spans="3:56" x14ac:dyDescent="0.25">
      <c r="C3" s="104" t="s">
        <v>18</v>
      </c>
      <c r="D3" s="41" t="s">
        <v>21</v>
      </c>
      <c r="E3" s="70">
        <v>9925.377791336181</v>
      </c>
      <c r="F3" s="70">
        <v>7616.0679186460811</v>
      </c>
      <c r="G3" s="70">
        <v>6112.2250000000004</v>
      </c>
      <c r="H3" s="70">
        <v>5795.7</v>
      </c>
      <c r="I3" s="70">
        <v>5623.3</v>
      </c>
      <c r="J3" s="70">
        <v>4991.3249999999998</v>
      </c>
      <c r="K3" s="70">
        <v>4300.8</v>
      </c>
      <c r="L3" s="70">
        <v>4209.66</v>
      </c>
      <c r="M3" s="70">
        <v>4326.0750000000007</v>
      </c>
      <c r="N3" s="70">
        <v>5171.4000000000005</v>
      </c>
      <c r="O3" s="70">
        <v>5765.1750000000002</v>
      </c>
      <c r="P3" s="70">
        <v>5598.0342292303767</v>
      </c>
      <c r="Q3" s="70">
        <v>4330.9312619047623</v>
      </c>
      <c r="R3" s="70">
        <v>4513.0409736190477</v>
      </c>
      <c r="S3" s="70">
        <v>4724.0504999999994</v>
      </c>
      <c r="T3" s="70">
        <v>4543.1099999999997</v>
      </c>
      <c r="U3" s="70">
        <v>4914</v>
      </c>
      <c r="V3" s="70">
        <v>5474.43</v>
      </c>
      <c r="W3" s="70">
        <v>5384.3400000000011</v>
      </c>
      <c r="X3" s="70">
        <v>5285.4750000000004</v>
      </c>
      <c r="Y3" s="70">
        <v>4764.2400000000007</v>
      </c>
      <c r="Z3" s="70">
        <v>4438.9800000000005</v>
      </c>
      <c r="AA3" s="70">
        <v>5499.585</v>
      </c>
      <c r="AB3" s="70">
        <v>5189.5349999999999</v>
      </c>
      <c r="AC3" s="70">
        <v>4905.8100000000004</v>
      </c>
      <c r="AD3" s="70">
        <v>4228.38</v>
      </c>
      <c r="AE3" s="70">
        <v>3687.2550000000001</v>
      </c>
      <c r="AF3" s="70">
        <v>4126.59</v>
      </c>
      <c r="AG3" s="70">
        <v>3707.1450000000004</v>
      </c>
      <c r="AH3" s="70">
        <v>4413.2400000000007</v>
      </c>
      <c r="AI3" s="70">
        <v>4556.5650000000005</v>
      </c>
      <c r="AJ3" s="70">
        <v>5124.6000000000004</v>
      </c>
      <c r="AK3" s="70">
        <v>5353.335</v>
      </c>
      <c r="AL3" s="70">
        <v>5294.2500000000009</v>
      </c>
      <c r="AM3" s="70">
        <v>4821.7917472645277</v>
      </c>
      <c r="AN3" s="70">
        <v>4265.5714005892323</v>
      </c>
      <c r="AO3" s="70">
        <v>4342.7252013928355</v>
      </c>
      <c r="AP3" s="70">
        <v>4551.230279857582</v>
      </c>
      <c r="AQ3" s="70">
        <v>5069.8735468354944</v>
      </c>
      <c r="AR3" s="70">
        <v>4699.3669867969529</v>
      </c>
      <c r="AS3" s="70">
        <v>4899.1067585966666</v>
      </c>
      <c r="AT3" s="70">
        <v>5150.7545819389597</v>
      </c>
      <c r="AU3" s="70">
        <v>5445.2130558674326</v>
      </c>
      <c r="AV3" s="70">
        <v>6361.7433752018324</v>
      </c>
      <c r="AW3" s="70">
        <v>6748.6518480420355</v>
      </c>
      <c r="AX3" s="70">
        <v>6563.7065766037522</v>
      </c>
      <c r="AY3" s="70">
        <v>15792.243378643783</v>
      </c>
      <c r="AZ3" s="70">
        <v>21449.067680912249</v>
      </c>
      <c r="BA3" s="70">
        <v>18621.894755276368</v>
      </c>
      <c r="BB3" s="70">
        <v>15481.260734101124</v>
      </c>
      <c r="BC3" s="70">
        <v>8724.4374157016209</v>
      </c>
      <c r="BD3" s="70">
        <v>7849.8495915462645</v>
      </c>
    </row>
    <row r="4" spans="3:56" x14ac:dyDescent="0.25">
      <c r="C4" s="104"/>
      <c r="D4" s="41" t="s">
        <v>22</v>
      </c>
      <c r="E4" s="70">
        <v>618.84747655263891</v>
      </c>
      <c r="F4" s="70">
        <v>615.96680204421932</v>
      </c>
      <c r="G4" s="70">
        <v>639.65953478479605</v>
      </c>
      <c r="H4" s="70">
        <v>620.51451938506136</v>
      </c>
      <c r="I4" s="70">
        <v>620.51179912151224</v>
      </c>
      <c r="J4" s="70">
        <v>620.51479316614325</v>
      </c>
      <c r="K4" s="70">
        <v>606.15443638392856</v>
      </c>
      <c r="L4" s="70">
        <v>606.15384615384619</v>
      </c>
      <c r="M4" s="70">
        <v>606.15384615384619</v>
      </c>
      <c r="N4" s="70">
        <v>606.15384615384619</v>
      </c>
      <c r="O4" s="70">
        <v>606.15384615384619</v>
      </c>
      <c r="P4" s="70">
        <v>607.45562251346189</v>
      </c>
      <c r="Q4" s="70">
        <v>596.60087094542348</v>
      </c>
      <c r="R4" s="70">
        <v>596.60088779327964</v>
      </c>
      <c r="S4" s="70">
        <v>596.58119658119665</v>
      </c>
      <c r="T4" s="70">
        <v>591.79487179487182</v>
      </c>
      <c r="U4" s="70">
        <v>591.79487179487182</v>
      </c>
      <c r="V4" s="70">
        <v>591.79487179487182</v>
      </c>
      <c r="W4" s="70">
        <v>596.58119658119654</v>
      </c>
      <c r="X4" s="70">
        <v>596.58119658119654</v>
      </c>
      <c r="Y4" s="70">
        <v>596.58119658119654</v>
      </c>
      <c r="Z4" s="70">
        <v>606.15384615384619</v>
      </c>
      <c r="AA4" s="70">
        <v>606.15384615384619</v>
      </c>
      <c r="AB4" s="70">
        <v>606.15384615384619</v>
      </c>
      <c r="AC4" s="70">
        <v>591.79487179487182</v>
      </c>
      <c r="AD4" s="70">
        <v>582.22222222222229</v>
      </c>
      <c r="AE4" s="70">
        <v>582.22222222222229</v>
      </c>
      <c r="AF4" s="70">
        <v>578.37606837606836</v>
      </c>
      <c r="AG4" s="70">
        <v>578.37606837606836</v>
      </c>
      <c r="AH4" s="70">
        <v>602.30769230769226</v>
      </c>
      <c r="AI4" s="70">
        <v>602.30769230769226</v>
      </c>
      <c r="AJ4" s="70">
        <v>602.30769230769226</v>
      </c>
      <c r="AK4" s="70">
        <v>578.37606837606836</v>
      </c>
      <c r="AL4" s="70">
        <v>578.37606837606836</v>
      </c>
      <c r="AM4" s="70">
        <v>578.37606837606836</v>
      </c>
      <c r="AN4" s="70">
        <v>578.37606837606836</v>
      </c>
      <c r="AO4" s="70">
        <v>578.37606837606836</v>
      </c>
      <c r="AP4" s="70">
        <v>597.52136752136755</v>
      </c>
      <c r="AQ4" s="70">
        <v>583.59326223754374</v>
      </c>
      <c r="AR4" s="70">
        <v>586.22827598192566</v>
      </c>
      <c r="AS4" s="70">
        <v>598.50481446809397</v>
      </c>
      <c r="AT4" s="70">
        <v>586.84207652425494</v>
      </c>
      <c r="AU4" s="70">
        <v>588.43668165041129</v>
      </c>
      <c r="AV4" s="70">
        <v>601.18796607670049</v>
      </c>
      <c r="AW4" s="70">
        <v>605.91666666666663</v>
      </c>
      <c r="AX4" s="70">
        <v>610.93559586226445</v>
      </c>
      <c r="AY4" s="70">
        <v>604.64877557095519</v>
      </c>
      <c r="AZ4" s="70">
        <v>611.88034188034203</v>
      </c>
      <c r="BA4" s="70">
        <v>597.52136752136755</v>
      </c>
      <c r="BB4" s="70">
        <v>597.52136752136744</v>
      </c>
      <c r="BC4" s="70">
        <v>587.9487179487179</v>
      </c>
      <c r="BD4" s="70">
        <v>587.94871794871801</v>
      </c>
    </row>
    <row r="5" spans="3:56" x14ac:dyDescent="0.25">
      <c r="C5" s="104"/>
      <c r="D5" s="41" t="s">
        <v>30</v>
      </c>
      <c r="E5" s="68">
        <v>0.79489803314208984</v>
      </c>
      <c r="F5" s="68">
        <v>0.76870983839035034</v>
      </c>
      <c r="G5" s="68">
        <v>0.74791592359542847</v>
      </c>
      <c r="H5" s="68">
        <v>0.73935920000076294</v>
      </c>
      <c r="I5" s="68">
        <v>0.73407471179962158</v>
      </c>
      <c r="J5" s="68">
        <v>0.72007483243942261</v>
      </c>
      <c r="K5" s="68">
        <v>0.70044690370559692</v>
      </c>
      <c r="L5" s="68">
        <v>0.69620031118392944</v>
      </c>
      <c r="M5" s="68">
        <v>0.70176130533218384</v>
      </c>
      <c r="N5" s="68">
        <v>0.72151285409927368</v>
      </c>
      <c r="O5" s="68">
        <v>0.73453116416931152</v>
      </c>
      <c r="P5" s="68">
        <v>0.7320515513420105</v>
      </c>
      <c r="Q5" s="68">
        <v>0.69896787405014038</v>
      </c>
      <c r="R5" s="68">
        <v>0.70616656541824341</v>
      </c>
      <c r="S5" s="68">
        <v>0.70869952440261841</v>
      </c>
      <c r="T5" s="68">
        <v>0.70638555288314819</v>
      </c>
      <c r="U5" s="68">
        <v>0.71383410692214966</v>
      </c>
      <c r="V5" s="68">
        <v>0.72704470157623291</v>
      </c>
      <c r="W5" s="68">
        <v>0.72539472579956055</v>
      </c>
      <c r="X5" s="68">
        <v>0.72257083654403687</v>
      </c>
      <c r="Y5" s="68">
        <v>0.70983666181564331</v>
      </c>
      <c r="Z5" s="68">
        <v>0.70589303970336914</v>
      </c>
      <c r="AA5" s="68">
        <v>0.73204004764556885</v>
      </c>
      <c r="AB5" s="68">
        <v>0.72191095352172852</v>
      </c>
      <c r="AC5" s="68">
        <v>0.71350836753845215</v>
      </c>
      <c r="AD5" s="68">
        <v>0.69200152158737183</v>
      </c>
      <c r="AE5" s="68">
        <v>0.67377287149429321</v>
      </c>
      <c r="AF5" s="68">
        <v>0.69076961278915405</v>
      </c>
      <c r="AG5" s="68">
        <v>0.67374438047409058</v>
      </c>
      <c r="AH5" s="68">
        <v>0.70506137609481812</v>
      </c>
      <c r="AI5" s="68">
        <v>0.70621562004089355</v>
      </c>
      <c r="AJ5" s="68">
        <v>0.72030824422836304</v>
      </c>
      <c r="AK5" s="68">
        <v>0.72124755382537842</v>
      </c>
      <c r="AL5" s="68">
        <v>0.72074276208877563</v>
      </c>
      <c r="AM5" s="68">
        <v>0.70799988508224487</v>
      </c>
      <c r="AN5" s="68">
        <v>0.69229167699813843</v>
      </c>
      <c r="AO5" s="68">
        <v>0.69437187910079956</v>
      </c>
      <c r="AP5" s="68">
        <v>0.7061123251914978</v>
      </c>
      <c r="AQ5" s="68">
        <v>0.71782094240188599</v>
      </c>
      <c r="AR5" s="68">
        <v>0.70690584182739258</v>
      </c>
      <c r="AS5" s="68">
        <v>0.71546846628189087</v>
      </c>
      <c r="AT5" s="68">
        <v>0.72037065029144287</v>
      </c>
      <c r="AU5" s="68">
        <v>0.67495448589324947</v>
      </c>
      <c r="AV5" s="68">
        <v>0.69513041973114009</v>
      </c>
      <c r="AW5" s="68">
        <v>0.6028797388076782</v>
      </c>
      <c r="AX5" s="68">
        <v>0.60223767757415769</v>
      </c>
      <c r="AY5" s="68">
        <v>0.89593338966369629</v>
      </c>
      <c r="AZ5" s="68">
        <v>0.91672402620315552</v>
      </c>
      <c r="BA5" s="68">
        <v>0.90635615587234497</v>
      </c>
      <c r="BB5" s="68">
        <v>0.89342969655990601</v>
      </c>
      <c r="BC5" s="68">
        <v>0.77764993906021118</v>
      </c>
      <c r="BD5" s="68">
        <v>0.76797676086425781</v>
      </c>
    </row>
    <row r="6" spans="3:56" x14ac:dyDescent="0.25">
      <c r="C6" s="104"/>
      <c r="D6" s="41" t="s">
        <v>31</v>
      </c>
      <c r="E6" s="68">
        <v>0.43999999999999995</v>
      </c>
      <c r="F6" s="68">
        <v>0.43999999999999995</v>
      </c>
      <c r="G6" s="68">
        <v>0.43</v>
      </c>
      <c r="H6" s="68">
        <v>0.43</v>
      </c>
      <c r="I6" s="68">
        <v>0.42</v>
      </c>
      <c r="J6" s="68">
        <v>0.42</v>
      </c>
      <c r="K6" s="68">
        <v>0.42</v>
      </c>
      <c r="L6" s="68">
        <v>0.42</v>
      </c>
      <c r="M6" s="68">
        <v>0.37</v>
      </c>
      <c r="N6" s="68">
        <v>0.36</v>
      </c>
      <c r="O6" s="68">
        <v>0.36</v>
      </c>
      <c r="P6" s="68">
        <v>0.36</v>
      </c>
      <c r="Q6" s="68">
        <v>0.36</v>
      </c>
      <c r="R6" s="68">
        <v>0.35</v>
      </c>
      <c r="S6" s="68">
        <v>0.34250000000000003</v>
      </c>
      <c r="T6" s="68">
        <v>0.34250000000000003</v>
      </c>
      <c r="U6" s="68">
        <v>0.36249999999999999</v>
      </c>
      <c r="V6" s="68">
        <v>0.34250000000000003</v>
      </c>
      <c r="W6" s="68">
        <v>0.32999999999999996</v>
      </c>
      <c r="X6" s="68">
        <v>0.34987517354624298</v>
      </c>
      <c r="Y6" s="68">
        <v>0.36</v>
      </c>
      <c r="Z6" s="68">
        <v>0.36000000000000004</v>
      </c>
      <c r="AA6" s="68">
        <v>0.35000000000000003</v>
      </c>
      <c r="AB6" s="68">
        <v>0.35000000000000003</v>
      </c>
      <c r="AC6" s="68">
        <v>0.34244343018598788</v>
      </c>
      <c r="AD6" s="68">
        <v>0.32</v>
      </c>
      <c r="AE6" s="68">
        <v>0.35000000000000003</v>
      </c>
      <c r="AF6" s="68">
        <v>0.35000000000000003</v>
      </c>
      <c r="AG6" s="68">
        <v>0.34</v>
      </c>
      <c r="AH6" s="68">
        <v>0.33999999999999997</v>
      </c>
      <c r="AI6" s="68">
        <v>0.33</v>
      </c>
      <c r="AJ6" s="68">
        <v>0.33</v>
      </c>
      <c r="AK6" s="68">
        <v>0.33</v>
      </c>
      <c r="AL6" s="68">
        <v>0.32999999999999996</v>
      </c>
      <c r="AM6" s="68">
        <v>0.33</v>
      </c>
      <c r="AN6" s="68">
        <v>0.32</v>
      </c>
      <c r="AO6" s="68">
        <v>0.32</v>
      </c>
      <c r="AP6" s="68">
        <v>0.32</v>
      </c>
      <c r="AQ6" s="68">
        <v>0.32</v>
      </c>
      <c r="AR6" s="68">
        <v>0.43</v>
      </c>
      <c r="AS6" s="68">
        <v>0.43</v>
      </c>
      <c r="AT6" s="68">
        <v>0.42000000000000004</v>
      </c>
      <c r="AU6" s="68">
        <v>0.42000000000000004</v>
      </c>
      <c r="AV6" s="68">
        <v>0.41000000000000003</v>
      </c>
      <c r="AW6" s="68">
        <v>0.41000000000000003</v>
      </c>
      <c r="AX6" s="68">
        <v>0.41000000000000003</v>
      </c>
      <c r="AY6" s="68">
        <v>0.41000000000000003</v>
      </c>
      <c r="AZ6" s="68">
        <v>0.4</v>
      </c>
      <c r="BA6" s="68">
        <v>0.4</v>
      </c>
      <c r="BB6" s="68">
        <v>0.4</v>
      </c>
      <c r="BC6" s="68">
        <v>0.4</v>
      </c>
      <c r="BD6" s="68">
        <v>0.4</v>
      </c>
    </row>
    <row r="7" spans="3:56" s="6" customFormat="1" x14ac:dyDescent="0.25">
      <c r="C7" s="104"/>
      <c r="D7" s="41" t="s">
        <v>33</v>
      </c>
      <c r="E7" s="98">
        <f>(E3*E4)/3600/40/E5/(1-E6)</f>
        <v>95.822771804098963</v>
      </c>
      <c r="F7" s="98">
        <f t="shared" ref="F7:BD7" si="44">(F3*F4)/3600/40/F5/(1-F6)</f>
        <v>75.678960129005318</v>
      </c>
      <c r="G7" s="98">
        <f t="shared" si="44"/>
        <v>63.688069270021103</v>
      </c>
      <c r="H7" s="98">
        <f t="shared" si="44"/>
        <v>59.260459708658701</v>
      </c>
      <c r="I7" s="98">
        <f t="shared" si="44"/>
        <v>56.912878111928826</v>
      </c>
      <c r="J7" s="98">
        <f t="shared" si="44"/>
        <v>51.499127457467864</v>
      </c>
      <c r="K7" s="98">
        <f t="shared" si="44"/>
        <v>44.562221151177297</v>
      </c>
      <c r="L7" s="98">
        <f t="shared" si="44"/>
        <v>43.883897016169449</v>
      </c>
      <c r="M7" s="98">
        <f t="shared" si="44"/>
        <v>41.189303690842728</v>
      </c>
      <c r="N7" s="99">
        <f t="shared" si="44"/>
        <v>47.141615089396701</v>
      </c>
      <c r="O7" s="98">
        <f t="shared" si="44"/>
        <v>51.622932005386836</v>
      </c>
      <c r="P7" s="98">
        <f t="shared" si="44"/>
        <v>50.404112754970086</v>
      </c>
      <c r="Q7" s="98">
        <f t="shared" si="44"/>
        <v>40.111185019199887</v>
      </c>
      <c r="R7" s="98">
        <f t="shared" si="44"/>
        <v>40.73522989703546</v>
      </c>
      <c r="S7" s="98">
        <f t="shared" si="44"/>
        <v>42.001393736216158</v>
      </c>
      <c r="T7" s="98">
        <f t="shared" si="44"/>
        <v>40.199846252711673</v>
      </c>
      <c r="U7" s="98">
        <f t="shared" si="44"/>
        <v>44.377861838428316</v>
      </c>
      <c r="V7" s="98">
        <f t="shared" si="44"/>
        <v>47.064206545141879</v>
      </c>
      <c r="W7" s="98">
        <f t="shared" si="44"/>
        <v>45.897639296920552</v>
      </c>
      <c r="X7" s="98">
        <f t="shared" si="44"/>
        <v>46.613735953323221</v>
      </c>
      <c r="Y7" s="98">
        <f t="shared" si="44"/>
        <v>43.447250681592266</v>
      </c>
      <c r="Z7" s="98">
        <f t="shared" si="44"/>
        <v>41.360395956402655</v>
      </c>
      <c r="AA7" s="98">
        <f t="shared" si="44"/>
        <v>48.652156446392631</v>
      </c>
      <c r="AB7" s="98">
        <f t="shared" si="44"/>
        <v>46.553445606752078</v>
      </c>
      <c r="AC7" s="98">
        <f t="shared" si="44"/>
        <v>42.972165299922729</v>
      </c>
      <c r="AD7" s="98">
        <f t="shared" si="44"/>
        <v>36.331584040793388</v>
      </c>
      <c r="AE7" s="98">
        <f t="shared" si="44"/>
        <v>34.04102129520205</v>
      </c>
      <c r="AF7" s="98">
        <f t="shared" si="44"/>
        <v>36.914123670800656</v>
      </c>
      <c r="AG7" s="98">
        <f t="shared" si="44"/>
        <v>33.484845885850881</v>
      </c>
      <c r="AH7" s="98">
        <f t="shared" si="44"/>
        <v>39.668209996389685</v>
      </c>
      <c r="AI7" s="98">
        <f t="shared" si="44"/>
        <v>40.279249114332167</v>
      </c>
      <c r="AJ7" s="98">
        <f t="shared" si="44"/>
        <v>44.414287727904615</v>
      </c>
      <c r="AK7" s="98">
        <f t="shared" si="44"/>
        <v>44.495192310740144</v>
      </c>
      <c r="AL7" s="98">
        <f t="shared" si="44"/>
        <v>44.034916327488553</v>
      </c>
      <c r="AM7" s="98">
        <f t="shared" si="44"/>
        <v>40.827076452302514</v>
      </c>
      <c r="AN7" s="98">
        <f t="shared" si="44"/>
        <v>36.393767432454794</v>
      </c>
      <c r="AO7" s="98">
        <f t="shared" si="44"/>
        <v>36.941041415086296</v>
      </c>
      <c r="AP7" s="98">
        <f t="shared" si="44"/>
        <v>39.33118701296786</v>
      </c>
      <c r="AQ7" s="98">
        <f t="shared" si="44"/>
        <v>42.093968035721005</v>
      </c>
      <c r="AR7" s="98">
        <f t="shared" si="44"/>
        <v>47.479616829965614</v>
      </c>
      <c r="AS7" s="98">
        <f t="shared" si="44"/>
        <v>49.929441327822317</v>
      </c>
      <c r="AT7" s="98">
        <f t="shared" si="44"/>
        <v>50.239534504610667</v>
      </c>
      <c r="AU7" s="98">
        <f t="shared" si="44"/>
        <v>56.839420450796695</v>
      </c>
      <c r="AV7" s="98">
        <f t="shared" si="44"/>
        <v>64.759819124885354</v>
      </c>
      <c r="AW7" s="98">
        <f t="shared" si="44"/>
        <v>79.833419248523327</v>
      </c>
      <c r="AX7" s="98">
        <f t="shared" si="44"/>
        <v>78.372222287973514</v>
      </c>
      <c r="AY7" s="98">
        <f t="shared" si="44"/>
        <v>125.44598913321418</v>
      </c>
      <c r="AZ7" s="98">
        <f t="shared" si="44"/>
        <v>165.70002119759064</v>
      </c>
      <c r="BA7" s="98">
        <f t="shared" si="44"/>
        <v>142.09038040725395</v>
      </c>
      <c r="BB7" s="98">
        <f t="shared" si="44"/>
        <v>119.83554052803285</v>
      </c>
      <c r="BC7" s="98">
        <f t="shared" si="44"/>
        <v>76.344717872633097</v>
      </c>
      <c r="BD7" s="98">
        <f t="shared" si="44"/>
        <v>69.556698851719702</v>
      </c>
    </row>
    <row r="8" spans="3:56" s="6" customFormat="1" x14ac:dyDescent="0.25">
      <c r="C8" s="48"/>
      <c r="D8" s="41"/>
      <c r="E8" s="45"/>
      <c r="F8" s="45"/>
      <c r="G8" s="45"/>
      <c r="H8" s="45"/>
      <c r="I8" s="45"/>
      <c r="J8" s="45"/>
      <c r="K8" s="45"/>
      <c r="L8" s="45"/>
      <c r="M8" s="45"/>
      <c r="U8" s="41"/>
    </row>
    <row r="9" spans="3:56" s="6" customFormat="1" x14ac:dyDescent="0.25">
      <c r="C9" s="48"/>
      <c r="D9" s="58" t="s">
        <v>50</v>
      </c>
      <c r="E9" s="44"/>
      <c r="F9" s="44"/>
      <c r="G9" s="44"/>
      <c r="H9" s="44"/>
      <c r="I9" s="44"/>
      <c r="J9" s="44"/>
      <c r="K9" s="44"/>
      <c r="L9" s="44"/>
      <c r="M9" s="44"/>
      <c r="U9" s="41"/>
    </row>
    <row r="10" spans="3:56" s="6" customFormat="1" x14ac:dyDescent="0.25">
      <c r="C10" s="48"/>
      <c r="D10" s="57" t="s">
        <v>34</v>
      </c>
      <c r="E10" s="64">
        <v>12</v>
      </c>
      <c r="F10" s="72">
        <v>20</v>
      </c>
      <c r="G10" s="64"/>
      <c r="H10" s="64"/>
      <c r="I10" s="64"/>
      <c r="J10" s="64"/>
      <c r="K10" s="64"/>
      <c r="L10" s="64"/>
      <c r="M10" s="64"/>
      <c r="N10" s="64"/>
      <c r="O10" s="64"/>
      <c r="P10" s="64"/>
      <c r="Q10" s="64"/>
      <c r="R10" s="64"/>
      <c r="S10" s="64"/>
      <c r="T10" s="64">
        <v>-6</v>
      </c>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row>
    <row r="11" spans="3:56" s="6" customFormat="1" x14ac:dyDescent="0.25">
      <c r="C11" s="48"/>
      <c r="D11" s="57" t="s">
        <v>35</v>
      </c>
      <c r="E11" s="64">
        <v>28</v>
      </c>
      <c r="F11" s="64">
        <v>18</v>
      </c>
      <c r="G11" s="64"/>
      <c r="H11" s="64"/>
      <c r="I11" s="64"/>
      <c r="J11" s="64">
        <v>20</v>
      </c>
      <c r="K11" s="64">
        <v>10</v>
      </c>
      <c r="L11" s="64"/>
      <c r="M11" s="64"/>
      <c r="N11" s="64"/>
      <c r="O11" s="64">
        <v>6</v>
      </c>
      <c r="P11" s="64"/>
      <c r="Q11" s="64"/>
      <c r="R11" s="64"/>
      <c r="S11" s="64"/>
      <c r="T11" s="64">
        <v>4</v>
      </c>
      <c r="U11" s="64">
        <v>2</v>
      </c>
      <c r="V11" s="64"/>
      <c r="W11" s="64"/>
      <c r="X11" s="64"/>
      <c r="Y11" s="64"/>
      <c r="Z11" s="64"/>
      <c r="AA11" s="64"/>
      <c r="AB11" s="64"/>
      <c r="AC11" s="64"/>
      <c r="AD11" s="64"/>
      <c r="AE11" s="64"/>
      <c r="AF11" s="64"/>
      <c r="AG11" s="64"/>
      <c r="AH11" s="64"/>
      <c r="AI11" s="64">
        <v>2</v>
      </c>
      <c r="AJ11" s="64"/>
      <c r="AK11" s="64"/>
      <c r="AL11" s="64"/>
      <c r="AM11" s="64"/>
      <c r="AN11" s="64"/>
      <c r="AO11" s="64"/>
      <c r="AP11" s="64"/>
      <c r="AQ11" s="64"/>
      <c r="AR11" s="64"/>
      <c r="AS11" s="64">
        <v>5</v>
      </c>
      <c r="AT11" s="64"/>
      <c r="AU11" s="64">
        <v>15</v>
      </c>
      <c r="AV11" s="64"/>
      <c r="AW11" s="64"/>
      <c r="AX11" s="64">
        <v>-14</v>
      </c>
      <c r="AY11" s="64"/>
      <c r="AZ11" s="64"/>
      <c r="BA11" s="64"/>
      <c r="BB11" s="64"/>
      <c r="BC11" s="64"/>
      <c r="BD11" s="64"/>
    </row>
    <row r="12" spans="3:56" s="6" customFormat="1" x14ac:dyDescent="0.25">
      <c r="C12" s="48"/>
      <c r="D12" s="57" t="s">
        <v>36</v>
      </c>
      <c r="E12" s="64"/>
      <c r="F12" s="64"/>
      <c r="G12" s="64"/>
      <c r="H12" s="64"/>
      <c r="I12" s="64"/>
      <c r="J12" s="64"/>
      <c r="K12" s="64"/>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row>
    <row r="13" spans="3:56" s="6" customFormat="1" x14ac:dyDescent="0.25">
      <c r="C13" s="48"/>
      <c r="D13" s="57" t="s">
        <v>37</v>
      </c>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row>
    <row r="14" spans="3:56" s="6" customFormat="1" x14ac:dyDescent="0.25">
      <c r="C14" s="48"/>
      <c r="D14" s="57" t="str">
        <f>IF(D22="","",D22)</f>
        <v>Pueblo</v>
      </c>
      <c r="E14" s="64"/>
      <c r="F14" s="64"/>
      <c r="G14" s="64"/>
      <c r="H14" s="64">
        <v>2</v>
      </c>
      <c r="I14" s="64"/>
      <c r="J14" s="64">
        <v>10</v>
      </c>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row>
    <row r="15" spans="3:56" s="6" customFormat="1" x14ac:dyDescent="0.25">
      <c r="C15" s="48"/>
      <c r="D15" s="57" t="str">
        <f>IF(D23="","",D23)</f>
        <v>Iloilo</v>
      </c>
      <c r="E15" s="64">
        <v>3</v>
      </c>
      <c r="F15" s="64">
        <v>0</v>
      </c>
      <c r="G15" s="64">
        <v>0</v>
      </c>
      <c r="H15" s="64">
        <v>0</v>
      </c>
      <c r="I15" s="64">
        <v>0</v>
      </c>
      <c r="J15" s="64">
        <v>1</v>
      </c>
      <c r="K15" s="64">
        <v>0</v>
      </c>
      <c r="L15" s="64">
        <v>0</v>
      </c>
      <c r="M15" s="64">
        <v>0</v>
      </c>
      <c r="N15" s="64">
        <v>5</v>
      </c>
      <c r="O15" s="64">
        <v>0</v>
      </c>
      <c r="P15" s="64">
        <v>0</v>
      </c>
      <c r="Q15" s="88">
        <v>1</v>
      </c>
      <c r="R15" s="64">
        <v>0</v>
      </c>
      <c r="S15" s="64">
        <v>2</v>
      </c>
      <c r="T15" s="64">
        <v>0</v>
      </c>
      <c r="U15" s="64">
        <v>2</v>
      </c>
      <c r="V15" s="64">
        <v>0</v>
      </c>
      <c r="W15" s="64">
        <v>0</v>
      </c>
      <c r="X15" s="64">
        <v>5</v>
      </c>
      <c r="Y15" s="64">
        <v>0</v>
      </c>
      <c r="Z15" s="64">
        <v>6</v>
      </c>
      <c r="AA15" s="64">
        <v>0</v>
      </c>
      <c r="AB15" s="64">
        <v>0</v>
      </c>
      <c r="AC15" s="64">
        <v>-3</v>
      </c>
      <c r="AD15" s="64">
        <v>0</v>
      </c>
      <c r="AE15" s="64">
        <v>-1</v>
      </c>
      <c r="AF15" s="64">
        <v>0</v>
      </c>
      <c r="AG15" s="64">
        <v>0</v>
      </c>
      <c r="AH15" s="64">
        <v>-6</v>
      </c>
      <c r="AI15" s="64">
        <v>-2</v>
      </c>
      <c r="AJ15" s="64">
        <v>0</v>
      </c>
      <c r="AK15" s="64">
        <v>-3</v>
      </c>
      <c r="AL15" s="64">
        <v>0</v>
      </c>
      <c r="AM15" s="64">
        <v>0</v>
      </c>
      <c r="AN15" s="64">
        <v>0</v>
      </c>
      <c r="AO15" s="64">
        <v>0</v>
      </c>
      <c r="AP15" s="64">
        <v>0</v>
      </c>
      <c r="AQ15" s="64">
        <v>0</v>
      </c>
      <c r="AR15" s="64">
        <v>0</v>
      </c>
      <c r="AS15" s="64">
        <v>10</v>
      </c>
      <c r="AT15" s="64">
        <v>0</v>
      </c>
      <c r="AU15" s="64">
        <v>0</v>
      </c>
      <c r="AV15" s="64">
        <v>-5</v>
      </c>
      <c r="AW15" s="64">
        <v>0</v>
      </c>
      <c r="AX15" s="64">
        <v>0</v>
      </c>
      <c r="AY15" s="64">
        <v>3</v>
      </c>
      <c r="AZ15" s="64">
        <v>-6</v>
      </c>
      <c r="BA15" s="64"/>
      <c r="BB15" s="64"/>
      <c r="BC15" s="64"/>
      <c r="BD15" s="64"/>
    </row>
    <row r="16" spans="3:56" s="6" customFormat="1" x14ac:dyDescent="0.25">
      <c r="C16" s="48"/>
      <c r="D16" s="57" t="str">
        <f>IF(D24="","",D24)</f>
        <v>Belize</v>
      </c>
      <c r="E16" s="64">
        <v>0</v>
      </c>
      <c r="F16" s="64">
        <v>4.5</v>
      </c>
      <c r="G16" s="64">
        <v>0</v>
      </c>
      <c r="H16" s="64">
        <v>0</v>
      </c>
      <c r="I16" s="64">
        <v>0</v>
      </c>
      <c r="J16" s="64">
        <v>3.375</v>
      </c>
      <c r="K16" s="64">
        <v>0</v>
      </c>
      <c r="L16" s="64">
        <v>0</v>
      </c>
      <c r="M16" s="64">
        <v>0</v>
      </c>
      <c r="N16" s="64">
        <v>0</v>
      </c>
      <c r="O16" s="64">
        <v>0</v>
      </c>
      <c r="P16" s="64">
        <v>0</v>
      </c>
      <c r="Q16" s="64">
        <v>0</v>
      </c>
      <c r="R16" s="64">
        <v>0</v>
      </c>
      <c r="S16" s="64">
        <v>0</v>
      </c>
      <c r="T16" s="64">
        <v>0</v>
      </c>
      <c r="U16" s="64">
        <v>0</v>
      </c>
      <c r="V16" s="64">
        <v>0</v>
      </c>
      <c r="W16" s="64">
        <v>0</v>
      </c>
      <c r="X16" s="64">
        <v>0</v>
      </c>
      <c r="Y16" s="64">
        <v>0</v>
      </c>
      <c r="Z16" s="64">
        <v>0</v>
      </c>
      <c r="AA16" s="64">
        <v>0</v>
      </c>
      <c r="AB16" s="64">
        <v>0</v>
      </c>
      <c r="AC16" s="64">
        <v>0</v>
      </c>
      <c r="AD16" s="64">
        <v>0</v>
      </c>
      <c r="AE16" s="64">
        <v>0</v>
      </c>
      <c r="AF16" s="64">
        <v>0</v>
      </c>
      <c r="AG16" s="64">
        <v>0</v>
      </c>
      <c r="AH16" s="64">
        <v>0</v>
      </c>
      <c r="AI16" s="64">
        <v>0</v>
      </c>
      <c r="AJ16" s="64">
        <v>0</v>
      </c>
      <c r="AK16" s="64">
        <v>0</v>
      </c>
      <c r="AL16" s="64">
        <v>0</v>
      </c>
      <c r="AM16" s="64">
        <v>0</v>
      </c>
      <c r="AN16" s="64">
        <v>0</v>
      </c>
      <c r="AO16" s="64">
        <v>0</v>
      </c>
      <c r="AP16" s="64">
        <v>0</v>
      </c>
      <c r="AQ16" s="64">
        <v>0</v>
      </c>
      <c r="AR16" s="64">
        <v>0</v>
      </c>
      <c r="AS16" s="64">
        <v>0</v>
      </c>
      <c r="AT16" s="64">
        <v>0</v>
      </c>
      <c r="AU16" s="64">
        <v>0</v>
      </c>
      <c r="AV16" s="64">
        <v>0</v>
      </c>
      <c r="AW16" s="64">
        <v>0</v>
      </c>
      <c r="AX16" s="64">
        <v>0</v>
      </c>
      <c r="AY16" s="64">
        <v>0</v>
      </c>
      <c r="AZ16" s="64">
        <v>0</v>
      </c>
      <c r="BA16" s="64"/>
      <c r="BB16" s="64"/>
      <c r="BC16" s="64"/>
      <c r="BD16" s="64"/>
    </row>
    <row r="17" spans="3:56" s="6" customFormat="1" x14ac:dyDescent="0.25">
      <c r="C17" s="48"/>
      <c r="D17" s="41"/>
      <c r="E17" s="45"/>
      <c r="F17" s="45"/>
      <c r="G17" s="45"/>
      <c r="H17" s="45"/>
      <c r="I17" s="45"/>
      <c r="J17" s="45"/>
      <c r="K17" s="45"/>
      <c r="L17" s="45"/>
      <c r="M17" s="45"/>
      <c r="U17" s="41"/>
    </row>
    <row r="18" spans="3:56" s="6" customFormat="1" x14ac:dyDescent="0.25">
      <c r="C18" s="48"/>
      <c r="D18" s="49" t="s">
        <v>34</v>
      </c>
      <c r="E18" s="101">
        <v>32.174999999999997</v>
      </c>
      <c r="F18" s="65">
        <v>27.824999999999999</v>
      </c>
      <c r="G18" s="65">
        <v>22.774999999999999</v>
      </c>
      <c r="H18" s="65">
        <v>19.274999999999999</v>
      </c>
      <c r="I18" s="65">
        <v>20.274999999999999</v>
      </c>
      <c r="J18" s="65">
        <v>20.274999999999999</v>
      </c>
      <c r="K18" s="65">
        <v>18.125</v>
      </c>
      <c r="L18" s="65">
        <v>19.675000000000001</v>
      </c>
      <c r="M18" s="65">
        <v>23.412500000000001</v>
      </c>
      <c r="N18" s="65">
        <v>23.4</v>
      </c>
      <c r="O18" s="65">
        <v>23.4</v>
      </c>
      <c r="P18" s="65">
        <v>22.28</v>
      </c>
      <c r="Q18" s="65">
        <v>22.274999999999999</v>
      </c>
      <c r="R18" s="65">
        <v>22.274999999999999</v>
      </c>
      <c r="S18" s="65">
        <v>21.3</v>
      </c>
      <c r="T18" s="65">
        <v>20.425000000000001</v>
      </c>
      <c r="U18" s="65">
        <v>24.912500000000001</v>
      </c>
      <c r="V18" s="65">
        <v>25.25</v>
      </c>
      <c r="W18" s="65">
        <v>23.324999999999999</v>
      </c>
      <c r="X18" s="65">
        <v>23.074999999999999</v>
      </c>
      <c r="Y18" s="65">
        <v>22.382749999999998</v>
      </c>
      <c r="Z18" s="65">
        <v>21.711267499999998</v>
      </c>
      <c r="AA18" s="65">
        <v>21.27704215</v>
      </c>
      <c r="AB18" s="65">
        <v>20.851501306999999</v>
      </c>
      <c r="AC18" s="65">
        <v>20.434471280859999</v>
      </c>
      <c r="AD18" s="65">
        <v>20.025781855242798</v>
      </c>
      <c r="AE18" s="65">
        <v>19.625266218137941</v>
      </c>
      <c r="AF18" s="65">
        <v>19.232760893775183</v>
      </c>
      <c r="AG18" s="65">
        <v>18.848105675899678</v>
      </c>
      <c r="AH18" s="65">
        <v>18.471143562381684</v>
      </c>
      <c r="AI18" s="65">
        <v>18.101720691134052</v>
      </c>
      <c r="AJ18" s="65">
        <v>17.739686277311371</v>
      </c>
      <c r="AK18" s="65">
        <v>17.384892551765144</v>
      </c>
      <c r="AL18" s="65">
        <v>17.037194700729842</v>
      </c>
      <c r="AM18" s="65">
        <v>16.696450806715244</v>
      </c>
      <c r="AN18" s="65">
        <v>16.061985676060065</v>
      </c>
      <c r="AO18" s="65">
        <v>15.451630220369783</v>
      </c>
      <c r="AP18" s="65">
        <v>14.864468271995731</v>
      </c>
      <c r="AQ18" s="65">
        <v>14.299618477659893</v>
      </c>
      <c r="AR18" s="65">
        <v>13.756232975508818</v>
      </c>
      <c r="AS18" s="65">
        <v>13.205983656488465</v>
      </c>
      <c r="AT18" s="65">
        <v>9.6777443102289258</v>
      </c>
      <c r="AU18" s="65">
        <v>9.2906345378197681</v>
      </c>
      <c r="AV18" s="65">
        <v>8.9190091563069771</v>
      </c>
      <c r="AW18" s="65">
        <v>8.027108240676279</v>
      </c>
      <c r="AX18" s="65">
        <v>7.2243974166086513</v>
      </c>
      <c r="AY18" s="65">
        <v>29.001957674947786</v>
      </c>
      <c r="AZ18" s="65">
        <v>26.101761907453007</v>
      </c>
      <c r="BA18" s="65">
        <v>23.230568097633174</v>
      </c>
      <c r="BB18" s="65">
        <v>20.675205606893524</v>
      </c>
      <c r="BC18" s="65">
        <v>18.400932990135235</v>
      </c>
      <c r="BD18" s="65">
        <v>16.37683036122036</v>
      </c>
    </row>
    <row r="19" spans="3:56" s="6" customFormat="1" x14ac:dyDescent="0.25">
      <c r="C19" s="48"/>
      <c r="D19" s="49" t="s">
        <v>35</v>
      </c>
      <c r="E19" s="65">
        <v>82.875</v>
      </c>
      <c r="F19" s="65">
        <v>60.6</v>
      </c>
      <c r="G19" s="65">
        <v>38.174999999999997</v>
      </c>
      <c r="H19" s="65">
        <v>36.174999999999997</v>
      </c>
      <c r="I19" s="65">
        <v>36.799999999999997</v>
      </c>
      <c r="J19" s="65">
        <v>36.799999999999997</v>
      </c>
      <c r="K19" s="65">
        <v>21.8</v>
      </c>
      <c r="L19" s="65">
        <v>20.824999999999999</v>
      </c>
      <c r="M19" s="65">
        <v>30.268750000000001</v>
      </c>
      <c r="N19" s="65">
        <v>30.256250000000001</v>
      </c>
      <c r="O19" s="65">
        <v>30.243749999999999</v>
      </c>
      <c r="P19" s="65">
        <v>25.630000000000003</v>
      </c>
      <c r="Q19" s="65">
        <v>24.631250000000001</v>
      </c>
      <c r="R19" s="65">
        <v>23.631250000000001</v>
      </c>
      <c r="S19" s="65">
        <v>23.631250000000001</v>
      </c>
      <c r="T19" s="65">
        <v>23.631250000000001</v>
      </c>
      <c r="U19" s="65">
        <v>24.631250000000001</v>
      </c>
      <c r="V19" s="65">
        <v>23.181249999999999</v>
      </c>
      <c r="W19" s="65">
        <v>23.181249999999999</v>
      </c>
      <c r="X19" s="65">
        <v>22.181249999999999</v>
      </c>
      <c r="Y19" s="65">
        <v>21.515812499999999</v>
      </c>
      <c r="Z19" s="65">
        <v>20.870338125</v>
      </c>
      <c r="AA19" s="65">
        <v>20.452931362499999</v>
      </c>
      <c r="AB19" s="65">
        <v>20.043872735249998</v>
      </c>
      <c r="AC19" s="65">
        <v>19.642995280544998</v>
      </c>
      <c r="AD19" s="65">
        <v>19.250135374934096</v>
      </c>
      <c r="AE19" s="65">
        <v>18.865132667435415</v>
      </c>
      <c r="AF19" s="65">
        <v>18.487830014086708</v>
      </c>
      <c r="AG19" s="65">
        <v>18.118073413804975</v>
      </c>
      <c r="AH19" s="65">
        <v>25.255711945528876</v>
      </c>
      <c r="AI19" s="65">
        <v>24.750597706618297</v>
      </c>
      <c r="AJ19" s="65">
        <v>33.505585752485928</v>
      </c>
      <c r="AK19" s="65">
        <v>31.835474037436207</v>
      </c>
      <c r="AL19" s="65">
        <v>30.198764556687482</v>
      </c>
      <c r="AM19" s="65">
        <v>29.594789265553732</v>
      </c>
      <c r="AN19" s="65">
        <v>28.470187273462692</v>
      </c>
      <c r="AO19" s="65">
        <v>27.38832015707111</v>
      </c>
      <c r="AP19" s="65">
        <v>26.347563991102408</v>
      </c>
      <c r="AQ19" s="65">
        <v>43.846356559440515</v>
      </c>
      <c r="AR19" s="65">
        <v>42.180195010181777</v>
      </c>
      <c r="AS19" s="65">
        <v>62.992987209774505</v>
      </c>
      <c r="AT19" s="65">
        <v>52.473267721383522</v>
      </c>
      <c r="AU19" s="65">
        <v>95.374337012528173</v>
      </c>
      <c r="AV19" s="65">
        <v>72.559363532027049</v>
      </c>
      <c r="AW19" s="65">
        <v>80.30342717882435</v>
      </c>
      <c r="AX19" s="65">
        <v>94.773084460941917</v>
      </c>
      <c r="AY19" s="65">
        <v>144.29577601484772</v>
      </c>
      <c r="AZ19" s="65">
        <v>129.86619841336295</v>
      </c>
      <c r="BA19" s="65">
        <v>121.58091658789303</v>
      </c>
      <c r="BB19" s="65">
        <v>112.2070157632248</v>
      </c>
      <c r="BC19" s="65">
        <v>113.86424402927007</v>
      </c>
      <c r="BD19" s="65">
        <v>107.33917718605036</v>
      </c>
    </row>
    <row r="20" spans="3:56" s="6" customFormat="1" x14ac:dyDescent="0.25">
      <c r="C20" s="48"/>
      <c r="D20" s="49" t="s">
        <v>36</v>
      </c>
      <c r="E20" s="65">
        <v>0</v>
      </c>
      <c r="F20" s="65">
        <v>0</v>
      </c>
      <c r="G20" s="65">
        <v>0</v>
      </c>
      <c r="H20" s="65">
        <v>0</v>
      </c>
      <c r="I20" s="65">
        <v>0</v>
      </c>
      <c r="J20" s="65">
        <v>0</v>
      </c>
      <c r="K20" s="65">
        <v>0</v>
      </c>
      <c r="L20" s="65">
        <v>0</v>
      </c>
      <c r="M20" s="65">
        <v>0</v>
      </c>
      <c r="N20" s="65">
        <v>0</v>
      </c>
      <c r="O20" s="65">
        <v>0</v>
      </c>
      <c r="P20" s="65">
        <v>0</v>
      </c>
      <c r="Q20" s="65">
        <v>0</v>
      </c>
      <c r="R20" s="65">
        <v>0</v>
      </c>
      <c r="S20" s="65">
        <v>0</v>
      </c>
      <c r="T20" s="65">
        <v>0</v>
      </c>
      <c r="U20" s="65">
        <v>0</v>
      </c>
      <c r="V20" s="65">
        <v>0</v>
      </c>
      <c r="W20" s="65">
        <v>0</v>
      </c>
      <c r="X20" s="65">
        <v>0</v>
      </c>
      <c r="Y20" s="65">
        <v>0</v>
      </c>
      <c r="Z20" s="65">
        <v>0</v>
      </c>
      <c r="AA20" s="65">
        <v>0</v>
      </c>
      <c r="AB20" s="65">
        <v>0</v>
      </c>
      <c r="AC20" s="65">
        <v>0</v>
      </c>
      <c r="AD20" s="65">
        <v>0</v>
      </c>
      <c r="AE20" s="65">
        <v>0</v>
      </c>
      <c r="AF20" s="65">
        <v>0</v>
      </c>
      <c r="AG20" s="65">
        <v>0</v>
      </c>
      <c r="AH20" s="65">
        <v>0</v>
      </c>
      <c r="AI20" s="65">
        <v>0</v>
      </c>
      <c r="AJ20" s="65">
        <v>0</v>
      </c>
      <c r="AK20" s="65">
        <v>0</v>
      </c>
      <c r="AL20" s="65">
        <v>0</v>
      </c>
      <c r="AM20" s="65">
        <v>0</v>
      </c>
      <c r="AN20" s="65">
        <v>0</v>
      </c>
      <c r="AO20" s="65">
        <v>0</v>
      </c>
      <c r="AP20" s="65">
        <v>0</v>
      </c>
      <c r="AQ20" s="65">
        <v>0</v>
      </c>
      <c r="AR20" s="65">
        <v>0</v>
      </c>
      <c r="AS20" s="65">
        <v>0</v>
      </c>
      <c r="AT20" s="65">
        <v>0</v>
      </c>
      <c r="AU20" s="65">
        <v>0</v>
      </c>
      <c r="AV20" s="65">
        <v>0</v>
      </c>
      <c r="AW20" s="65">
        <v>0</v>
      </c>
      <c r="AX20" s="65">
        <v>0</v>
      </c>
      <c r="AY20" s="65">
        <v>0</v>
      </c>
      <c r="AZ20" s="65">
        <v>0</v>
      </c>
      <c r="BA20" s="65">
        <v>0</v>
      </c>
      <c r="BB20" s="65">
        <v>0</v>
      </c>
      <c r="BC20" s="65">
        <v>0</v>
      </c>
      <c r="BD20" s="65">
        <v>0</v>
      </c>
    </row>
    <row r="21" spans="3:56" s="6" customFormat="1" x14ac:dyDescent="0.25">
      <c r="C21" s="48"/>
      <c r="D21" s="49" t="s">
        <v>37</v>
      </c>
      <c r="E21" s="65">
        <v>0</v>
      </c>
      <c r="F21" s="65">
        <v>0</v>
      </c>
      <c r="G21" s="65">
        <v>0</v>
      </c>
      <c r="H21" s="65">
        <v>0</v>
      </c>
      <c r="I21" s="65">
        <v>0</v>
      </c>
      <c r="J21" s="65">
        <v>0</v>
      </c>
      <c r="K21" s="65">
        <v>0</v>
      </c>
      <c r="L21" s="65">
        <v>0</v>
      </c>
      <c r="M21" s="65">
        <v>0</v>
      </c>
      <c r="N21" s="65">
        <v>0</v>
      </c>
      <c r="O21" s="65">
        <v>0</v>
      </c>
      <c r="P21" s="65">
        <v>0</v>
      </c>
      <c r="Q21" s="65">
        <v>0</v>
      </c>
      <c r="R21" s="65">
        <v>0</v>
      </c>
      <c r="S21" s="65">
        <v>0</v>
      </c>
      <c r="T21" s="65">
        <v>0</v>
      </c>
      <c r="U21" s="65">
        <v>0</v>
      </c>
      <c r="V21" s="65">
        <v>0</v>
      </c>
      <c r="W21" s="65">
        <v>0</v>
      </c>
      <c r="X21" s="65">
        <v>0</v>
      </c>
      <c r="Y21" s="65">
        <v>0</v>
      </c>
      <c r="Z21" s="65">
        <v>0</v>
      </c>
      <c r="AA21" s="65">
        <v>0</v>
      </c>
      <c r="AB21" s="65">
        <v>0</v>
      </c>
      <c r="AC21" s="65">
        <v>0</v>
      </c>
      <c r="AD21" s="65">
        <v>0</v>
      </c>
      <c r="AE21" s="65">
        <v>0</v>
      </c>
      <c r="AF21" s="65">
        <v>0</v>
      </c>
      <c r="AG21" s="65">
        <v>0</v>
      </c>
      <c r="AH21" s="65">
        <v>0</v>
      </c>
      <c r="AI21" s="65">
        <v>0</v>
      </c>
      <c r="AJ21" s="65">
        <v>0</v>
      </c>
      <c r="AK21" s="65">
        <v>0</v>
      </c>
      <c r="AL21" s="65">
        <v>0</v>
      </c>
      <c r="AM21" s="65">
        <v>0</v>
      </c>
      <c r="AN21" s="65">
        <v>0</v>
      </c>
      <c r="AO21" s="65">
        <v>0</v>
      </c>
      <c r="AP21" s="65">
        <v>0</v>
      </c>
      <c r="AQ21" s="65">
        <v>0</v>
      </c>
      <c r="AR21" s="65">
        <v>0</v>
      </c>
      <c r="AS21" s="65">
        <v>0</v>
      </c>
      <c r="AT21" s="65">
        <v>0</v>
      </c>
      <c r="AU21" s="65">
        <v>0</v>
      </c>
      <c r="AV21" s="65">
        <v>0</v>
      </c>
      <c r="AW21" s="65">
        <v>0</v>
      </c>
      <c r="AX21" s="65">
        <v>0</v>
      </c>
      <c r="AY21" s="65">
        <v>0</v>
      </c>
      <c r="AZ21" s="65">
        <v>0</v>
      </c>
      <c r="BA21" s="65">
        <v>0</v>
      </c>
      <c r="BB21" s="65">
        <v>0</v>
      </c>
      <c r="BC21" s="65">
        <v>0</v>
      </c>
      <c r="BD21" s="65">
        <v>0</v>
      </c>
    </row>
    <row r="22" spans="3:56" s="6" customFormat="1" x14ac:dyDescent="0.25">
      <c r="C22" s="48"/>
      <c r="D22" s="49" t="s">
        <v>38</v>
      </c>
      <c r="E22" s="65">
        <v>6.7062499999999998</v>
      </c>
      <c r="F22" s="65">
        <v>8.6187500000000004</v>
      </c>
      <c r="G22" s="65">
        <v>9.6187500000000004</v>
      </c>
      <c r="H22" s="65">
        <v>7.6187500000000004</v>
      </c>
      <c r="I22" s="65">
        <v>11.56875</v>
      </c>
      <c r="J22" s="65">
        <v>11.56875</v>
      </c>
      <c r="K22" s="65">
        <v>8.2562499999999996</v>
      </c>
      <c r="L22" s="65">
        <v>8.34375</v>
      </c>
      <c r="M22" s="65">
        <v>0</v>
      </c>
      <c r="N22" s="65">
        <v>0</v>
      </c>
      <c r="O22" s="65">
        <v>0</v>
      </c>
      <c r="P22" s="65">
        <v>0</v>
      </c>
      <c r="Q22" s="65">
        <v>0</v>
      </c>
      <c r="R22" s="65">
        <v>0</v>
      </c>
      <c r="S22" s="65">
        <v>0</v>
      </c>
      <c r="T22" s="65">
        <v>0</v>
      </c>
      <c r="U22" s="65">
        <v>0</v>
      </c>
      <c r="V22" s="65">
        <v>0</v>
      </c>
      <c r="W22" s="65">
        <v>0</v>
      </c>
      <c r="X22" s="65">
        <v>0</v>
      </c>
      <c r="Y22" s="65">
        <v>0</v>
      </c>
      <c r="Z22" s="65">
        <v>0</v>
      </c>
      <c r="AA22" s="65">
        <v>0</v>
      </c>
      <c r="AB22" s="65">
        <v>0</v>
      </c>
      <c r="AC22" s="65">
        <v>0</v>
      </c>
      <c r="AD22" s="65">
        <v>0</v>
      </c>
      <c r="AE22" s="65">
        <v>0</v>
      </c>
      <c r="AF22" s="65">
        <v>0</v>
      </c>
      <c r="AG22" s="65">
        <v>0</v>
      </c>
      <c r="AH22" s="65">
        <v>0</v>
      </c>
      <c r="AI22" s="65">
        <v>0</v>
      </c>
      <c r="AJ22" s="65">
        <v>0</v>
      </c>
      <c r="AK22" s="65">
        <v>0</v>
      </c>
      <c r="AL22" s="65">
        <v>0</v>
      </c>
      <c r="AM22" s="65">
        <v>0</v>
      </c>
      <c r="AN22" s="65">
        <v>0</v>
      </c>
      <c r="AO22" s="65">
        <v>0</v>
      </c>
      <c r="AP22" s="65">
        <v>0</v>
      </c>
      <c r="AQ22" s="65">
        <v>0</v>
      </c>
      <c r="AR22" s="65">
        <v>0</v>
      </c>
      <c r="AS22" s="65">
        <v>0</v>
      </c>
      <c r="AT22" s="65">
        <v>0</v>
      </c>
      <c r="AU22" s="65">
        <v>0</v>
      </c>
      <c r="AV22" s="65">
        <v>0</v>
      </c>
      <c r="AW22" s="65">
        <v>0</v>
      </c>
      <c r="AX22" s="65">
        <v>0</v>
      </c>
      <c r="AY22" s="65">
        <v>0</v>
      </c>
      <c r="AZ22" s="65">
        <v>0</v>
      </c>
      <c r="BA22" s="65">
        <v>0</v>
      </c>
      <c r="BB22" s="65">
        <v>0</v>
      </c>
      <c r="BC22" s="65">
        <v>0</v>
      </c>
      <c r="BD22" s="65">
        <v>0</v>
      </c>
    </row>
    <row r="23" spans="3:56" s="6" customFormat="1" x14ac:dyDescent="0.25">
      <c r="C23" s="48"/>
      <c r="D23" s="49" t="s">
        <v>39</v>
      </c>
      <c r="E23" s="65">
        <v>0</v>
      </c>
      <c r="F23" s="65">
        <v>0</v>
      </c>
      <c r="G23" s="65">
        <v>0</v>
      </c>
      <c r="H23" s="65">
        <v>0</v>
      </c>
      <c r="I23" s="65">
        <v>0</v>
      </c>
      <c r="J23" s="65">
        <v>0</v>
      </c>
      <c r="K23" s="65">
        <v>0</v>
      </c>
      <c r="L23" s="65">
        <v>0</v>
      </c>
      <c r="M23" s="65">
        <v>0</v>
      </c>
      <c r="N23" s="65">
        <v>0</v>
      </c>
      <c r="O23" s="65">
        <v>0</v>
      </c>
      <c r="P23" s="65">
        <v>0</v>
      </c>
      <c r="Q23" s="65">
        <v>0</v>
      </c>
      <c r="R23" s="65">
        <v>0</v>
      </c>
      <c r="S23" s="65">
        <v>0</v>
      </c>
      <c r="T23" s="65">
        <v>0</v>
      </c>
      <c r="U23" s="65">
        <v>0</v>
      </c>
      <c r="V23" s="65">
        <v>0</v>
      </c>
      <c r="W23" s="65">
        <v>0</v>
      </c>
      <c r="X23" s="65">
        <v>0</v>
      </c>
      <c r="Y23" s="65">
        <v>0</v>
      </c>
      <c r="Z23" s="65">
        <v>0</v>
      </c>
      <c r="AA23" s="65">
        <v>0</v>
      </c>
      <c r="AB23" s="65">
        <v>0</v>
      </c>
      <c r="AC23" s="65">
        <v>0</v>
      </c>
      <c r="AD23" s="65">
        <v>0</v>
      </c>
      <c r="AE23" s="65">
        <v>0</v>
      </c>
      <c r="AF23" s="65">
        <v>0</v>
      </c>
      <c r="AG23" s="65">
        <v>0</v>
      </c>
      <c r="AH23" s="65">
        <v>0</v>
      </c>
      <c r="AI23" s="65">
        <v>0</v>
      </c>
      <c r="AJ23" s="65">
        <v>0</v>
      </c>
      <c r="AK23" s="65">
        <v>0</v>
      </c>
      <c r="AL23" s="65">
        <v>0</v>
      </c>
      <c r="AM23" s="65">
        <v>0</v>
      </c>
      <c r="AN23" s="65">
        <v>0</v>
      </c>
      <c r="AO23" s="65">
        <v>0</v>
      </c>
      <c r="AP23" s="65">
        <v>0</v>
      </c>
      <c r="AQ23" s="65">
        <v>0</v>
      </c>
      <c r="AR23" s="65">
        <v>0</v>
      </c>
      <c r="AS23" s="65">
        <v>0</v>
      </c>
      <c r="AT23" s="65">
        <v>0</v>
      </c>
      <c r="AU23" s="65">
        <v>0</v>
      </c>
      <c r="AV23" s="65">
        <v>0</v>
      </c>
      <c r="AW23" s="65">
        <v>0</v>
      </c>
      <c r="AX23" s="65">
        <v>0</v>
      </c>
      <c r="AY23" s="65">
        <v>0</v>
      </c>
      <c r="AZ23" s="65">
        <v>0</v>
      </c>
      <c r="BA23" s="65">
        <v>0</v>
      </c>
      <c r="BB23" s="65">
        <v>0</v>
      </c>
      <c r="BC23" s="65">
        <v>0</v>
      </c>
      <c r="BD23" s="65">
        <v>0</v>
      </c>
    </row>
    <row r="24" spans="3:56" s="6" customFormat="1" x14ac:dyDescent="0.25">
      <c r="C24" s="48"/>
      <c r="D24" s="49" t="s">
        <v>40</v>
      </c>
      <c r="E24" s="65">
        <v>0</v>
      </c>
      <c r="F24" s="65">
        <v>0</v>
      </c>
      <c r="G24" s="65">
        <v>0</v>
      </c>
      <c r="H24" s="65">
        <v>0</v>
      </c>
      <c r="I24" s="65">
        <v>0</v>
      </c>
      <c r="J24" s="65">
        <v>0</v>
      </c>
      <c r="K24" s="65">
        <v>0</v>
      </c>
      <c r="L24" s="65">
        <v>0</v>
      </c>
      <c r="M24" s="65">
        <v>0</v>
      </c>
      <c r="N24" s="65">
        <v>0</v>
      </c>
      <c r="O24" s="65">
        <v>0</v>
      </c>
      <c r="P24" s="65">
        <v>0</v>
      </c>
      <c r="Q24" s="65">
        <v>0</v>
      </c>
      <c r="R24" s="65">
        <v>0</v>
      </c>
      <c r="S24" s="65">
        <v>0</v>
      </c>
      <c r="T24" s="65">
        <v>0</v>
      </c>
      <c r="U24" s="65">
        <v>0</v>
      </c>
      <c r="V24" s="65">
        <v>0</v>
      </c>
      <c r="W24" s="65">
        <v>0</v>
      </c>
      <c r="X24" s="65">
        <v>0</v>
      </c>
      <c r="Y24" s="65">
        <v>0</v>
      </c>
      <c r="Z24" s="65">
        <v>0</v>
      </c>
      <c r="AA24" s="65">
        <v>0</v>
      </c>
      <c r="AB24" s="65">
        <v>0</v>
      </c>
      <c r="AC24" s="65">
        <v>0</v>
      </c>
      <c r="AD24" s="65">
        <v>0</v>
      </c>
      <c r="AE24" s="65">
        <v>0</v>
      </c>
      <c r="AF24" s="65">
        <v>0</v>
      </c>
      <c r="AG24" s="65">
        <v>0</v>
      </c>
      <c r="AH24" s="65">
        <v>0</v>
      </c>
      <c r="AI24" s="65">
        <v>0</v>
      </c>
      <c r="AJ24" s="65">
        <v>0</v>
      </c>
      <c r="AK24" s="65">
        <v>0</v>
      </c>
      <c r="AL24" s="65">
        <v>0</v>
      </c>
      <c r="AM24" s="65">
        <v>0</v>
      </c>
      <c r="AN24" s="65">
        <v>0</v>
      </c>
      <c r="AO24" s="65">
        <v>0</v>
      </c>
      <c r="AP24" s="65">
        <v>0</v>
      </c>
      <c r="AQ24" s="65">
        <v>0</v>
      </c>
      <c r="AR24" s="65">
        <v>0</v>
      </c>
      <c r="AS24" s="65">
        <v>0</v>
      </c>
      <c r="AT24" s="65">
        <v>0</v>
      </c>
      <c r="AU24" s="65">
        <v>0</v>
      </c>
      <c r="AV24" s="65">
        <v>0</v>
      </c>
      <c r="AW24" s="65">
        <v>2</v>
      </c>
      <c r="AX24" s="65">
        <v>1.8000000000000007</v>
      </c>
      <c r="AY24" s="65">
        <v>1.6200000000000006</v>
      </c>
      <c r="AZ24" s="65">
        <v>1.4580000000000004</v>
      </c>
      <c r="BA24" s="65">
        <v>1.2976200000000004</v>
      </c>
      <c r="BB24" s="65">
        <v>1.1548818000000005</v>
      </c>
      <c r="BC24" s="65">
        <v>1.0278448020000004</v>
      </c>
      <c r="BD24" s="65">
        <v>0.91478187378000031</v>
      </c>
    </row>
    <row r="25" spans="3:56" s="6" customFormat="1" x14ac:dyDescent="0.25">
      <c r="C25" s="48"/>
      <c r="D25" s="50" t="s">
        <v>41</v>
      </c>
      <c r="E25" s="66">
        <f t="shared" ref="E25:BD25" si="45">(SUM(E18:E24)*E27)/((40*(1-E26)+40))</f>
        <v>0</v>
      </c>
      <c r="F25" s="66">
        <f t="shared" si="45"/>
        <v>0</v>
      </c>
      <c r="G25" s="66">
        <f t="shared" si="45"/>
        <v>0</v>
      </c>
      <c r="H25" s="66">
        <f t="shared" si="45"/>
        <v>-5.4842391304347817</v>
      </c>
      <c r="I25" s="66">
        <f t="shared" si="45"/>
        <v>-5.9690217391304348</v>
      </c>
      <c r="J25" s="66">
        <f t="shared" si="45"/>
        <v>0</v>
      </c>
      <c r="K25" s="66">
        <f t="shared" si="45"/>
        <v>-8.3793478260869563</v>
      </c>
      <c r="L25" s="66">
        <f t="shared" si="45"/>
        <v>-4.2472826086956523</v>
      </c>
      <c r="M25" s="66">
        <f t="shared" si="45"/>
        <v>-4.6679347826086959</v>
      </c>
      <c r="N25" s="66">
        <f t="shared" si="45"/>
        <v>-4.6657608695652177</v>
      </c>
      <c r="O25" s="66">
        <f t="shared" si="45"/>
        <v>-4.6646739130434778</v>
      </c>
      <c r="P25" s="66">
        <f t="shared" si="45"/>
        <v>0</v>
      </c>
      <c r="Q25" s="66">
        <f t="shared" si="45"/>
        <v>-4.0788043478260869</v>
      </c>
      <c r="R25" s="66">
        <f t="shared" si="45"/>
        <v>0</v>
      </c>
      <c r="S25" s="66">
        <f t="shared" si="45"/>
        <v>0</v>
      </c>
      <c r="T25" s="66">
        <f t="shared" si="45"/>
        <v>-5.7464673913043489</v>
      </c>
      <c r="U25" s="66">
        <f t="shared" si="45"/>
        <v>-2.1540760869565219</v>
      </c>
      <c r="V25" s="66">
        <f t="shared" si="45"/>
        <v>0</v>
      </c>
      <c r="W25" s="66">
        <f t="shared" si="45"/>
        <v>0</v>
      </c>
      <c r="X25" s="66">
        <f t="shared" si="45"/>
        <v>1.9676630434782607</v>
      </c>
      <c r="Y25" s="66">
        <f t="shared" si="45"/>
        <v>0</v>
      </c>
      <c r="Z25" s="66">
        <f t="shared" si="45"/>
        <v>0</v>
      </c>
      <c r="AA25" s="66">
        <f t="shared" si="45"/>
        <v>7.2573866978260861</v>
      </c>
      <c r="AB25" s="66">
        <f t="shared" si="45"/>
        <v>5.3341792229021738</v>
      </c>
      <c r="AC25" s="66">
        <f t="shared" si="45"/>
        <v>3.4849970922960867</v>
      </c>
      <c r="AD25" s="66">
        <f t="shared" si="45"/>
        <v>-3.4152971504501646</v>
      </c>
      <c r="AE25" s="66">
        <f t="shared" si="45"/>
        <v>-3.3469912074411612</v>
      </c>
      <c r="AF25" s="66">
        <f t="shared" si="45"/>
        <v>0</v>
      </c>
      <c r="AG25" s="66">
        <f t="shared" si="45"/>
        <v>-3.2144503556264916</v>
      </c>
      <c r="AH25" s="66">
        <f t="shared" si="45"/>
        <v>0</v>
      </c>
      <c r="AI25" s="66">
        <f t="shared" si="45"/>
        <v>0</v>
      </c>
      <c r="AJ25" s="66">
        <f t="shared" si="45"/>
        <v>0</v>
      </c>
      <c r="AK25" s="66">
        <f t="shared" si="45"/>
        <v>0</v>
      </c>
      <c r="AL25" s="66">
        <f t="shared" si="45"/>
        <v>0</v>
      </c>
      <c r="AM25" s="66">
        <f t="shared" si="45"/>
        <v>0</v>
      </c>
      <c r="AN25" s="66">
        <f t="shared" si="45"/>
        <v>0</v>
      </c>
      <c r="AO25" s="66">
        <f t="shared" si="45"/>
        <v>0</v>
      </c>
      <c r="AP25" s="66">
        <f t="shared" si="45"/>
        <v>0</v>
      </c>
      <c r="AQ25" s="66">
        <f t="shared" si="45"/>
        <v>0</v>
      </c>
      <c r="AR25" s="66">
        <f t="shared" si="45"/>
        <v>0</v>
      </c>
      <c r="AS25" s="66">
        <f t="shared" si="45"/>
        <v>0</v>
      </c>
      <c r="AT25" s="66">
        <f t="shared" si="45"/>
        <v>0</v>
      </c>
      <c r="AU25" s="66">
        <f t="shared" si="45"/>
        <v>0</v>
      </c>
      <c r="AV25" s="66">
        <f t="shared" si="45"/>
        <v>0</v>
      </c>
      <c r="AW25" s="66">
        <f t="shared" si="45"/>
        <v>0</v>
      </c>
      <c r="AX25" s="66">
        <f t="shared" si="45"/>
        <v>0</v>
      </c>
      <c r="AY25" s="66">
        <f t="shared" si="45"/>
        <v>0</v>
      </c>
      <c r="AZ25" s="66">
        <f t="shared" si="45"/>
        <v>27.378427881881038</v>
      </c>
      <c r="BA25" s="66">
        <f t="shared" si="45"/>
        <v>12.705139537871844</v>
      </c>
      <c r="BB25" s="66">
        <f t="shared" si="45"/>
        <v>0</v>
      </c>
      <c r="BC25" s="66">
        <f t="shared" si="45"/>
        <v>0</v>
      </c>
      <c r="BD25" s="66">
        <f t="shared" si="45"/>
        <v>0</v>
      </c>
    </row>
    <row r="26" spans="3:56" s="6" customFormat="1" x14ac:dyDescent="0.25">
      <c r="C26" s="48"/>
      <c r="D26" s="50" t="s">
        <v>42</v>
      </c>
      <c r="E26" s="67">
        <v>0.85</v>
      </c>
      <c r="F26" s="67">
        <v>0.85</v>
      </c>
      <c r="G26" s="67">
        <v>0.85</v>
      </c>
      <c r="H26" s="67">
        <v>0.85</v>
      </c>
      <c r="I26" s="67">
        <v>0.85</v>
      </c>
      <c r="J26" s="67">
        <v>0.85</v>
      </c>
      <c r="K26" s="67">
        <v>0.85</v>
      </c>
      <c r="L26" s="67">
        <v>0.85</v>
      </c>
      <c r="M26" s="67">
        <v>0.85</v>
      </c>
      <c r="N26" s="67">
        <v>0.85</v>
      </c>
      <c r="O26" s="67">
        <v>0.85</v>
      </c>
      <c r="P26" s="67">
        <v>0.85</v>
      </c>
      <c r="Q26" s="67">
        <v>0.85</v>
      </c>
      <c r="R26" s="67">
        <v>0.85</v>
      </c>
      <c r="S26" s="67">
        <v>0.85</v>
      </c>
      <c r="T26" s="67">
        <v>0.85</v>
      </c>
      <c r="U26" s="67">
        <v>0.85</v>
      </c>
      <c r="V26" s="67">
        <v>0.85</v>
      </c>
      <c r="W26" s="67">
        <v>0.85</v>
      </c>
      <c r="X26" s="67">
        <v>0.85</v>
      </c>
      <c r="Y26" s="67">
        <v>0.85</v>
      </c>
      <c r="Z26" s="67">
        <v>0.85</v>
      </c>
      <c r="AA26" s="67">
        <v>0.85</v>
      </c>
      <c r="AB26" s="67">
        <v>0.85</v>
      </c>
      <c r="AC26" s="67">
        <v>0.85</v>
      </c>
      <c r="AD26" s="67">
        <v>0.85</v>
      </c>
      <c r="AE26" s="67">
        <v>0.85</v>
      </c>
      <c r="AF26" s="67">
        <v>0.85</v>
      </c>
      <c r="AG26" s="67">
        <v>0.85</v>
      </c>
      <c r="AH26" s="67">
        <v>0.85</v>
      </c>
      <c r="AI26" s="67">
        <v>0.85</v>
      </c>
      <c r="AJ26" s="67">
        <v>0.85</v>
      </c>
      <c r="AK26" s="67">
        <v>0.85</v>
      </c>
      <c r="AL26" s="67">
        <v>0.85</v>
      </c>
      <c r="AM26" s="67">
        <v>0.85</v>
      </c>
      <c r="AN26" s="67">
        <v>0.85</v>
      </c>
      <c r="AO26" s="67">
        <v>0.85</v>
      </c>
      <c r="AP26" s="67">
        <v>0.85</v>
      </c>
      <c r="AQ26" s="67">
        <v>0.85</v>
      </c>
      <c r="AR26" s="67">
        <v>0.85</v>
      </c>
      <c r="AS26" s="67">
        <v>0.85</v>
      </c>
      <c r="AT26" s="67">
        <v>0.85</v>
      </c>
      <c r="AU26" s="67">
        <v>0.85</v>
      </c>
      <c r="AV26" s="67">
        <v>0.85</v>
      </c>
      <c r="AW26" s="67">
        <v>0.85</v>
      </c>
      <c r="AX26" s="67">
        <v>0.85</v>
      </c>
      <c r="AY26" s="67">
        <v>0.85</v>
      </c>
      <c r="AZ26" s="67">
        <v>0.85</v>
      </c>
      <c r="BA26" s="67">
        <v>0.85</v>
      </c>
      <c r="BB26" s="67">
        <v>0.85</v>
      </c>
      <c r="BC26" s="67">
        <v>0.85</v>
      </c>
      <c r="BD26" s="67">
        <v>0.85</v>
      </c>
    </row>
    <row r="27" spans="3:56" s="6" customFormat="1" x14ac:dyDescent="0.25">
      <c r="C27" s="48"/>
      <c r="D27" s="50" t="s">
        <v>43</v>
      </c>
      <c r="E27" s="65"/>
      <c r="F27" s="65"/>
      <c r="G27" s="65"/>
      <c r="H27" s="65">
        <v>-4</v>
      </c>
      <c r="I27" s="65">
        <v>-4</v>
      </c>
      <c r="J27" s="65"/>
      <c r="K27" s="65">
        <v>-8</v>
      </c>
      <c r="L27" s="65">
        <v>-4</v>
      </c>
      <c r="M27" s="65">
        <v>-4</v>
      </c>
      <c r="N27" s="65">
        <v>-4</v>
      </c>
      <c r="O27" s="65">
        <v>-4</v>
      </c>
      <c r="P27" s="65"/>
      <c r="Q27" s="65">
        <v>-4</v>
      </c>
      <c r="R27" s="65"/>
      <c r="S27" s="65"/>
      <c r="T27" s="65">
        <v>-6</v>
      </c>
      <c r="U27" s="65">
        <v>-2</v>
      </c>
      <c r="V27" s="65"/>
      <c r="W27" s="65"/>
      <c r="X27" s="65">
        <v>2</v>
      </c>
      <c r="Y27" s="65"/>
      <c r="Z27" s="65"/>
      <c r="AA27" s="65">
        <v>8</v>
      </c>
      <c r="AB27" s="65">
        <v>6</v>
      </c>
      <c r="AC27" s="65">
        <v>4</v>
      </c>
      <c r="AD27" s="65">
        <v>-4</v>
      </c>
      <c r="AE27" s="65">
        <v>-4</v>
      </c>
      <c r="AF27" s="65"/>
      <c r="AG27" s="65">
        <v>-4</v>
      </c>
      <c r="AH27" s="65"/>
      <c r="AI27" s="65"/>
      <c r="AJ27" s="65"/>
      <c r="AK27" s="65"/>
      <c r="AL27" s="65"/>
      <c r="AM27" s="65"/>
      <c r="AN27" s="65"/>
      <c r="AO27" s="65"/>
      <c r="AP27" s="65"/>
      <c r="AQ27" s="65"/>
      <c r="AR27" s="65"/>
      <c r="AS27" s="65"/>
      <c r="AT27" s="65"/>
      <c r="AU27" s="65"/>
      <c r="AV27" s="65"/>
      <c r="AW27" s="65"/>
      <c r="AX27" s="65"/>
      <c r="AY27" s="65"/>
      <c r="AZ27" s="65">
        <v>8</v>
      </c>
      <c r="BA27" s="65">
        <v>4</v>
      </c>
      <c r="BB27" s="65"/>
      <c r="BC27" s="65"/>
      <c r="BD27" s="65"/>
    </row>
    <row r="28" spans="3:56" s="6" customFormat="1" x14ac:dyDescent="0.25">
      <c r="C28" s="48"/>
      <c r="D28" s="51" t="s">
        <v>44</v>
      </c>
      <c r="E28" s="55">
        <f t="shared" ref="E28:BD28" si="46">SUM(E18:E25)</f>
        <v>121.75624999999999</v>
      </c>
      <c r="F28" s="55">
        <f t="shared" si="46"/>
        <v>97.043750000000003</v>
      </c>
      <c r="G28" s="55">
        <f t="shared" si="46"/>
        <v>70.568749999999994</v>
      </c>
      <c r="H28" s="55">
        <f t="shared" si="46"/>
        <v>57.584510869565214</v>
      </c>
      <c r="I28" s="55">
        <f t="shared" si="46"/>
        <v>62.674728260869564</v>
      </c>
      <c r="J28" s="55">
        <f t="shared" si="46"/>
        <v>68.643749999999997</v>
      </c>
      <c r="K28" s="55">
        <f t="shared" si="46"/>
        <v>39.801902173913042</v>
      </c>
      <c r="L28" s="55">
        <f t="shared" si="46"/>
        <v>44.596467391304344</v>
      </c>
      <c r="M28" s="55">
        <f t="shared" si="46"/>
        <v>49.013315217391309</v>
      </c>
      <c r="N28" s="55">
        <f t="shared" si="46"/>
        <v>48.990489130434781</v>
      </c>
      <c r="O28" s="55">
        <f t="shared" si="46"/>
        <v>48.979076086956518</v>
      </c>
      <c r="P28" s="55">
        <f t="shared" si="46"/>
        <v>47.910000000000004</v>
      </c>
      <c r="Q28" s="55">
        <f t="shared" si="46"/>
        <v>42.827445652173914</v>
      </c>
      <c r="R28" s="55">
        <f t="shared" si="46"/>
        <v>45.90625</v>
      </c>
      <c r="S28" s="55">
        <f t="shared" si="46"/>
        <v>44.931250000000006</v>
      </c>
      <c r="T28" s="55">
        <f t="shared" si="46"/>
        <v>38.309782608695656</v>
      </c>
      <c r="U28" s="55">
        <f t="shared" si="46"/>
        <v>47.389673913043481</v>
      </c>
      <c r="V28" s="55">
        <f t="shared" si="46"/>
        <v>48.431249999999999</v>
      </c>
      <c r="W28" s="55">
        <f t="shared" si="46"/>
        <v>46.506249999999994</v>
      </c>
      <c r="X28" s="55">
        <f t="shared" si="46"/>
        <v>47.223913043478255</v>
      </c>
      <c r="Y28" s="55">
        <f t="shared" si="46"/>
        <v>43.898562499999997</v>
      </c>
      <c r="Z28" s="55">
        <f t="shared" si="46"/>
        <v>42.581605624999995</v>
      </c>
      <c r="AA28" s="55">
        <f t="shared" si="46"/>
        <v>48.987360210326081</v>
      </c>
      <c r="AB28" s="55">
        <f t="shared" si="46"/>
        <v>46.22955326515217</v>
      </c>
      <c r="AC28" s="55">
        <f t="shared" si="46"/>
        <v>43.56246365370108</v>
      </c>
      <c r="AD28" s="55">
        <f t="shared" si="46"/>
        <v>35.860620079726729</v>
      </c>
      <c r="AE28" s="55">
        <f t="shared" si="46"/>
        <v>35.143407678132192</v>
      </c>
      <c r="AF28" s="55">
        <f t="shared" si="46"/>
        <v>37.72059090786189</v>
      </c>
      <c r="AG28" s="55">
        <f t="shared" si="46"/>
        <v>33.751728734078164</v>
      </c>
      <c r="AH28" s="55">
        <f t="shared" si="46"/>
        <v>43.726855507910557</v>
      </c>
      <c r="AI28" s="55">
        <f t="shared" si="46"/>
        <v>42.852318397752349</v>
      </c>
      <c r="AJ28" s="55">
        <f t="shared" si="46"/>
        <v>51.245272029797299</v>
      </c>
      <c r="AK28" s="55">
        <f t="shared" si="46"/>
        <v>49.220366589201348</v>
      </c>
      <c r="AL28" s="55">
        <f t="shared" si="46"/>
        <v>47.235959257417321</v>
      </c>
      <c r="AM28" s="55">
        <f t="shared" si="46"/>
        <v>46.291240072268977</v>
      </c>
      <c r="AN28" s="55">
        <f t="shared" si="46"/>
        <v>44.53217294952276</v>
      </c>
      <c r="AO28" s="55">
        <f t="shared" si="46"/>
        <v>42.839950377440893</v>
      </c>
      <c r="AP28" s="55">
        <f t="shared" si="46"/>
        <v>41.212032263098138</v>
      </c>
      <c r="AQ28" s="55">
        <f t="shared" si="46"/>
        <v>58.145975037100406</v>
      </c>
      <c r="AR28" s="55">
        <f t="shared" si="46"/>
        <v>55.936427985690592</v>
      </c>
      <c r="AS28" s="55">
        <f t="shared" si="46"/>
        <v>76.198970866262968</v>
      </c>
      <c r="AT28" s="55">
        <f t="shared" si="46"/>
        <v>62.151012031612446</v>
      </c>
      <c r="AU28" s="55">
        <f t="shared" si="46"/>
        <v>104.66497155034794</v>
      </c>
      <c r="AV28" s="55">
        <f t="shared" si="46"/>
        <v>81.478372688334019</v>
      </c>
      <c r="AW28" s="55">
        <f t="shared" si="46"/>
        <v>90.330535419500634</v>
      </c>
      <c r="AX28" s="55">
        <f t="shared" si="46"/>
        <v>103.79748187755057</v>
      </c>
      <c r="AY28" s="55">
        <f t="shared" si="46"/>
        <v>174.91773368979551</v>
      </c>
      <c r="AZ28" s="55">
        <f t="shared" si="46"/>
        <v>184.804388202697</v>
      </c>
      <c r="BA28" s="55">
        <f t="shared" si="46"/>
        <v>158.81424422339805</v>
      </c>
      <c r="BB28" s="55">
        <f t="shared" si="46"/>
        <v>134.03710317011831</v>
      </c>
      <c r="BC28" s="55">
        <f t="shared" si="46"/>
        <v>133.29302182140532</v>
      </c>
      <c r="BD28" s="55">
        <f t="shared" si="46"/>
        <v>124.63078942105072</v>
      </c>
    </row>
    <row r="29" spans="3:56" s="6" customFormat="1" x14ac:dyDescent="0.25">
      <c r="C29" s="48"/>
      <c r="D29" s="52" t="s">
        <v>45</v>
      </c>
      <c r="E29" s="56">
        <f t="shared" ref="E29:BD29" si="47">E28-E7</f>
        <v>25.933478195901031</v>
      </c>
      <c r="F29" s="56">
        <f t="shared" si="47"/>
        <v>21.364789870994684</v>
      </c>
      <c r="G29" s="56">
        <f t="shared" si="47"/>
        <v>6.8806807299788915</v>
      </c>
      <c r="H29" s="56">
        <f t="shared" si="47"/>
        <v>-1.6759488390934862</v>
      </c>
      <c r="I29" s="56">
        <f t="shared" si="47"/>
        <v>5.7618501489407379</v>
      </c>
      <c r="J29" s="56">
        <f t="shared" si="47"/>
        <v>17.144622542532133</v>
      </c>
      <c r="K29" s="56">
        <f t="shared" si="47"/>
        <v>-4.7603189772642551</v>
      </c>
      <c r="L29" s="56">
        <f t="shared" si="47"/>
        <v>0.71257037513489507</v>
      </c>
      <c r="M29" s="56">
        <f t="shared" si="47"/>
        <v>7.8240115265485812</v>
      </c>
      <c r="N29" s="56">
        <f t="shared" si="47"/>
        <v>1.84887404103808</v>
      </c>
      <c r="O29" s="56">
        <f t="shared" si="47"/>
        <v>-2.6438559184303188</v>
      </c>
      <c r="P29" s="56">
        <f t="shared" si="47"/>
        <v>-2.4941127549700823</v>
      </c>
      <c r="Q29" s="56">
        <f t="shared" si="47"/>
        <v>2.7162606329740271</v>
      </c>
      <c r="R29" s="56">
        <f t="shared" si="47"/>
        <v>5.1710201029645404</v>
      </c>
      <c r="S29" s="56">
        <f t="shared" si="47"/>
        <v>2.9298562637838472</v>
      </c>
      <c r="T29" s="56">
        <f t="shared" si="47"/>
        <v>-1.890063644016017</v>
      </c>
      <c r="U29" s="56">
        <f t="shared" si="47"/>
        <v>3.0118120746151646</v>
      </c>
      <c r="V29" s="56">
        <f t="shared" si="47"/>
        <v>1.3670434548581198</v>
      </c>
      <c r="W29" s="56">
        <f t="shared" si="47"/>
        <v>0.60861070307944232</v>
      </c>
      <c r="X29" s="56">
        <f t="shared" si="47"/>
        <v>0.61017709015503385</v>
      </c>
      <c r="Y29" s="56">
        <f t="shared" si="47"/>
        <v>0.45131181840773138</v>
      </c>
      <c r="Z29" s="56">
        <f t="shared" si="47"/>
        <v>1.2212096685973393</v>
      </c>
      <c r="AA29" s="56">
        <f t="shared" si="47"/>
        <v>0.33520376393344975</v>
      </c>
      <c r="AB29" s="56">
        <f t="shared" si="47"/>
        <v>-0.32389234159990821</v>
      </c>
      <c r="AC29" s="56">
        <f t="shared" si="47"/>
        <v>0.59029835377835127</v>
      </c>
      <c r="AD29" s="56">
        <f t="shared" si="47"/>
        <v>-0.4709639610666585</v>
      </c>
      <c r="AE29" s="56">
        <f t="shared" si="47"/>
        <v>1.1023863829301419</v>
      </c>
      <c r="AF29" s="56">
        <f t="shared" si="47"/>
        <v>0.80646723706123424</v>
      </c>
      <c r="AG29" s="56">
        <f t="shared" si="47"/>
        <v>0.26688284822728292</v>
      </c>
      <c r="AH29" s="56">
        <f t="shared" si="47"/>
        <v>4.0586455115208722</v>
      </c>
      <c r="AI29" s="56">
        <f t="shared" si="47"/>
        <v>2.5730692834201818</v>
      </c>
      <c r="AJ29" s="56">
        <f t="shared" si="47"/>
        <v>6.8309843018926841</v>
      </c>
      <c r="AK29" s="56">
        <f t="shared" si="47"/>
        <v>4.7251742784612034</v>
      </c>
      <c r="AL29" s="56">
        <f t="shared" si="47"/>
        <v>3.2010429299287679</v>
      </c>
      <c r="AM29" s="56">
        <f t="shared" si="47"/>
        <v>5.4641636199664632</v>
      </c>
      <c r="AN29" s="56">
        <f t="shared" si="47"/>
        <v>8.1384055170679659</v>
      </c>
      <c r="AO29" s="56">
        <f t="shared" si="47"/>
        <v>5.8989089623545965</v>
      </c>
      <c r="AP29" s="56">
        <f t="shared" si="47"/>
        <v>1.8808452501302781</v>
      </c>
      <c r="AQ29" s="56">
        <f t="shared" si="47"/>
        <v>16.052007001379401</v>
      </c>
      <c r="AR29" s="56">
        <f t="shared" si="47"/>
        <v>8.4568111557249779</v>
      </c>
      <c r="AS29" s="56">
        <f t="shared" si="47"/>
        <v>26.269529538440651</v>
      </c>
      <c r="AT29" s="56">
        <f t="shared" si="47"/>
        <v>11.911477527001779</v>
      </c>
      <c r="AU29" s="56">
        <f t="shared" si="47"/>
        <v>47.825551099551248</v>
      </c>
      <c r="AV29" s="56">
        <f t="shared" si="47"/>
        <v>16.718553563448665</v>
      </c>
      <c r="AW29" s="56">
        <f t="shared" si="47"/>
        <v>10.497116170977307</v>
      </c>
      <c r="AX29" s="56">
        <f t="shared" si="47"/>
        <v>25.425259589577053</v>
      </c>
      <c r="AY29" s="56">
        <f t="shared" si="47"/>
        <v>49.471744556581328</v>
      </c>
      <c r="AZ29" s="56">
        <f t="shared" si="47"/>
        <v>19.104367005106354</v>
      </c>
      <c r="BA29" s="56">
        <f t="shared" si="47"/>
        <v>16.723863816144103</v>
      </c>
      <c r="BB29" s="56">
        <f t="shared" si="47"/>
        <v>14.201562642085463</v>
      </c>
      <c r="BC29" s="56">
        <f t="shared" si="47"/>
        <v>56.948303948772221</v>
      </c>
      <c r="BD29" s="56">
        <f t="shared" si="47"/>
        <v>55.07409056933102</v>
      </c>
    </row>
    <row r="30" spans="3:56" s="6" customFormat="1" x14ac:dyDescent="0.25">
      <c r="C30" s="48"/>
      <c r="D30" s="53" t="s">
        <v>46</v>
      </c>
      <c r="E30" s="56">
        <f>SUM(E29,LauderNew!E29)</f>
        <v>19.946670028251738</v>
      </c>
      <c r="F30" s="56">
        <f>SUM(F29,LauderNew!F29)</f>
        <v>20.011985922055608</v>
      </c>
      <c r="G30" s="56">
        <f>SUM(G29,LauderNew!G29)</f>
        <v>9.8656016596479077</v>
      </c>
      <c r="H30" s="56">
        <f>SUM(H29,LauderNew!H29)</f>
        <v>7.4362562231446461</v>
      </c>
      <c r="I30" s="56">
        <f>SUM(I29,LauderNew!I29)</f>
        <v>17.20572559694245</v>
      </c>
      <c r="J30" s="56">
        <f>SUM(J29,LauderNew!J29)</f>
        <v>36.242886375091388</v>
      </c>
      <c r="K30" s="56">
        <f>SUM(K29,LauderNew!K29)</f>
        <v>4.9119074566133705</v>
      </c>
      <c r="L30" s="56">
        <f>SUM(L29,LauderNew!L29)</f>
        <v>13.937913878553889</v>
      </c>
      <c r="M30" s="56">
        <f>SUM(M29,LauderNew!M29)</f>
        <v>22.922107777393872</v>
      </c>
      <c r="N30" s="56">
        <f>SUM(N29,LauderNew!N29)</f>
        <v>12.950377600899927</v>
      </c>
      <c r="O30" s="56">
        <f>SUM(O29,LauderNew!O29)</f>
        <v>3.3985413327662783</v>
      </c>
      <c r="P30" s="56">
        <f>SUM(P29,LauderNew!P29)</f>
        <v>9.7256959495263544</v>
      </c>
      <c r="Q30" s="56">
        <f>SUM(Q29,LauderNew!Q29)</f>
        <v>18.020083809522486</v>
      </c>
      <c r="R30" s="56">
        <f>SUM(R29,LauderNew!R29)</f>
        <v>19.950491496198413</v>
      </c>
      <c r="S30" s="56">
        <f>SUM(S29,LauderNew!S29)</f>
        <v>15.142705651971653</v>
      </c>
      <c r="T30" s="56">
        <f>SUM(T29,LauderNew!T29)</f>
        <v>4.4390887575098432</v>
      </c>
      <c r="U30" s="56">
        <f>SUM(U29,LauderNew!U29)</f>
        <v>3.6921423636114596</v>
      </c>
      <c r="V30" s="56">
        <f>SUM(V29,LauderNew!V29)</f>
        <v>1.4919018399219084</v>
      </c>
      <c r="W30" s="56">
        <f>SUM(W29,LauderNew!W29)</f>
        <v>1.1969659258737835</v>
      </c>
      <c r="X30" s="56">
        <f>SUM(X29,LauderNew!X29)</f>
        <v>1.5577968955050352</v>
      </c>
      <c r="Y30" s="56">
        <f>SUM(Y29,LauderNew!Y29)</f>
        <v>1.7924538397844287</v>
      </c>
      <c r="Z30" s="56">
        <f>SUM(Z29,LauderNew!Z29)</f>
        <v>4.9694888106056574</v>
      </c>
      <c r="AA30" s="56">
        <f>SUM(AA29,LauderNew!AA29)</f>
        <v>4.2982228397782407</v>
      </c>
      <c r="AB30" s="56">
        <f>SUM(AB29,LauderNew!AB29)</f>
        <v>2.8392812228313531</v>
      </c>
      <c r="AC30" s="56">
        <f>SUM(AC29,LauderNew!AC29)</f>
        <v>3.2688821443831912</v>
      </c>
      <c r="AD30" s="56">
        <f>SUM(AD29,LauderNew!AD29)</f>
        <v>3.1005034065560579</v>
      </c>
      <c r="AE30" s="56">
        <f>SUM(AE29,LauderNew!AE29)</f>
        <v>5.5878451283829342</v>
      </c>
      <c r="AF30" s="56">
        <f>SUM(AF29,LauderNew!AF29)</f>
        <v>5.3972157394461817</v>
      </c>
      <c r="AG30" s="56">
        <f>SUM(AG29,LauderNew!AG29)</f>
        <v>3.8057003463252457</v>
      </c>
      <c r="AH30" s="56">
        <f>SUM(AH29,LauderNew!AH29)</f>
        <v>4.8375665104204586</v>
      </c>
      <c r="AI30" s="56">
        <f>SUM(AI29,LauderNew!AI29)</f>
        <v>2.5251326941080663</v>
      </c>
      <c r="AJ30" s="56">
        <f>SUM(AJ29,LauderNew!AJ29)</f>
        <v>14.003256398360975</v>
      </c>
      <c r="AK30" s="56">
        <f>SUM(AK29,LauderNew!AK29)</f>
        <v>10.616414697697984</v>
      </c>
      <c r="AL30" s="56">
        <f>SUM(AL29,LauderNew!AL29)</f>
        <v>8.5203706812428166</v>
      </c>
      <c r="AM30" s="56">
        <f>SUM(AM29,LauderNew!AM29)</f>
        <v>13.252407075827342</v>
      </c>
      <c r="AN30" s="56">
        <f>SUM(AN29,LauderNew!AN29)</f>
        <v>17.668958545631252</v>
      </c>
      <c r="AO30" s="56">
        <f>SUM(AO29,LauderNew!AO29)</f>
        <v>13.478886328628782</v>
      </c>
      <c r="AP30" s="56">
        <f>SUM(AP29,LauderNew!AP29)</f>
        <v>6.7180556840080747</v>
      </c>
      <c r="AQ30" s="56">
        <f>SUM(AQ29,LauderNew!AQ29)</f>
        <v>17.374532488842739</v>
      </c>
      <c r="AR30" s="56">
        <f>SUM(AR29,LauderNew!AR29)</f>
        <v>3.8994531884379668</v>
      </c>
      <c r="AS30" s="56">
        <f>SUM(AS29,LauderNew!AS29)</f>
        <v>18.786088372357881</v>
      </c>
      <c r="AT30" s="56">
        <f>SUM(AT29,LauderNew!AT29)</f>
        <v>7.7378090868593574</v>
      </c>
      <c r="AU30" s="56">
        <f>SUM(AU29,LauderNew!AU29)</f>
        <v>58.497014474859533</v>
      </c>
      <c r="AV30" s="56">
        <f>SUM(AV29,LauderNew!AV29)</f>
        <v>13.501995841946695</v>
      </c>
      <c r="AW30" s="56">
        <f>SUM(AW29,LauderNew!AW29)</f>
        <v>62.745890239524428</v>
      </c>
      <c r="AX30" s="56">
        <f>SUM(AX29,LauderNew!AX29)</f>
        <v>57.179139215761936</v>
      </c>
      <c r="AY30" s="56">
        <f>SUM(AY29,LauderNew!AY29)</f>
        <v>70.270788123485985</v>
      </c>
      <c r="AZ30" s="56">
        <f>SUM(AZ29,LauderNew!AZ29)</f>
        <v>15.793646787282484</v>
      </c>
      <c r="BA30" s="56">
        <f>SUM(BA29,LauderNew!BA29)</f>
        <v>16.22427573349178</v>
      </c>
      <c r="BB30" s="56">
        <f>SUM(BB29,LauderNew!BB29)</f>
        <v>15.662453450169068</v>
      </c>
      <c r="BC30" s="56">
        <f>SUM(BC29,LauderNew!BC29)</f>
        <v>94.260173351191185</v>
      </c>
      <c r="BD30" s="56">
        <f>SUM(BD29,LauderNew!BD29)</f>
        <v>86.853857433460774</v>
      </c>
    </row>
    <row r="31" spans="3:56" s="6" customFormat="1" x14ac:dyDescent="0.25">
      <c r="C31" s="48"/>
      <c r="D31" s="52" t="s">
        <v>47</v>
      </c>
      <c r="E31" s="56">
        <f t="shared" ref="E31:AJ31" si="48">E147</f>
        <v>34.708970191733755</v>
      </c>
      <c r="F31" s="56">
        <f t="shared" si="48"/>
        <v>31.198869787175425</v>
      </c>
      <c r="G31" s="56">
        <f t="shared" si="48"/>
        <v>32.292970612362552</v>
      </c>
      <c r="H31" s="56">
        <f t="shared" si="48"/>
        <v>18.675007175680491</v>
      </c>
      <c r="I31" s="56">
        <f t="shared" si="48"/>
        <v>19.121552474338699</v>
      </c>
      <c r="J31" s="56">
        <f t="shared" si="48"/>
        <v>37.545710270363784</v>
      </c>
      <c r="K31" s="56">
        <f t="shared" si="48"/>
        <v>11.45080517291187</v>
      </c>
      <c r="L31" s="56">
        <f t="shared" si="48"/>
        <v>22.211582783121457</v>
      </c>
      <c r="M31" s="56">
        <f t="shared" si="48"/>
        <v>18.492608694303385</v>
      </c>
      <c r="N31" s="56">
        <f t="shared" si="48"/>
        <v>11.15617352588032</v>
      </c>
      <c r="O31" s="56">
        <f t="shared" si="48"/>
        <v>0.85037419857633267</v>
      </c>
      <c r="P31" s="56">
        <f t="shared" si="48"/>
        <v>-5.3935376746363204</v>
      </c>
      <c r="Q31" s="56">
        <f t="shared" si="48"/>
        <v>12.485592990667101</v>
      </c>
      <c r="R31" s="56">
        <f t="shared" si="48"/>
        <v>18.127039669659752</v>
      </c>
      <c r="S31" s="56">
        <f t="shared" si="48"/>
        <v>12.639670021526129</v>
      </c>
      <c r="T31" s="56">
        <f t="shared" si="48"/>
        <v>-3.5694891899501897</v>
      </c>
      <c r="U31" s="56">
        <f t="shared" si="48"/>
        <v>7.2366389607338277</v>
      </c>
      <c r="V31" s="56">
        <f t="shared" si="48"/>
        <v>5.4027559294229661</v>
      </c>
      <c r="W31" s="56">
        <f t="shared" si="48"/>
        <v>4.6882719757897178</v>
      </c>
      <c r="X31" s="56">
        <f t="shared" si="48"/>
        <v>5.5768671832146026</v>
      </c>
      <c r="Y31" s="56">
        <f t="shared" si="48"/>
        <v>0.41668574441706596</v>
      </c>
      <c r="Z31" s="56">
        <f t="shared" si="48"/>
        <v>7.3477278430163437</v>
      </c>
      <c r="AA31" s="56">
        <f t="shared" si="48"/>
        <v>-3.0675517466480358</v>
      </c>
      <c r="AB31" s="56">
        <f t="shared" si="48"/>
        <v>-0.35831766670044374</v>
      </c>
      <c r="AC31" s="56">
        <f t="shared" si="48"/>
        <v>2.7991552899014209</v>
      </c>
      <c r="AD31" s="56">
        <f t="shared" si="48"/>
        <v>7.9672144647160792</v>
      </c>
      <c r="AE31" s="56">
        <f t="shared" si="48"/>
        <v>12.836254622475565</v>
      </c>
      <c r="AF31" s="56">
        <f t="shared" si="48"/>
        <v>10.15643401892369</v>
      </c>
      <c r="AG31" s="56">
        <f t="shared" si="48"/>
        <v>15.257945662340717</v>
      </c>
      <c r="AH31" s="56">
        <f t="shared" si="48"/>
        <v>12.586706181152167</v>
      </c>
      <c r="AI31" s="56">
        <f t="shared" si="48"/>
        <v>9.625566125813009</v>
      </c>
      <c r="AJ31" s="56">
        <f t="shared" si="48"/>
        <v>14.037565204333589</v>
      </c>
      <c r="AK31" s="56">
        <f t="shared" ref="AK31:BD31" si="49">AK147</f>
        <v>8.5641002423805759</v>
      </c>
      <c r="AL31" s="56">
        <f t="shared" si="49"/>
        <v>5.6446154769670471</v>
      </c>
      <c r="AM31" s="56">
        <f t="shared" si="49"/>
        <v>4.2054063612949051</v>
      </c>
      <c r="AN31" s="56">
        <f t="shared" si="49"/>
        <v>15.314066379100211</v>
      </c>
      <c r="AO31" s="56">
        <f t="shared" si="49"/>
        <v>10.921152838858504</v>
      </c>
      <c r="AP31" s="56">
        <f t="shared" si="49"/>
        <v>2.6163416366352976</v>
      </c>
      <c r="AQ31" s="56">
        <f t="shared" si="49"/>
        <v>19.777632418914465</v>
      </c>
      <c r="AR31" s="56">
        <f t="shared" si="49"/>
        <v>18.342358345223317</v>
      </c>
      <c r="AS31" s="56">
        <f t="shared" si="49"/>
        <v>31.388120109410721</v>
      </c>
      <c r="AT31" s="56">
        <f t="shared" si="49"/>
        <v>31.55293485937375</v>
      </c>
      <c r="AU31" s="56">
        <f t="shared" si="49"/>
        <v>61.424393444974044</v>
      </c>
      <c r="AV31" s="56">
        <f t="shared" si="49"/>
        <v>66.64927140802186</v>
      </c>
      <c r="AW31" s="56">
        <f t="shared" si="49"/>
        <v>83.385010336573202</v>
      </c>
      <c r="AX31" s="56">
        <f t="shared" si="49"/>
        <v>167.8932677045045</v>
      </c>
      <c r="AY31" s="56">
        <f t="shared" si="49"/>
        <v>63.71286641757581</v>
      </c>
      <c r="AZ31" s="56">
        <f t="shared" si="49"/>
        <v>-24.411097127735729</v>
      </c>
      <c r="BA31" s="56">
        <f t="shared" si="49"/>
        <v>-21.368772546327307</v>
      </c>
      <c r="BB31" s="56">
        <f t="shared" si="49"/>
        <v>-21.244430660018281</v>
      </c>
      <c r="BC31" s="56">
        <f t="shared" si="49"/>
        <v>107.36667132153173</v>
      </c>
      <c r="BD31" s="56">
        <f t="shared" si="49"/>
        <v>113.5729933222525</v>
      </c>
    </row>
    <row r="32" spans="3:56" s="6" customFormat="1" x14ac:dyDescent="0.25">
      <c r="C32" s="48"/>
      <c r="D32" s="53" t="s">
        <v>48</v>
      </c>
      <c r="E32" s="56">
        <f>SUM(E147,LauderNew!E135)</f>
        <v>57.528823147610382</v>
      </c>
      <c r="F32" s="56">
        <f>SUM(F147,LauderNew!F135)</f>
        <v>51.870167553553372</v>
      </c>
      <c r="G32" s="56">
        <f>SUM(G147,LauderNew!G135)</f>
        <v>47.405087652603328</v>
      </c>
      <c r="H32" s="56">
        <f>SUM(H147,LauderNew!H135)</f>
        <v>34.360136023516958</v>
      </c>
      <c r="I32" s="56">
        <f>SUM(I147,LauderNew!I135)</f>
        <v>42.373217561242882</v>
      </c>
      <c r="J32" s="56">
        <f>SUM(J147,LauderNew!J135)</f>
        <v>70.948522910413502</v>
      </c>
      <c r="K32" s="56">
        <f>SUM(K147,LauderNew!K135)</f>
        <v>30.786291383444407</v>
      </c>
      <c r="L32" s="56">
        <f>SUM(L147,LauderNew!L135)</f>
        <v>44.393116378741368</v>
      </c>
      <c r="M32" s="56">
        <f>SUM(M147,LauderNew!M135)</f>
        <v>39.156575532984291</v>
      </c>
      <c r="N32" s="56">
        <f>SUM(N147,LauderNew!N135)</f>
        <v>23.420239571956728</v>
      </c>
      <c r="O32" s="56">
        <f>SUM(O147,LauderNew!O135)</f>
        <v>1.644698709100652</v>
      </c>
      <c r="P32" s="56">
        <f>SUM(P147,LauderNew!P135)</f>
        <v>-0.4015581022959509</v>
      </c>
      <c r="Q32" s="56">
        <f>SUM(Q147,LauderNew!Q135)</f>
        <v>28.580453097759076</v>
      </c>
      <c r="R32" s="56">
        <f>SUM(R147,LauderNew!R135)</f>
        <v>36.895026107012441</v>
      </c>
      <c r="S32" s="56">
        <f>SUM(S147,LauderNew!S135)</f>
        <v>26.474420998803026</v>
      </c>
      <c r="T32" s="56">
        <f>SUM(T147,LauderNew!T135)</f>
        <v>-0.70166806824819616</v>
      </c>
      <c r="U32" s="56">
        <f>SUM(U147,LauderNew!U135)</f>
        <v>14.691587996126742</v>
      </c>
      <c r="V32" s="56">
        <f>SUM(V147,LauderNew!V135)</f>
        <v>6.4552100092546141</v>
      </c>
      <c r="W32" s="56">
        <f>SUM(W147,LauderNew!W135)</f>
        <v>5.6612699654620684</v>
      </c>
      <c r="X32" s="56">
        <f>SUM(X147,LauderNew!X135)</f>
        <v>1.4483206188689763</v>
      </c>
      <c r="Y32" s="56">
        <f>SUM(Y147,LauderNew!Y135)</f>
        <v>1.0559092553095439</v>
      </c>
      <c r="Z32" s="56">
        <f>SUM(Z147,LauderNew!Z135)</f>
        <v>10.235432808473817</v>
      </c>
      <c r="AA32" s="56">
        <f>SUM(AA147,LauderNew!AA135)</f>
        <v>-1.583121017553438</v>
      </c>
      <c r="AB32" s="56">
        <f>SUM(AB147,LauderNew!AB135)</f>
        <v>2.7196779602555097</v>
      </c>
      <c r="AC32" s="56">
        <f>SUM(AC147,LauderNew!AC135)</f>
        <v>6.8796708408412712</v>
      </c>
      <c r="AD32" s="56">
        <f>SUM(AD147,LauderNew!AD135)</f>
        <v>13.949054526181143</v>
      </c>
      <c r="AE32" s="56">
        <f>SUM(AE147,LauderNew!AE135)</f>
        <v>22.449408951385877</v>
      </c>
      <c r="AF32" s="56">
        <f>SUM(AF147,LauderNew!AF135)</f>
        <v>17.246388864777387</v>
      </c>
      <c r="AG32" s="56">
        <f>SUM(AG147,LauderNew!AG135)</f>
        <v>24.868448598097388</v>
      </c>
      <c r="AH32" s="56">
        <f>SUM(AH147,LauderNew!AH135)</f>
        <v>15.530265309480427</v>
      </c>
      <c r="AI32" s="56">
        <f>SUM(AI147,LauderNew!AI135)</f>
        <v>12.375733433041646</v>
      </c>
      <c r="AJ32" s="56">
        <f>SUM(AJ147,LauderNew!AJ135)</f>
        <v>22.764849600829464</v>
      </c>
      <c r="AK32" s="56">
        <f>SUM(AK147,LauderNew!AK135)</f>
        <v>13.358220959485806</v>
      </c>
      <c r="AL32" s="56">
        <f>SUM(AL147,LauderNew!AL135)</f>
        <v>11.280802498365915</v>
      </c>
      <c r="AM32" s="56">
        <f>SUM(AM147,LauderNew!AM135)</f>
        <v>17.080489178166715</v>
      </c>
      <c r="AN32" s="56">
        <f>SUM(AN147,LauderNew!AN135)</f>
        <v>34.355359646948756</v>
      </c>
      <c r="AO32" s="56">
        <f>SUM(AO147,LauderNew!AO135)</f>
        <v>26.807127394962677</v>
      </c>
      <c r="AP32" s="56">
        <f>SUM(AP147,LauderNew!AP135)</f>
        <v>13.426798803194416</v>
      </c>
      <c r="AQ32" s="56">
        <f>SUM(AQ147,LauderNew!AQ135)</f>
        <v>23.088830800742628</v>
      </c>
      <c r="AR32" s="56">
        <f>SUM(AR147,LauderNew!AR135)</f>
        <v>18.615427175180344</v>
      </c>
      <c r="AS32" s="56">
        <f>SUM(AS147,LauderNew!AS135)</f>
        <v>25.793149350299004</v>
      </c>
      <c r="AT32" s="56">
        <f>SUM(AT147,LauderNew!AT135)</f>
        <v>37.418958994981452</v>
      </c>
      <c r="AU32" s="56">
        <f>SUM(AU147,LauderNew!AU135)</f>
        <v>101.01060023027156</v>
      </c>
      <c r="AV32" s="56">
        <f>SUM(AV147,LauderNew!AV135)</f>
        <v>124.60383102022693</v>
      </c>
      <c r="AW32" s="56">
        <f>SUM(AW147,LauderNew!AW135)</f>
        <v>200.23701333201359</v>
      </c>
      <c r="AX32" s="56">
        <f>SUM(AX147,LauderNew!AX135)</f>
        <v>285.28181375796771</v>
      </c>
      <c r="AY32" s="56">
        <f>SUM(AY147,LauderNew!AY135)</f>
        <v>110.43968851138152</v>
      </c>
      <c r="AZ32" s="56">
        <f>SUM(AZ147,LauderNew!AZ135)</f>
        <v>-11.197094750528606</v>
      </c>
      <c r="BA32" s="56">
        <f>SUM(BA147,LauderNew!BA135)</f>
        <v>-5.9525759911824139</v>
      </c>
      <c r="BB32" s="56">
        <f>SUM(BB147,LauderNew!BB135)</f>
        <v>-4.4248524222859373</v>
      </c>
      <c r="BC32" s="56">
        <f>SUM(BC147,LauderNew!BC135)</f>
        <v>202.20513243935471</v>
      </c>
      <c r="BD32" s="56">
        <f>SUM(BD147,LauderNew!BD135)</f>
        <v>205.55763572865382</v>
      </c>
    </row>
    <row r="33" spans="3:56" s="6" customFormat="1" x14ac:dyDescent="0.25">
      <c r="C33" s="48"/>
      <c r="D33" s="49" t="s">
        <v>49</v>
      </c>
      <c r="E33" s="65">
        <f>SUM(E10:E16)</f>
        <v>43</v>
      </c>
      <c r="F33" s="65">
        <f t="shared" ref="F33:BD33" si="50">SUM(F10:F16)</f>
        <v>42.5</v>
      </c>
      <c r="G33" s="65">
        <f t="shared" si="50"/>
        <v>0</v>
      </c>
      <c r="H33" s="65">
        <f t="shared" si="50"/>
        <v>2</v>
      </c>
      <c r="I33" s="65">
        <f t="shared" si="50"/>
        <v>0</v>
      </c>
      <c r="J33" s="65">
        <f t="shared" si="50"/>
        <v>34.375</v>
      </c>
      <c r="K33" s="65">
        <f t="shared" si="50"/>
        <v>10</v>
      </c>
      <c r="L33" s="65">
        <f t="shared" si="50"/>
        <v>0</v>
      </c>
      <c r="M33" s="65">
        <f t="shared" si="50"/>
        <v>0</v>
      </c>
      <c r="N33" s="65">
        <f t="shared" si="50"/>
        <v>5</v>
      </c>
      <c r="O33" s="65">
        <f t="shared" si="50"/>
        <v>6</v>
      </c>
      <c r="P33" s="65">
        <f t="shared" si="50"/>
        <v>0</v>
      </c>
      <c r="Q33" s="65">
        <f t="shared" si="50"/>
        <v>1</v>
      </c>
      <c r="R33" s="65">
        <f t="shared" si="50"/>
        <v>0</v>
      </c>
      <c r="S33" s="65">
        <f t="shared" si="50"/>
        <v>2</v>
      </c>
      <c r="T33" s="65">
        <f t="shared" si="50"/>
        <v>-2</v>
      </c>
      <c r="U33" s="65">
        <f t="shared" si="50"/>
        <v>4</v>
      </c>
      <c r="V33" s="65">
        <f t="shared" si="50"/>
        <v>0</v>
      </c>
      <c r="W33" s="65">
        <f t="shared" si="50"/>
        <v>0</v>
      </c>
      <c r="X33" s="65">
        <f t="shared" si="50"/>
        <v>5</v>
      </c>
      <c r="Y33" s="65">
        <f t="shared" si="50"/>
        <v>0</v>
      </c>
      <c r="Z33" s="65">
        <f t="shared" si="50"/>
        <v>6</v>
      </c>
      <c r="AA33" s="65">
        <f t="shared" si="50"/>
        <v>0</v>
      </c>
      <c r="AB33" s="65">
        <f t="shared" si="50"/>
        <v>0</v>
      </c>
      <c r="AC33" s="65">
        <f t="shared" si="50"/>
        <v>-3</v>
      </c>
      <c r="AD33" s="65">
        <f t="shared" si="50"/>
        <v>0</v>
      </c>
      <c r="AE33" s="65">
        <f t="shared" si="50"/>
        <v>-1</v>
      </c>
      <c r="AF33" s="65">
        <f t="shared" si="50"/>
        <v>0</v>
      </c>
      <c r="AG33" s="65">
        <f t="shared" si="50"/>
        <v>0</v>
      </c>
      <c r="AH33" s="65">
        <f t="shared" si="50"/>
        <v>-6</v>
      </c>
      <c r="AI33" s="65">
        <f t="shared" si="50"/>
        <v>0</v>
      </c>
      <c r="AJ33" s="65">
        <f t="shared" si="50"/>
        <v>0</v>
      </c>
      <c r="AK33" s="65">
        <f t="shared" si="50"/>
        <v>-3</v>
      </c>
      <c r="AL33" s="65">
        <f t="shared" si="50"/>
        <v>0</v>
      </c>
      <c r="AM33" s="65">
        <f t="shared" si="50"/>
        <v>0</v>
      </c>
      <c r="AN33" s="65">
        <f t="shared" si="50"/>
        <v>0</v>
      </c>
      <c r="AO33" s="65">
        <f t="shared" si="50"/>
        <v>0</v>
      </c>
      <c r="AP33" s="65">
        <f t="shared" si="50"/>
        <v>0</v>
      </c>
      <c r="AQ33" s="65">
        <f t="shared" si="50"/>
        <v>0</v>
      </c>
      <c r="AR33" s="65">
        <f t="shared" si="50"/>
        <v>0</v>
      </c>
      <c r="AS33" s="65">
        <f t="shared" si="50"/>
        <v>15</v>
      </c>
      <c r="AT33" s="65">
        <f t="shared" si="50"/>
        <v>0</v>
      </c>
      <c r="AU33" s="65">
        <f t="shared" si="50"/>
        <v>15</v>
      </c>
      <c r="AV33" s="65">
        <f t="shared" si="50"/>
        <v>-5</v>
      </c>
      <c r="AW33" s="65">
        <f t="shared" si="50"/>
        <v>0</v>
      </c>
      <c r="AX33" s="65">
        <f t="shared" si="50"/>
        <v>-14</v>
      </c>
      <c r="AY33" s="65">
        <f t="shared" si="50"/>
        <v>3</v>
      </c>
      <c r="AZ33" s="65">
        <f t="shared" si="50"/>
        <v>-6</v>
      </c>
      <c r="BA33" s="65">
        <f t="shared" si="50"/>
        <v>0</v>
      </c>
      <c r="BB33" s="65">
        <f t="shared" si="50"/>
        <v>0</v>
      </c>
      <c r="BC33" s="65">
        <f t="shared" si="50"/>
        <v>0</v>
      </c>
      <c r="BD33" s="65">
        <f t="shared" si="50"/>
        <v>0</v>
      </c>
    </row>
    <row r="34" spans="3:56" s="6" customFormat="1" x14ac:dyDescent="0.25">
      <c r="C34" s="48"/>
      <c r="D34" s="41"/>
      <c r="E34" s="45"/>
      <c r="F34" s="45"/>
      <c r="G34" s="45"/>
      <c r="H34" s="45"/>
      <c r="I34" s="45"/>
      <c r="J34" s="45"/>
      <c r="K34" s="45"/>
      <c r="L34" s="45"/>
      <c r="M34" s="45"/>
      <c r="U34" s="41"/>
    </row>
    <row r="35" spans="3:56" x14ac:dyDescent="0.25">
      <c r="D35" s="46" t="s">
        <v>20</v>
      </c>
      <c r="E35" s="82">
        <f>E2</f>
        <v>44569</v>
      </c>
      <c r="F35" s="82">
        <f t="shared" ref="F35:BD35" si="51">F2</f>
        <v>44576</v>
      </c>
      <c r="G35" s="82">
        <f t="shared" si="51"/>
        <v>44583</v>
      </c>
      <c r="H35" s="82">
        <f t="shared" si="51"/>
        <v>44590</v>
      </c>
      <c r="I35" s="82">
        <f t="shared" si="51"/>
        <v>44597</v>
      </c>
      <c r="J35" s="82">
        <f t="shared" si="51"/>
        <v>44604</v>
      </c>
      <c r="K35" s="82">
        <f t="shared" si="51"/>
        <v>44611</v>
      </c>
      <c r="L35" s="82">
        <f t="shared" si="51"/>
        <v>44618</v>
      </c>
      <c r="M35" s="82">
        <f t="shared" si="51"/>
        <v>44625</v>
      </c>
      <c r="N35" s="82">
        <f t="shared" si="51"/>
        <v>44632</v>
      </c>
      <c r="O35" s="82">
        <f t="shared" si="51"/>
        <v>44639</v>
      </c>
      <c r="P35" s="82">
        <f t="shared" si="51"/>
        <v>44646</v>
      </c>
      <c r="Q35" s="82">
        <f t="shared" si="51"/>
        <v>44653</v>
      </c>
      <c r="R35" s="82">
        <f t="shared" si="51"/>
        <v>44660</v>
      </c>
      <c r="S35" s="82">
        <f t="shared" si="51"/>
        <v>44667</v>
      </c>
      <c r="T35" s="82">
        <f t="shared" si="51"/>
        <v>44674</v>
      </c>
      <c r="U35" s="82">
        <f t="shared" si="51"/>
        <v>44681</v>
      </c>
      <c r="V35" s="82">
        <f t="shared" si="51"/>
        <v>44688</v>
      </c>
      <c r="W35" s="82">
        <f t="shared" si="51"/>
        <v>44695</v>
      </c>
      <c r="X35" s="82">
        <f t="shared" si="51"/>
        <v>44702</v>
      </c>
      <c r="Y35" s="82">
        <f t="shared" si="51"/>
        <v>44709</v>
      </c>
      <c r="Z35" s="82">
        <f t="shared" si="51"/>
        <v>44716</v>
      </c>
      <c r="AA35" s="82">
        <f t="shared" si="51"/>
        <v>44723</v>
      </c>
      <c r="AB35" s="82">
        <f t="shared" si="51"/>
        <v>44730</v>
      </c>
      <c r="AC35" s="82">
        <f t="shared" si="51"/>
        <v>44737</v>
      </c>
      <c r="AD35" s="82">
        <f t="shared" si="51"/>
        <v>44744</v>
      </c>
      <c r="AE35" s="82">
        <f t="shared" si="51"/>
        <v>44751</v>
      </c>
      <c r="AF35" s="82">
        <f t="shared" si="51"/>
        <v>44758</v>
      </c>
      <c r="AG35" s="82">
        <f t="shared" si="51"/>
        <v>44765</v>
      </c>
      <c r="AH35" s="82">
        <f t="shared" si="51"/>
        <v>44772</v>
      </c>
      <c r="AI35" s="82">
        <f t="shared" si="51"/>
        <v>44779</v>
      </c>
      <c r="AJ35" s="82">
        <f t="shared" si="51"/>
        <v>44786</v>
      </c>
      <c r="AK35" s="82">
        <f t="shared" si="51"/>
        <v>44793</v>
      </c>
      <c r="AL35" s="82">
        <f t="shared" si="51"/>
        <v>44800</v>
      </c>
      <c r="AM35" s="82">
        <f t="shared" si="51"/>
        <v>44807</v>
      </c>
      <c r="AN35" s="82">
        <f t="shared" si="51"/>
        <v>44814</v>
      </c>
      <c r="AO35" s="82">
        <f t="shared" si="51"/>
        <v>44821</v>
      </c>
      <c r="AP35" s="82">
        <f t="shared" si="51"/>
        <v>44828</v>
      </c>
      <c r="AQ35" s="82">
        <f t="shared" si="51"/>
        <v>44835</v>
      </c>
      <c r="AR35" s="82">
        <f t="shared" si="51"/>
        <v>44842</v>
      </c>
      <c r="AS35" s="82">
        <f t="shared" si="51"/>
        <v>44849</v>
      </c>
      <c r="AT35" s="82">
        <f t="shared" si="51"/>
        <v>44856</v>
      </c>
      <c r="AU35" s="82">
        <f t="shared" si="51"/>
        <v>44863</v>
      </c>
      <c r="AV35" s="82">
        <f t="shared" si="51"/>
        <v>44870</v>
      </c>
      <c r="AW35" s="82">
        <f t="shared" si="51"/>
        <v>44877</v>
      </c>
      <c r="AX35" s="82">
        <f t="shared" si="51"/>
        <v>44884</v>
      </c>
      <c r="AY35" s="82">
        <f t="shared" si="51"/>
        <v>44891</v>
      </c>
      <c r="AZ35" s="82">
        <f t="shared" si="51"/>
        <v>44898</v>
      </c>
      <c r="BA35" s="82">
        <f t="shared" si="51"/>
        <v>44905</v>
      </c>
      <c r="BB35" s="82">
        <f t="shared" si="51"/>
        <v>44912</v>
      </c>
      <c r="BC35" s="82">
        <f t="shared" si="51"/>
        <v>44919</v>
      </c>
      <c r="BD35" s="82">
        <f t="shared" si="51"/>
        <v>44926</v>
      </c>
    </row>
    <row r="36" spans="3:56" x14ac:dyDescent="0.25">
      <c r="C36" s="107" t="s">
        <v>20</v>
      </c>
      <c r="D36" s="41" t="s">
        <v>21</v>
      </c>
      <c r="E36" s="70">
        <v>4417.7809964268517</v>
      </c>
      <c r="F36" s="70">
        <v>3374.3614328070748</v>
      </c>
      <c r="G36" s="70">
        <v>2779.7</v>
      </c>
      <c r="H36" s="70">
        <v>2635.2999999999997</v>
      </c>
      <c r="I36" s="70">
        <v>2556.4499999999998</v>
      </c>
      <c r="J36" s="70">
        <v>2196.6280000000002</v>
      </c>
      <c r="K36" s="70">
        <v>1892.8560000000002</v>
      </c>
      <c r="L36" s="70">
        <v>1852.424</v>
      </c>
      <c r="M36" s="70">
        <v>1903.4960000000001</v>
      </c>
      <c r="N36" s="70">
        <v>2057.2439999999997</v>
      </c>
      <c r="O36" s="70">
        <v>2367.4000000000005</v>
      </c>
      <c r="P36" s="70">
        <v>2368.9960000000001</v>
      </c>
      <c r="Q36" s="70">
        <v>1901.3680000000002</v>
      </c>
      <c r="R36" s="70">
        <v>1800.82</v>
      </c>
      <c r="S36" s="70">
        <v>1803.48</v>
      </c>
      <c r="T36" s="70">
        <v>2293.6381999999999</v>
      </c>
      <c r="U36" s="70">
        <v>2016.0000000000002</v>
      </c>
      <c r="V36" s="70">
        <v>2196.3856008499997</v>
      </c>
      <c r="W36" s="70">
        <v>1895.5160000000001</v>
      </c>
      <c r="X36" s="70">
        <v>1860.9359999999999</v>
      </c>
      <c r="Y36" s="70">
        <v>1845.1356000000001</v>
      </c>
      <c r="Z36" s="70">
        <v>1562.4840000000002</v>
      </c>
      <c r="AA36" s="70">
        <v>1935.9480000000001</v>
      </c>
      <c r="AB36" s="70">
        <v>1826.8880000000001</v>
      </c>
      <c r="AC36" s="70">
        <v>1726.8720000000001</v>
      </c>
      <c r="AD36" s="70">
        <v>1488.5360000000001</v>
      </c>
      <c r="AE36" s="70">
        <v>1298.08</v>
      </c>
      <c r="AF36" s="70">
        <v>1452.8920000000001</v>
      </c>
      <c r="AG36" s="70">
        <v>1304.9960000000001</v>
      </c>
      <c r="AH36" s="70">
        <v>1553.44</v>
      </c>
      <c r="AI36" s="70">
        <v>1603.98</v>
      </c>
      <c r="AJ36" s="70">
        <v>1804.0120000000002</v>
      </c>
      <c r="AK36" s="70">
        <v>1884.3440000000001</v>
      </c>
      <c r="AL36" s="70">
        <v>1863.5960000000002</v>
      </c>
      <c r="AM36" s="70">
        <v>1697.2971146828329</v>
      </c>
      <c r="AN36" s="70">
        <v>1501.5045050008723</v>
      </c>
      <c r="AO36" s="70">
        <v>1528.6630656261959</v>
      </c>
      <c r="AP36" s="70">
        <v>1602.0579956904617</v>
      </c>
      <c r="AQ36" s="70">
        <v>1743.0240508761235</v>
      </c>
      <c r="AR36" s="70">
        <v>1622.9386653557413</v>
      </c>
      <c r="AS36" s="70">
        <v>1713.6241169369378</v>
      </c>
      <c r="AT36" s="70">
        <v>1766.5385393918596</v>
      </c>
      <c r="AU36" s="70">
        <v>1872.6026289055658</v>
      </c>
      <c r="AV36" s="70">
        <v>2166.3447237767487</v>
      </c>
      <c r="AW36" s="70">
        <v>2316.1733671460465</v>
      </c>
      <c r="AX36" s="70">
        <v>2271.358720640405</v>
      </c>
      <c r="AY36" s="70">
        <v>5408.6408868478393</v>
      </c>
      <c r="AZ36" s="70">
        <v>7550.1893477880913</v>
      </c>
      <c r="BA36" s="70">
        <v>6555.0089872688932</v>
      </c>
      <c r="BB36" s="70">
        <v>5449.4886035983209</v>
      </c>
      <c r="BC36" s="70">
        <v>3071.0497734171299</v>
      </c>
      <c r="BD36" s="70">
        <v>2763.1900672575339</v>
      </c>
    </row>
    <row r="37" spans="3:56" x14ac:dyDescent="0.25">
      <c r="C37" s="108"/>
      <c r="D37" s="41" t="s">
        <v>22</v>
      </c>
      <c r="E37" s="70">
        <v>485</v>
      </c>
      <c r="F37" s="70">
        <v>485</v>
      </c>
      <c r="G37" s="70">
        <v>485</v>
      </c>
      <c r="H37" s="70">
        <v>470</v>
      </c>
      <c r="I37" s="70">
        <v>470</v>
      </c>
      <c r="J37" s="70">
        <v>470</v>
      </c>
      <c r="K37" s="70">
        <v>450</v>
      </c>
      <c r="L37" s="70">
        <v>450</v>
      </c>
      <c r="M37" s="70">
        <v>450</v>
      </c>
      <c r="N37" s="70">
        <v>425</v>
      </c>
      <c r="O37" s="70">
        <v>425</v>
      </c>
      <c r="P37" s="70">
        <v>425</v>
      </c>
      <c r="Q37" s="70">
        <v>425</v>
      </c>
      <c r="R37" s="70">
        <v>425</v>
      </c>
      <c r="S37" s="70">
        <v>425</v>
      </c>
      <c r="T37" s="70">
        <v>425</v>
      </c>
      <c r="U37" s="70">
        <v>425</v>
      </c>
      <c r="V37" s="70">
        <v>425</v>
      </c>
      <c r="W37" s="70">
        <v>425</v>
      </c>
      <c r="X37" s="70">
        <v>425</v>
      </c>
      <c r="Y37" s="70">
        <v>425</v>
      </c>
      <c r="Z37" s="70">
        <v>425</v>
      </c>
      <c r="AA37" s="70">
        <v>425</v>
      </c>
      <c r="AB37" s="70">
        <v>425</v>
      </c>
      <c r="AC37" s="70">
        <v>425</v>
      </c>
      <c r="AD37" s="70">
        <v>425</v>
      </c>
      <c r="AE37" s="70">
        <v>425</v>
      </c>
      <c r="AF37" s="70">
        <v>425</v>
      </c>
      <c r="AG37" s="70">
        <v>425</v>
      </c>
      <c r="AH37" s="70">
        <v>425</v>
      </c>
      <c r="AI37" s="70">
        <v>425</v>
      </c>
      <c r="AJ37" s="70">
        <v>425</v>
      </c>
      <c r="AK37" s="70">
        <v>425</v>
      </c>
      <c r="AL37" s="70">
        <v>425</v>
      </c>
      <c r="AM37" s="70">
        <v>425</v>
      </c>
      <c r="AN37" s="70">
        <v>425</v>
      </c>
      <c r="AO37" s="70">
        <v>425</v>
      </c>
      <c r="AP37" s="70">
        <v>425</v>
      </c>
      <c r="AQ37" s="70">
        <v>425</v>
      </c>
      <c r="AR37" s="70">
        <v>425</v>
      </c>
      <c r="AS37" s="70">
        <v>425</v>
      </c>
      <c r="AT37" s="70">
        <v>425</v>
      </c>
      <c r="AU37" s="70">
        <v>425</v>
      </c>
      <c r="AV37" s="70">
        <v>475</v>
      </c>
      <c r="AW37" s="70">
        <v>475</v>
      </c>
      <c r="AX37" s="70">
        <v>475</v>
      </c>
      <c r="AY37" s="70">
        <v>475</v>
      </c>
      <c r="AZ37" s="70">
        <v>475</v>
      </c>
      <c r="BA37" s="70">
        <v>475</v>
      </c>
      <c r="BB37" s="70">
        <v>475</v>
      </c>
      <c r="BC37" s="70">
        <v>475</v>
      </c>
      <c r="BD37" s="70">
        <v>475</v>
      </c>
    </row>
    <row r="38" spans="3:56" x14ac:dyDescent="0.25">
      <c r="C38" s="108"/>
      <c r="D38" s="41" t="s">
        <v>30</v>
      </c>
      <c r="E38" s="68">
        <v>0.95</v>
      </c>
      <c r="F38" s="68">
        <v>0.95</v>
      </c>
      <c r="G38" s="68">
        <v>0.95</v>
      </c>
      <c r="H38" s="68">
        <v>0.95</v>
      </c>
      <c r="I38" s="68">
        <v>0.95</v>
      </c>
      <c r="J38" s="68">
        <v>0.95</v>
      </c>
      <c r="K38" s="68">
        <v>0.95</v>
      </c>
      <c r="L38" s="68">
        <v>0.95</v>
      </c>
      <c r="M38" s="68">
        <v>0.95</v>
      </c>
      <c r="N38" s="68">
        <v>0.95</v>
      </c>
      <c r="O38" s="68">
        <v>0.95</v>
      </c>
      <c r="P38" s="68">
        <v>0.95</v>
      </c>
      <c r="Q38" s="68">
        <v>0.95</v>
      </c>
      <c r="R38" s="68">
        <v>0.95</v>
      </c>
      <c r="S38" s="68">
        <v>0.95</v>
      </c>
      <c r="T38" s="68">
        <v>0.95</v>
      </c>
      <c r="U38" s="68">
        <v>0.95</v>
      </c>
      <c r="V38" s="68">
        <v>0.95</v>
      </c>
      <c r="W38" s="68">
        <v>0.95</v>
      </c>
      <c r="X38" s="68">
        <v>0.95</v>
      </c>
      <c r="Y38" s="68">
        <v>0.95</v>
      </c>
      <c r="Z38" s="68">
        <v>0.95</v>
      </c>
      <c r="AA38" s="68">
        <v>0.95</v>
      </c>
      <c r="AB38" s="68">
        <v>0.95</v>
      </c>
      <c r="AC38" s="68">
        <v>0.95</v>
      </c>
      <c r="AD38" s="68">
        <v>0.95</v>
      </c>
      <c r="AE38" s="68">
        <v>0.95</v>
      </c>
      <c r="AF38" s="68">
        <v>0.95</v>
      </c>
      <c r="AG38" s="68">
        <v>0.95</v>
      </c>
      <c r="AH38" s="68">
        <v>0.95</v>
      </c>
      <c r="AI38" s="68">
        <v>0.95</v>
      </c>
      <c r="AJ38" s="68">
        <v>0.95</v>
      </c>
      <c r="AK38" s="68">
        <v>0.95</v>
      </c>
      <c r="AL38" s="68">
        <v>0.95</v>
      </c>
      <c r="AM38" s="68">
        <v>0.95</v>
      </c>
      <c r="AN38" s="68">
        <v>0.95</v>
      </c>
      <c r="AO38" s="68">
        <v>0.95</v>
      </c>
      <c r="AP38" s="68">
        <v>0.95</v>
      </c>
      <c r="AQ38" s="68">
        <v>0.95</v>
      </c>
      <c r="AR38" s="68">
        <v>0.95</v>
      </c>
      <c r="AS38" s="68">
        <v>0.95</v>
      </c>
      <c r="AT38" s="68">
        <v>0.95</v>
      </c>
      <c r="AU38" s="68">
        <v>0.95</v>
      </c>
      <c r="AV38" s="68">
        <v>0.95</v>
      </c>
      <c r="AW38" s="68">
        <v>0.95</v>
      </c>
      <c r="AX38" s="68">
        <v>0.95</v>
      </c>
      <c r="AY38" s="68">
        <v>0.95</v>
      </c>
      <c r="AZ38" s="68">
        <v>0.95</v>
      </c>
      <c r="BA38" s="68">
        <v>0.95</v>
      </c>
      <c r="BB38" s="68">
        <v>0.95</v>
      </c>
      <c r="BC38" s="68">
        <v>0.95</v>
      </c>
      <c r="BD38" s="68">
        <v>0.95</v>
      </c>
    </row>
    <row r="39" spans="3:56" x14ac:dyDescent="0.25">
      <c r="C39" s="108"/>
      <c r="D39" s="41" t="s">
        <v>31</v>
      </c>
      <c r="E39" s="94">
        <v>0.22</v>
      </c>
      <c r="F39" s="94">
        <v>0.22</v>
      </c>
      <c r="G39" s="94">
        <v>0.22</v>
      </c>
      <c r="H39" s="94">
        <v>0.22</v>
      </c>
      <c r="I39" s="94">
        <v>0.22</v>
      </c>
      <c r="J39" s="94">
        <v>0.22</v>
      </c>
      <c r="K39" s="94">
        <v>0.22</v>
      </c>
      <c r="L39" s="94">
        <v>0.22</v>
      </c>
      <c r="M39" s="94">
        <v>0.22</v>
      </c>
      <c r="N39" s="94">
        <v>0.22</v>
      </c>
      <c r="O39" s="94">
        <v>0.22</v>
      </c>
      <c r="P39" s="94">
        <v>0.22</v>
      </c>
      <c r="Q39" s="94">
        <v>0.23249999999999998</v>
      </c>
      <c r="R39" s="94">
        <v>0.21</v>
      </c>
      <c r="S39" s="94">
        <v>0.21</v>
      </c>
      <c r="T39" s="94">
        <v>0.21</v>
      </c>
      <c r="U39" s="94">
        <v>0.21</v>
      </c>
      <c r="V39" s="94">
        <v>0.21</v>
      </c>
      <c r="W39" s="94">
        <v>0.21</v>
      </c>
      <c r="X39" s="94">
        <v>0.23</v>
      </c>
      <c r="Y39" s="94">
        <v>0.23</v>
      </c>
      <c r="Z39" s="94">
        <v>0.23</v>
      </c>
      <c r="AA39" s="94">
        <v>0.23</v>
      </c>
      <c r="AB39" s="94">
        <v>0.23</v>
      </c>
      <c r="AC39" s="94">
        <v>0.23</v>
      </c>
      <c r="AD39" s="94">
        <v>0.21</v>
      </c>
      <c r="AE39" s="94">
        <v>0.19</v>
      </c>
      <c r="AF39" s="94">
        <v>0.19</v>
      </c>
      <c r="AG39" s="94">
        <v>0.19</v>
      </c>
      <c r="AH39" s="94">
        <v>0.19</v>
      </c>
      <c r="AI39" s="94">
        <v>0.19</v>
      </c>
      <c r="AJ39" s="94">
        <v>0.19</v>
      </c>
      <c r="AK39" s="94">
        <v>0.19</v>
      </c>
      <c r="AL39" s="94">
        <v>0.19</v>
      </c>
      <c r="AM39" s="94">
        <v>0.19</v>
      </c>
      <c r="AN39" s="94">
        <v>0.19</v>
      </c>
      <c r="AO39" s="94">
        <v>0.19</v>
      </c>
      <c r="AP39" s="94">
        <v>0.19</v>
      </c>
      <c r="AQ39" s="94">
        <v>0.19</v>
      </c>
      <c r="AR39" s="94">
        <v>0.21</v>
      </c>
      <c r="AS39" s="94">
        <v>0.21</v>
      </c>
      <c r="AT39" s="94">
        <v>0.21</v>
      </c>
      <c r="AU39" s="94">
        <v>0.21</v>
      </c>
      <c r="AV39" s="94">
        <v>0.21</v>
      </c>
      <c r="AW39" s="94">
        <v>0.21</v>
      </c>
      <c r="AX39" s="94">
        <v>0.21</v>
      </c>
      <c r="AY39" s="94">
        <v>0.21</v>
      </c>
      <c r="AZ39" s="94">
        <v>0.21</v>
      </c>
      <c r="BA39" s="94">
        <v>0.21</v>
      </c>
      <c r="BB39" s="94">
        <v>0.21</v>
      </c>
      <c r="BC39" s="94">
        <v>0.21</v>
      </c>
      <c r="BD39" s="94">
        <v>0.21</v>
      </c>
    </row>
    <row r="40" spans="3:56" s="6" customFormat="1" x14ac:dyDescent="0.25">
      <c r="C40" s="108"/>
      <c r="D40" s="41" t="s">
        <v>33</v>
      </c>
      <c r="E40" s="83">
        <f>(E36*E37)/3600/40/E38/(1-E39)</f>
        <v>20.080069943648063</v>
      </c>
      <c r="F40" s="83">
        <f t="shared" ref="F40" si="52">(F36*F37)/3600/40/F38/(1-F39)</f>
        <v>15.337431538756103</v>
      </c>
      <c r="G40" s="83">
        <f t="shared" ref="G40" si="53">(G36*G37)/3600/40/G38/(1-G39)</f>
        <v>12.634526353276351</v>
      </c>
      <c r="H40" s="83">
        <f t="shared" ref="H40" si="54">(H36*H37)/3600/40/H38/(1-H39)</f>
        <v>11.607727920227918</v>
      </c>
      <c r="I40" s="83">
        <f t="shared" ref="I40" si="55">(I36*I37)/3600/40/I38/(1-I39)</f>
        <v>11.260416666666666</v>
      </c>
      <c r="J40" s="83">
        <f t="shared" ref="J40" si="56">(J36*J37)/3600/40/J38/(1-J39)</f>
        <v>9.6755056980056988</v>
      </c>
      <c r="K40" s="83">
        <f t="shared" ref="K40" si="57">(K36*K37)/3600/40/K38/(1-K39)</f>
        <v>7.9826923076923082</v>
      </c>
      <c r="L40" s="83">
        <f t="shared" ref="L40:BD40" si="58">(L36*L37)/3600/40/L38/(1-L39)</f>
        <v>7.8121794871794892</v>
      </c>
      <c r="M40" s="83">
        <f t="shared" si="58"/>
        <v>8.0275641025641029</v>
      </c>
      <c r="N40" s="84">
        <f t="shared" si="58"/>
        <v>8.1939636752136735</v>
      </c>
      <c r="O40" s="83">
        <f t="shared" si="58"/>
        <v>9.4293091168091188</v>
      </c>
      <c r="P40" s="83">
        <f t="shared" si="58"/>
        <v>9.4356659544159545</v>
      </c>
      <c r="Q40" s="83">
        <f t="shared" si="58"/>
        <v>7.696453130655085</v>
      </c>
      <c r="R40" s="83">
        <f t="shared" si="58"/>
        <v>7.0818389592123774</v>
      </c>
      <c r="S40" s="83">
        <f t="shared" si="58"/>
        <v>7.0922995780590723</v>
      </c>
      <c r="T40" s="83">
        <f t="shared" si="58"/>
        <v>9.019877812939523</v>
      </c>
      <c r="U40" s="83">
        <f t="shared" si="58"/>
        <v>7.9280479680213203</v>
      </c>
      <c r="V40" s="83">
        <f t="shared" si="58"/>
        <v>8.6374257935566092</v>
      </c>
      <c r="W40" s="83">
        <f t="shared" si="58"/>
        <v>7.4542369901547127</v>
      </c>
      <c r="X40" s="83">
        <f t="shared" si="58"/>
        <v>7.5083333333333337</v>
      </c>
      <c r="Y40" s="83">
        <f t="shared" si="58"/>
        <v>7.444583333333334</v>
      </c>
      <c r="Z40" s="83">
        <f t="shared" si="58"/>
        <v>6.3041666666666671</v>
      </c>
      <c r="AA40" s="83">
        <f t="shared" si="58"/>
        <v>7.8109848484848499</v>
      </c>
      <c r="AB40" s="83">
        <f t="shared" si="58"/>
        <v>7.3709595959595955</v>
      </c>
      <c r="AC40" s="83">
        <f t="shared" si="58"/>
        <v>6.967424242424241</v>
      </c>
      <c r="AD40" s="83">
        <f t="shared" si="58"/>
        <v>5.8537623066104079</v>
      </c>
      <c r="AE40" s="83">
        <f t="shared" si="58"/>
        <v>4.9787379972565162</v>
      </c>
      <c r="AF40" s="83">
        <f t="shared" si="58"/>
        <v>5.5725137174211241</v>
      </c>
      <c r="AG40" s="83">
        <f t="shared" si="58"/>
        <v>5.0052640603566534</v>
      </c>
      <c r="AH40" s="83">
        <f t="shared" si="58"/>
        <v>5.9581618655692727</v>
      </c>
      <c r="AI40" s="83">
        <f t="shared" si="58"/>
        <v>6.1520061728395063</v>
      </c>
      <c r="AJ40" s="83">
        <f t="shared" si="58"/>
        <v>6.9192215363511664</v>
      </c>
      <c r="AK40" s="83">
        <f t="shared" si="58"/>
        <v>7.2273319615912213</v>
      </c>
      <c r="AL40" s="83">
        <f t="shared" si="58"/>
        <v>7.1477537722908098</v>
      </c>
      <c r="AM40" s="83">
        <f t="shared" si="58"/>
        <v>6.5099205268591067</v>
      </c>
      <c r="AN40" s="83">
        <f t="shared" si="58"/>
        <v>5.7589651886630095</v>
      </c>
      <c r="AO40" s="83">
        <f t="shared" si="58"/>
        <v>5.8631308469707353</v>
      </c>
      <c r="AP40" s="83">
        <f t="shared" si="58"/>
        <v>6.1446343961487102</v>
      </c>
      <c r="AQ40" s="83">
        <f t="shared" si="58"/>
        <v>6.685304505291608</v>
      </c>
      <c r="AR40" s="83">
        <f t="shared" si="58"/>
        <v>6.3823093194924683</v>
      </c>
      <c r="AS40" s="83">
        <f t="shared" si="58"/>
        <v>6.7389356142034806</v>
      </c>
      <c r="AT40" s="83">
        <f t="shared" si="58"/>
        <v>6.9470249393139802</v>
      </c>
      <c r="AU40" s="83">
        <f t="shared" si="58"/>
        <v>7.3641287038720993</v>
      </c>
      <c r="AV40" s="83">
        <f t="shared" si="58"/>
        <v>9.521557330242393</v>
      </c>
      <c r="AW40" s="83">
        <f t="shared" si="58"/>
        <v>10.18008688091617</v>
      </c>
      <c r="AX40" s="83">
        <f t="shared" si="58"/>
        <v>9.9831167398048741</v>
      </c>
      <c r="AY40" s="83">
        <f t="shared" si="58"/>
        <v>23.772155796623764</v>
      </c>
      <c r="AZ40" s="83">
        <f t="shared" si="58"/>
        <v>33.184728146044705</v>
      </c>
      <c r="BA40" s="83">
        <f t="shared" si="58"/>
        <v>28.810693509444846</v>
      </c>
      <c r="BB40" s="83">
        <f t="shared" si="58"/>
        <v>23.951690416659286</v>
      </c>
      <c r="BC40" s="83">
        <f t="shared" si="58"/>
        <v>13.497933251657567</v>
      </c>
      <c r="BD40" s="83">
        <f t="shared" si="58"/>
        <v>12.144822728804211</v>
      </c>
    </row>
    <row r="41" spans="3:56" s="6" customFormat="1" x14ac:dyDescent="0.25">
      <c r="C41" s="108"/>
      <c r="D41" s="41"/>
      <c r="E41" s="45"/>
      <c r="F41" s="45"/>
      <c r="G41" s="45"/>
      <c r="H41" s="45"/>
      <c r="I41" s="45"/>
      <c r="J41" s="45"/>
      <c r="K41" s="45"/>
      <c r="L41" s="45"/>
      <c r="M41" s="45"/>
      <c r="U41" s="41"/>
    </row>
    <row r="42" spans="3:56" s="6" customFormat="1" x14ac:dyDescent="0.25">
      <c r="C42" s="108"/>
      <c r="D42" s="59" t="s">
        <v>34</v>
      </c>
      <c r="E42" s="65">
        <v>0</v>
      </c>
      <c r="F42" s="65">
        <v>0</v>
      </c>
      <c r="G42" s="65">
        <v>0</v>
      </c>
      <c r="H42" s="65">
        <v>0</v>
      </c>
      <c r="I42" s="65">
        <v>0</v>
      </c>
      <c r="J42" s="65">
        <v>0</v>
      </c>
      <c r="K42" s="65">
        <v>0</v>
      </c>
      <c r="L42" s="65">
        <v>0</v>
      </c>
      <c r="M42" s="65">
        <v>0</v>
      </c>
      <c r="N42" s="65">
        <v>0</v>
      </c>
      <c r="O42" s="65">
        <v>0</v>
      </c>
      <c r="P42" s="65">
        <v>0</v>
      </c>
      <c r="Q42" s="65">
        <v>0</v>
      </c>
      <c r="R42" s="65">
        <v>0</v>
      </c>
      <c r="S42" s="65">
        <v>0</v>
      </c>
      <c r="T42" s="65">
        <v>0</v>
      </c>
      <c r="U42" s="65">
        <v>0</v>
      </c>
      <c r="V42" s="65">
        <v>0</v>
      </c>
      <c r="W42" s="65">
        <v>0</v>
      </c>
      <c r="X42" s="65">
        <v>0</v>
      </c>
      <c r="Y42" s="65">
        <v>0</v>
      </c>
      <c r="Z42" s="65">
        <v>0</v>
      </c>
      <c r="AA42" s="65">
        <v>0</v>
      </c>
      <c r="AB42" s="65">
        <v>0</v>
      </c>
      <c r="AC42" s="65">
        <v>0</v>
      </c>
      <c r="AD42" s="65">
        <v>0</v>
      </c>
      <c r="AE42" s="65">
        <v>0</v>
      </c>
      <c r="AF42" s="65">
        <v>0</v>
      </c>
      <c r="AG42" s="65">
        <v>0</v>
      </c>
      <c r="AH42" s="65">
        <v>0</v>
      </c>
      <c r="AI42" s="65">
        <v>0</v>
      </c>
      <c r="AJ42" s="65">
        <v>0</v>
      </c>
      <c r="AK42" s="65">
        <v>0</v>
      </c>
      <c r="AL42" s="65">
        <v>0</v>
      </c>
      <c r="AM42" s="65">
        <v>0</v>
      </c>
      <c r="AN42" s="65">
        <v>0</v>
      </c>
      <c r="AO42" s="65">
        <v>0</v>
      </c>
      <c r="AP42" s="65">
        <v>0</v>
      </c>
      <c r="AQ42" s="65">
        <v>0</v>
      </c>
      <c r="AR42" s="65">
        <v>0</v>
      </c>
      <c r="AS42" s="65">
        <v>0</v>
      </c>
      <c r="AT42" s="65">
        <v>0</v>
      </c>
      <c r="AU42" s="65">
        <v>0</v>
      </c>
      <c r="AV42" s="65">
        <v>0</v>
      </c>
      <c r="AW42" s="65">
        <v>0</v>
      </c>
      <c r="AX42" s="65">
        <v>0</v>
      </c>
      <c r="AY42" s="65">
        <v>0</v>
      </c>
      <c r="AZ42" s="65">
        <v>0</v>
      </c>
      <c r="BA42" s="65">
        <v>0</v>
      </c>
      <c r="BB42" s="65">
        <v>0</v>
      </c>
      <c r="BC42" s="65">
        <v>0</v>
      </c>
      <c r="BD42" s="65">
        <v>0</v>
      </c>
    </row>
    <row r="43" spans="3:56" s="6" customFormat="1" x14ac:dyDescent="0.25">
      <c r="C43" s="108"/>
      <c r="D43" s="59" t="s">
        <v>35</v>
      </c>
      <c r="E43" s="65">
        <v>0</v>
      </c>
      <c r="F43" s="65">
        <v>0</v>
      </c>
      <c r="G43" s="65">
        <v>0</v>
      </c>
      <c r="H43" s="65">
        <v>0</v>
      </c>
      <c r="I43" s="65">
        <v>0</v>
      </c>
      <c r="J43" s="65">
        <v>0</v>
      </c>
      <c r="K43" s="65">
        <v>0</v>
      </c>
      <c r="L43" s="65">
        <v>0</v>
      </c>
      <c r="M43" s="65">
        <v>0</v>
      </c>
      <c r="N43" s="65">
        <v>0</v>
      </c>
      <c r="O43" s="65">
        <v>0</v>
      </c>
      <c r="P43" s="65">
        <v>0</v>
      </c>
      <c r="Q43" s="65">
        <v>0</v>
      </c>
      <c r="R43" s="65">
        <v>0</v>
      </c>
      <c r="S43" s="65">
        <v>0</v>
      </c>
      <c r="T43" s="65">
        <v>0</v>
      </c>
      <c r="U43" s="65">
        <v>0</v>
      </c>
      <c r="V43" s="65">
        <v>0</v>
      </c>
      <c r="W43" s="65">
        <v>0</v>
      </c>
      <c r="X43" s="65">
        <v>0</v>
      </c>
      <c r="Y43" s="65">
        <v>0</v>
      </c>
      <c r="Z43" s="65">
        <v>0</v>
      </c>
      <c r="AA43" s="65">
        <v>0</v>
      </c>
      <c r="AB43" s="65">
        <v>0</v>
      </c>
      <c r="AC43" s="65">
        <v>0</v>
      </c>
      <c r="AD43" s="65">
        <v>0</v>
      </c>
      <c r="AE43" s="65">
        <v>0</v>
      </c>
      <c r="AF43" s="65">
        <v>0</v>
      </c>
      <c r="AG43" s="65">
        <v>0</v>
      </c>
      <c r="AH43" s="65">
        <v>0</v>
      </c>
      <c r="AI43" s="65">
        <v>0</v>
      </c>
      <c r="AJ43" s="65">
        <v>0</v>
      </c>
      <c r="AK43" s="65">
        <v>0</v>
      </c>
      <c r="AL43" s="65">
        <v>0</v>
      </c>
      <c r="AM43" s="65">
        <v>0</v>
      </c>
      <c r="AN43" s="65">
        <v>0</v>
      </c>
      <c r="AO43" s="65">
        <v>0</v>
      </c>
      <c r="AP43" s="65">
        <v>0</v>
      </c>
      <c r="AQ43" s="65">
        <v>0</v>
      </c>
      <c r="AR43" s="65">
        <v>0</v>
      </c>
      <c r="AS43" s="65">
        <v>0</v>
      </c>
      <c r="AT43" s="65">
        <v>0</v>
      </c>
      <c r="AU43" s="65">
        <v>0</v>
      </c>
      <c r="AV43" s="65">
        <v>0</v>
      </c>
      <c r="AW43" s="65">
        <v>0</v>
      </c>
      <c r="AX43" s="65">
        <v>0</v>
      </c>
      <c r="AY43" s="65">
        <v>0</v>
      </c>
      <c r="AZ43" s="65">
        <v>0</v>
      </c>
      <c r="BA43" s="65">
        <v>0</v>
      </c>
      <c r="BB43" s="65">
        <v>0</v>
      </c>
      <c r="BC43" s="65">
        <v>0</v>
      </c>
      <c r="BD43" s="65">
        <v>0</v>
      </c>
    </row>
    <row r="44" spans="3:56" s="6" customFormat="1" x14ac:dyDescent="0.25">
      <c r="C44" s="108"/>
      <c r="D44" s="59" t="s">
        <v>36</v>
      </c>
      <c r="E44" s="65">
        <v>0</v>
      </c>
      <c r="F44" s="65">
        <v>0</v>
      </c>
      <c r="G44" s="65">
        <v>0</v>
      </c>
      <c r="H44" s="65">
        <v>0</v>
      </c>
      <c r="I44" s="65">
        <v>0</v>
      </c>
      <c r="J44" s="65">
        <v>0</v>
      </c>
      <c r="K44" s="65">
        <v>0</v>
      </c>
      <c r="L44" s="65">
        <v>0</v>
      </c>
      <c r="M44" s="65">
        <v>0</v>
      </c>
      <c r="N44" s="65">
        <v>0</v>
      </c>
      <c r="O44" s="65">
        <v>0</v>
      </c>
      <c r="P44" s="65">
        <v>0</v>
      </c>
      <c r="Q44" s="65">
        <v>0</v>
      </c>
      <c r="R44" s="65">
        <v>0</v>
      </c>
      <c r="S44" s="65">
        <v>0</v>
      </c>
      <c r="T44" s="65">
        <v>0</v>
      </c>
      <c r="U44" s="65">
        <v>0</v>
      </c>
      <c r="V44" s="65">
        <v>0</v>
      </c>
      <c r="W44" s="65">
        <v>0</v>
      </c>
      <c r="X44" s="65">
        <v>0</v>
      </c>
      <c r="Y44" s="65">
        <v>0</v>
      </c>
      <c r="Z44" s="65">
        <v>0</v>
      </c>
      <c r="AA44" s="65">
        <v>0</v>
      </c>
      <c r="AB44" s="65">
        <v>0</v>
      </c>
      <c r="AC44" s="65">
        <v>0</v>
      </c>
      <c r="AD44" s="65">
        <v>0</v>
      </c>
      <c r="AE44" s="65">
        <v>0</v>
      </c>
      <c r="AF44" s="65">
        <v>0</v>
      </c>
      <c r="AG44" s="65">
        <v>0</v>
      </c>
      <c r="AH44" s="65">
        <v>0</v>
      </c>
      <c r="AI44" s="65">
        <v>0</v>
      </c>
      <c r="AJ44" s="65">
        <v>0</v>
      </c>
      <c r="AK44" s="65">
        <v>0</v>
      </c>
      <c r="AL44" s="65">
        <v>0</v>
      </c>
      <c r="AM44" s="65">
        <v>0</v>
      </c>
      <c r="AN44" s="65">
        <v>0</v>
      </c>
      <c r="AO44" s="65">
        <v>0</v>
      </c>
      <c r="AP44" s="65">
        <v>0</v>
      </c>
      <c r="AQ44" s="65">
        <v>0</v>
      </c>
      <c r="AR44" s="65">
        <v>0</v>
      </c>
      <c r="AS44" s="65">
        <v>0</v>
      </c>
      <c r="AT44" s="65">
        <v>0</v>
      </c>
      <c r="AU44" s="65">
        <v>0</v>
      </c>
      <c r="AV44" s="65">
        <v>0</v>
      </c>
      <c r="AW44" s="65">
        <v>0</v>
      </c>
      <c r="AX44" s="65">
        <v>0</v>
      </c>
      <c r="AY44" s="65">
        <v>0</v>
      </c>
      <c r="AZ44" s="65">
        <v>0</v>
      </c>
      <c r="BA44" s="65">
        <v>0</v>
      </c>
      <c r="BB44" s="65">
        <v>0</v>
      </c>
      <c r="BC44" s="65">
        <v>0</v>
      </c>
      <c r="BD44" s="65">
        <v>0</v>
      </c>
    </row>
    <row r="45" spans="3:56" s="6" customFormat="1" x14ac:dyDescent="0.25">
      <c r="C45" s="108"/>
      <c r="D45" s="59" t="s">
        <v>37</v>
      </c>
      <c r="E45" s="65">
        <v>0</v>
      </c>
      <c r="F45" s="65">
        <v>0</v>
      </c>
      <c r="G45" s="65">
        <v>0</v>
      </c>
      <c r="H45" s="65">
        <v>0</v>
      </c>
      <c r="I45" s="65">
        <v>0</v>
      </c>
      <c r="J45" s="65">
        <v>0</v>
      </c>
      <c r="K45" s="65">
        <v>0</v>
      </c>
      <c r="L45" s="65">
        <v>0</v>
      </c>
      <c r="M45" s="65">
        <v>0</v>
      </c>
      <c r="N45" s="65">
        <v>0</v>
      </c>
      <c r="O45" s="65">
        <v>0</v>
      </c>
      <c r="P45" s="65">
        <v>0</v>
      </c>
      <c r="Q45" s="65">
        <v>0</v>
      </c>
      <c r="R45" s="65">
        <v>0</v>
      </c>
      <c r="S45" s="65">
        <v>0</v>
      </c>
      <c r="T45" s="65">
        <v>0</v>
      </c>
      <c r="U45" s="65">
        <v>0</v>
      </c>
      <c r="V45" s="65">
        <v>0</v>
      </c>
      <c r="W45" s="65">
        <v>0</v>
      </c>
      <c r="X45" s="65">
        <v>0</v>
      </c>
      <c r="Y45" s="65">
        <v>0</v>
      </c>
      <c r="Z45" s="65">
        <v>0</v>
      </c>
      <c r="AA45" s="65">
        <v>0</v>
      </c>
      <c r="AB45" s="65">
        <v>0</v>
      </c>
      <c r="AC45" s="65">
        <v>0</v>
      </c>
      <c r="AD45" s="65">
        <v>0</v>
      </c>
      <c r="AE45" s="65">
        <v>0</v>
      </c>
      <c r="AF45" s="65">
        <v>0</v>
      </c>
      <c r="AG45" s="65">
        <v>0</v>
      </c>
      <c r="AH45" s="65">
        <v>0</v>
      </c>
      <c r="AI45" s="65">
        <v>0</v>
      </c>
      <c r="AJ45" s="65">
        <v>0</v>
      </c>
      <c r="AK45" s="65">
        <v>0</v>
      </c>
      <c r="AL45" s="65">
        <v>0</v>
      </c>
      <c r="AM45" s="65">
        <v>0</v>
      </c>
      <c r="AN45" s="65">
        <v>0</v>
      </c>
      <c r="AO45" s="65">
        <v>0</v>
      </c>
      <c r="AP45" s="65">
        <v>0</v>
      </c>
      <c r="AQ45" s="65">
        <v>0</v>
      </c>
      <c r="AR45" s="65">
        <v>0</v>
      </c>
      <c r="AS45" s="65">
        <v>0</v>
      </c>
      <c r="AT45" s="65">
        <v>0</v>
      </c>
      <c r="AU45" s="65">
        <v>0</v>
      </c>
      <c r="AV45" s="65">
        <v>0</v>
      </c>
      <c r="AW45" s="65">
        <v>0</v>
      </c>
      <c r="AX45" s="65">
        <v>0</v>
      </c>
      <c r="AY45" s="65">
        <v>0</v>
      </c>
      <c r="AZ45" s="65">
        <v>0</v>
      </c>
      <c r="BA45" s="65">
        <v>0</v>
      </c>
      <c r="BB45" s="65">
        <v>0</v>
      </c>
      <c r="BC45" s="65">
        <v>0</v>
      </c>
      <c r="BD45" s="65">
        <v>0</v>
      </c>
    </row>
    <row r="46" spans="3:56" s="6" customFormat="1" x14ac:dyDescent="0.25">
      <c r="C46" s="108"/>
      <c r="D46" s="59" t="s">
        <v>38</v>
      </c>
      <c r="E46" s="65">
        <v>0</v>
      </c>
      <c r="F46" s="65">
        <v>0</v>
      </c>
      <c r="G46" s="65">
        <v>0</v>
      </c>
      <c r="H46" s="65">
        <v>0</v>
      </c>
      <c r="I46" s="65">
        <v>0</v>
      </c>
      <c r="J46" s="65">
        <v>0</v>
      </c>
      <c r="K46" s="65">
        <v>0</v>
      </c>
      <c r="L46" s="65">
        <v>0</v>
      </c>
      <c r="M46" s="65">
        <v>0</v>
      </c>
      <c r="N46" s="65">
        <v>0</v>
      </c>
      <c r="O46" s="65">
        <v>0</v>
      </c>
      <c r="P46" s="65">
        <v>0</v>
      </c>
      <c r="Q46" s="65">
        <v>0</v>
      </c>
      <c r="R46" s="65">
        <v>0</v>
      </c>
      <c r="S46" s="65">
        <v>0</v>
      </c>
      <c r="T46" s="65">
        <v>0</v>
      </c>
      <c r="U46" s="65">
        <v>0</v>
      </c>
      <c r="V46" s="65">
        <v>0</v>
      </c>
      <c r="W46" s="65">
        <v>0</v>
      </c>
      <c r="X46" s="65">
        <v>0</v>
      </c>
      <c r="Y46" s="65">
        <v>0</v>
      </c>
      <c r="Z46" s="65">
        <v>0</v>
      </c>
      <c r="AA46" s="65">
        <v>0</v>
      </c>
      <c r="AB46" s="65">
        <v>0</v>
      </c>
      <c r="AC46" s="65">
        <v>0</v>
      </c>
      <c r="AD46" s="65">
        <v>0</v>
      </c>
      <c r="AE46" s="65">
        <v>0</v>
      </c>
      <c r="AF46" s="65">
        <v>0</v>
      </c>
      <c r="AG46" s="65">
        <v>0</v>
      </c>
      <c r="AH46" s="65">
        <v>0</v>
      </c>
      <c r="AI46" s="65">
        <v>0</v>
      </c>
      <c r="AJ46" s="65">
        <v>0</v>
      </c>
      <c r="AK46" s="65">
        <v>0</v>
      </c>
      <c r="AL46" s="65">
        <v>0</v>
      </c>
      <c r="AM46" s="65">
        <v>0</v>
      </c>
      <c r="AN46" s="65">
        <v>0</v>
      </c>
      <c r="AO46" s="65">
        <v>0</v>
      </c>
      <c r="AP46" s="65">
        <v>0</v>
      </c>
      <c r="AQ46" s="65">
        <v>0</v>
      </c>
      <c r="AR46" s="65">
        <v>0</v>
      </c>
      <c r="AS46" s="65">
        <v>0</v>
      </c>
      <c r="AT46" s="65">
        <v>0</v>
      </c>
      <c r="AU46" s="65">
        <v>0</v>
      </c>
      <c r="AV46" s="65">
        <v>0</v>
      </c>
      <c r="AW46" s="65">
        <v>0</v>
      </c>
      <c r="AX46" s="65">
        <v>0</v>
      </c>
      <c r="AY46" s="65">
        <v>0</v>
      </c>
      <c r="AZ46" s="65">
        <v>0</v>
      </c>
      <c r="BA46" s="65">
        <v>0</v>
      </c>
      <c r="BB46" s="65">
        <v>0</v>
      </c>
      <c r="BC46" s="65">
        <v>0</v>
      </c>
      <c r="BD46" s="65">
        <v>0</v>
      </c>
    </row>
    <row r="47" spans="3:56" s="6" customFormat="1" x14ac:dyDescent="0.25">
      <c r="C47" s="108"/>
      <c r="D47" s="59" t="s">
        <v>39</v>
      </c>
      <c r="E47" s="65">
        <v>23</v>
      </c>
      <c r="F47" s="65">
        <v>19</v>
      </c>
      <c r="G47" s="65">
        <v>8</v>
      </c>
      <c r="H47" s="65">
        <v>7</v>
      </c>
      <c r="I47" s="65">
        <v>7</v>
      </c>
      <c r="J47" s="65">
        <v>7</v>
      </c>
      <c r="K47" s="65">
        <v>7</v>
      </c>
      <c r="L47" s="65">
        <v>7</v>
      </c>
      <c r="M47" s="65">
        <v>6</v>
      </c>
      <c r="N47" s="65">
        <v>6</v>
      </c>
      <c r="O47" s="65">
        <v>6</v>
      </c>
      <c r="P47" s="65">
        <v>6</v>
      </c>
      <c r="Q47" s="65">
        <v>6</v>
      </c>
      <c r="R47" s="65">
        <v>6</v>
      </c>
      <c r="S47" s="65">
        <v>6</v>
      </c>
      <c r="T47" s="65">
        <v>6</v>
      </c>
      <c r="U47" s="65">
        <v>6</v>
      </c>
      <c r="V47" s="65">
        <v>3</v>
      </c>
      <c r="W47" s="65">
        <v>3</v>
      </c>
      <c r="X47" s="65">
        <v>3</v>
      </c>
      <c r="Y47" s="65">
        <v>3.9849999999999999</v>
      </c>
      <c r="Z47" s="65">
        <v>3.9650749999999997</v>
      </c>
      <c r="AA47" s="65">
        <v>4.9452496249999998</v>
      </c>
      <c r="AB47" s="65">
        <v>4.9205233768749999</v>
      </c>
      <c r="AC47" s="65">
        <v>4.8959207599906245</v>
      </c>
      <c r="AD47" s="65">
        <v>4.871441156190671</v>
      </c>
      <c r="AE47" s="65">
        <v>4.8470839504097176</v>
      </c>
      <c r="AF47" s="65">
        <v>4.8228485306576694</v>
      </c>
      <c r="AG47" s="65">
        <v>4.7987342880043808</v>
      </c>
      <c r="AH47" s="65">
        <v>4.7747406165643591</v>
      </c>
      <c r="AI47" s="65">
        <v>4.7508669134815369</v>
      </c>
      <c r="AJ47" s="65">
        <v>5.7271125789141291</v>
      </c>
      <c r="AK47" s="65">
        <v>5.6984770160195586</v>
      </c>
      <c r="AL47" s="65">
        <v>5.669984630939461</v>
      </c>
      <c r="AM47" s="65">
        <v>5.6416347077847639</v>
      </c>
      <c r="AN47" s="65">
        <v>5.61342653424584</v>
      </c>
      <c r="AO47" s="65">
        <v>5.5853594015746104</v>
      </c>
      <c r="AP47" s="65">
        <v>5.5574326045667375</v>
      </c>
      <c r="AQ47" s="65">
        <v>5.529645441543904</v>
      </c>
      <c r="AR47" s="65">
        <v>5.5019972143361846</v>
      </c>
      <c r="AS47" s="65">
        <v>5.4744872282645041</v>
      </c>
      <c r="AT47" s="65">
        <v>5.4471147921231813</v>
      </c>
      <c r="AU47" s="65">
        <v>5.4198792181625652</v>
      </c>
      <c r="AV47" s="65">
        <v>15.392779822071752</v>
      </c>
      <c r="AW47" s="65">
        <v>25.315815922961391</v>
      </c>
      <c r="AX47" s="65">
        <v>25.189236843346585</v>
      </c>
      <c r="AY47" s="65">
        <v>25.063290659129851</v>
      </c>
      <c r="AZ47" s="65">
        <v>24.937974205834202</v>
      </c>
      <c r="BA47" s="65">
        <v>24.813284334805029</v>
      </c>
      <c r="BB47" s="65">
        <v>24.689217913131003</v>
      </c>
      <c r="BC47" s="65">
        <v>24.565771823565349</v>
      </c>
      <c r="BD47" s="65">
        <v>24.442942964447521</v>
      </c>
    </row>
    <row r="48" spans="3:56" s="6" customFormat="1" x14ac:dyDescent="0.25">
      <c r="C48" s="108"/>
      <c r="D48" s="59" t="s">
        <v>40</v>
      </c>
      <c r="E48" s="65">
        <v>9</v>
      </c>
      <c r="F48" s="65">
        <v>7.875</v>
      </c>
      <c r="G48" s="65">
        <v>4.5</v>
      </c>
      <c r="H48" s="65">
        <v>4.5</v>
      </c>
      <c r="I48" s="65">
        <v>4.5</v>
      </c>
      <c r="J48" s="65">
        <v>4.5</v>
      </c>
      <c r="K48" s="65">
        <v>1.125</v>
      </c>
      <c r="L48" s="65">
        <v>3.375</v>
      </c>
      <c r="M48" s="65">
        <v>2.25</v>
      </c>
      <c r="N48" s="65">
        <v>2.25</v>
      </c>
      <c r="O48" s="65">
        <v>2.25</v>
      </c>
      <c r="P48" s="65">
        <v>2.25</v>
      </c>
      <c r="Q48" s="65">
        <v>2.25</v>
      </c>
      <c r="R48" s="65">
        <v>2.25</v>
      </c>
      <c r="S48" s="65">
        <v>2.25</v>
      </c>
      <c r="T48" s="65">
        <v>2.25</v>
      </c>
      <c r="U48" s="65">
        <v>2.25</v>
      </c>
      <c r="V48" s="65">
        <v>2.25</v>
      </c>
      <c r="W48" s="65">
        <v>3.375</v>
      </c>
      <c r="X48" s="65">
        <v>3.375</v>
      </c>
      <c r="Y48" s="65">
        <v>3.3581249999999998</v>
      </c>
      <c r="Z48" s="65">
        <v>3.3413343749999997</v>
      </c>
      <c r="AA48" s="65">
        <v>3.3246277031249996</v>
      </c>
      <c r="AB48" s="65">
        <v>3.3080045646093748</v>
      </c>
      <c r="AC48" s="65">
        <v>3.2914645417863277</v>
      </c>
      <c r="AD48" s="65">
        <v>3.2750072190773962</v>
      </c>
      <c r="AE48" s="65">
        <v>3.2586321829820091</v>
      </c>
      <c r="AF48" s="65">
        <v>3.2423390220670991</v>
      </c>
      <c r="AG48" s="65">
        <v>3.2261273269567634</v>
      </c>
      <c r="AH48" s="65">
        <v>3.2099966903219794</v>
      </c>
      <c r="AI48" s="65">
        <v>3.1939467068703697</v>
      </c>
      <c r="AJ48" s="65">
        <v>3.1779769733360177</v>
      </c>
      <c r="AK48" s="65">
        <v>3.1620870884693377</v>
      </c>
      <c r="AL48" s="65">
        <v>3.146276653026991</v>
      </c>
      <c r="AM48" s="65">
        <v>3.1305452697618561</v>
      </c>
      <c r="AN48" s="65">
        <v>3.1148925434130468</v>
      </c>
      <c r="AO48" s="65">
        <v>3.0993180806959817</v>
      </c>
      <c r="AP48" s="65">
        <v>3.0838214902925016</v>
      </c>
      <c r="AQ48" s="65">
        <v>3.0684023828410392</v>
      </c>
      <c r="AR48" s="65">
        <v>3.053060370926834</v>
      </c>
      <c r="AS48" s="65">
        <v>3.0377950690722</v>
      </c>
      <c r="AT48" s="65">
        <v>3.0226060937268389</v>
      </c>
      <c r="AU48" s="65">
        <v>3.0074930632582046</v>
      </c>
      <c r="AV48" s="65">
        <v>12.992455597941913</v>
      </c>
      <c r="AW48" s="65">
        <v>12.927493319952204</v>
      </c>
      <c r="AX48" s="65">
        <v>12.862855853352443</v>
      </c>
      <c r="AY48" s="65">
        <v>12.79854157408568</v>
      </c>
      <c r="AZ48" s="65">
        <v>12.734548866215253</v>
      </c>
      <c r="BA48" s="65">
        <v>12.670876121884177</v>
      </c>
      <c r="BB48" s="65">
        <v>12.607521741274756</v>
      </c>
      <c r="BC48" s="65">
        <v>12.544484132568382</v>
      </c>
      <c r="BD48" s="65">
        <v>12.48176171190554</v>
      </c>
    </row>
    <row r="49" spans="3:56" s="6" customFormat="1" x14ac:dyDescent="0.25">
      <c r="C49" s="108"/>
      <c r="D49" s="59" t="s">
        <v>41</v>
      </c>
      <c r="E49" s="54">
        <f t="shared" ref="E49:BD49" si="59">(SUM(E42:E48)*E51)/((40*(1-E50)+40))</f>
        <v>0</v>
      </c>
      <c r="F49" s="54">
        <f t="shared" si="59"/>
        <v>0</v>
      </c>
      <c r="G49" s="54">
        <f t="shared" si="59"/>
        <v>0</v>
      </c>
      <c r="H49" s="54">
        <f t="shared" si="59"/>
        <v>0</v>
      </c>
      <c r="I49" s="54">
        <f t="shared" si="59"/>
        <v>0</v>
      </c>
      <c r="J49" s="54">
        <f t="shared" si="59"/>
        <v>0</v>
      </c>
      <c r="K49" s="54">
        <f t="shared" si="59"/>
        <v>0</v>
      </c>
      <c r="L49" s="54">
        <f t="shared" si="59"/>
        <v>0</v>
      </c>
      <c r="M49" s="54">
        <f t="shared" si="59"/>
        <v>0</v>
      </c>
      <c r="N49" s="54">
        <f t="shared" si="59"/>
        <v>0</v>
      </c>
      <c r="O49" s="54">
        <f t="shared" si="59"/>
        <v>0.71739130434782605</v>
      </c>
      <c r="P49" s="54">
        <f t="shared" si="59"/>
        <v>0</v>
      </c>
      <c r="Q49" s="54">
        <f t="shared" si="59"/>
        <v>0</v>
      </c>
      <c r="R49" s="54">
        <f t="shared" si="59"/>
        <v>0</v>
      </c>
      <c r="S49" s="54">
        <f t="shared" si="59"/>
        <v>0</v>
      </c>
      <c r="T49" s="54">
        <f t="shared" si="59"/>
        <v>0</v>
      </c>
      <c r="U49" s="54">
        <f t="shared" si="59"/>
        <v>1.4347826086956521</v>
      </c>
      <c r="V49" s="54">
        <f t="shared" si="59"/>
        <v>0.91304347826086951</v>
      </c>
      <c r="W49" s="54">
        <f t="shared" si="59"/>
        <v>1.1086956521739131</v>
      </c>
      <c r="X49" s="54">
        <f t="shared" si="59"/>
        <v>0.83152173913043481</v>
      </c>
      <c r="Y49" s="54">
        <f t="shared" si="59"/>
        <v>0</v>
      </c>
      <c r="Z49" s="54">
        <f t="shared" si="59"/>
        <v>-0.63533994565217389</v>
      </c>
      <c r="AA49" s="54">
        <f t="shared" si="59"/>
        <v>0</v>
      </c>
      <c r="AB49" s="54">
        <f t="shared" si="59"/>
        <v>0</v>
      </c>
      <c r="AC49" s="54">
        <f t="shared" si="59"/>
        <v>0</v>
      </c>
      <c r="AD49" s="54">
        <f t="shared" si="59"/>
        <v>-0.17709670381017537</v>
      </c>
      <c r="AE49" s="54">
        <f t="shared" si="59"/>
        <v>-0.70484488116449806</v>
      </c>
      <c r="AF49" s="54">
        <f t="shared" si="59"/>
        <v>0</v>
      </c>
      <c r="AG49" s="54">
        <f t="shared" si="59"/>
        <v>0</v>
      </c>
      <c r="AH49" s="54">
        <f t="shared" si="59"/>
        <v>0</v>
      </c>
      <c r="AI49" s="54">
        <f t="shared" si="59"/>
        <v>0</v>
      </c>
      <c r="AJ49" s="54">
        <f t="shared" si="59"/>
        <v>0</v>
      </c>
      <c r="AK49" s="54">
        <f t="shared" si="59"/>
        <v>0</v>
      </c>
      <c r="AL49" s="54">
        <f t="shared" si="59"/>
        <v>0</v>
      </c>
      <c r="AM49" s="54">
        <f t="shared" si="59"/>
        <v>0</v>
      </c>
      <c r="AN49" s="54">
        <f t="shared" si="59"/>
        <v>0</v>
      </c>
      <c r="AO49" s="54">
        <f t="shared" si="59"/>
        <v>0</v>
      </c>
      <c r="AP49" s="54">
        <f t="shared" si="59"/>
        <v>0</v>
      </c>
      <c r="AQ49" s="54">
        <f t="shared" si="59"/>
        <v>0</v>
      </c>
      <c r="AR49" s="54">
        <f t="shared" si="59"/>
        <v>0</v>
      </c>
      <c r="AS49" s="54">
        <f t="shared" si="59"/>
        <v>0</v>
      </c>
      <c r="AT49" s="54">
        <f t="shared" si="59"/>
        <v>0</v>
      </c>
      <c r="AU49" s="54">
        <f t="shared" si="59"/>
        <v>0</v>
      </c>
      <c r="AV49" s="54">
        <f t="shared" si="59"/>
        <v>0</v>
      </c>
      <c r="AW49" s="54">
        <f t="shared" si="59"/>
        <v>0</v>
      </c>
      <c r="AX49" s="54">
        <f t="shared" si="59"/>
        <v>0</v>
      </c>
      <c r="AY49" s="54">
        <f t="shared" si="59"/>
        <v>0</v>
      </c>
      <c r="AZ49" s="54">
        <f t="shared" si="59"/>
        <v>6.5517431429651234</v>
      </c>
      <c r="BA49" s="54">
        <f t="shared" si="59"/>
        <v>0</v>
      </c>
      <c r="BB49" s="54">
        <f t="shared" si="59"/>
        <v>0</v>
      </c>
      <c r="BC49" s="54">
        <f t="shared" si="59"/>
        <v>0</v>
      </c>
      <c r="BD49" s="54">
        <f t="shared" si="59"/>
        <v>0</v>
      </c>
    </row>
    <row r="50" spans="3:56" s="6" customFormat="1" x14ac:dyDescent="0.25">
      <c r="C50" s="108"/>
      <c r="D50" s="59" t="s">
        <v>42</v>
      </c>
      <c r="E50" s="67">
        <v>0.85</v>
      </c>
      <c r="F50" s="67">
        <v>0.85</v>
      </c>
      <c r="G50" s="67">
        <v>0.85</v>
      </c>
      <c r="H50" s="67">
        <v>0.85</v>
      </c>
      <c r="I50" s="67">
        <v>0.85</v>
      </c>
      <c r="J50" s="67">
        <v>0.85</v>
      </c>
      <c r="K50" s="67">
        <v>0.85</v>
      </c>
      <c r="L50" s="67">
        <v>0.85</v>
      </c>
      <c r="M50" s="67">
        <v>0.85</v>
      </c>
      <c r="N50" s="67">
        <v>0.85</v>
      </c>
      <c r="O50" s="67">
        <v>0.85</v>
      </c>
      <c r="P50" s="67">
        <v>0.85</v>
      </c>
      <c r="Q50" s="67">
        <v>0.85</v>
      </c>
      <c r="R50" s="67">
        <v>0.85</v>
      </c>
      <c r="S50" s="67">
        <v>0.85</v>
      </c>
      <c r="T50" s="67">
        <v>0.85</v>
      </c>
      <c r="U50" s="67">
        <v>0.85</v>
      </c>
      <c r="V50" s="67">
        <v>0.85</v>
      </c>
      <c r="W50" s="67">
        <v>0.85</v>
      </c>
      <c r="X50" s="67">
        <v>0.85</v>
      </c>
      <c r="Y50" s="67">
        <v>0.85</v>
      </c>
      <c r="Z50" s="67">
        <v>0.85</v>
      </c>
      <c r="AA50" s="67">
        <v>0.85</v>
      </c>
      <c r="AB50" s="67">
        <v>0.85</v>
      </c>
      <c r="AC50" s="67">
        <v>0.85</v>
      </c>
      <c r="AD50" s="67">
        <v>0.85</v>
      </c>
      <c r="AE50" s="67">
        <v>0.85</v>
      </c>
      <c r="AF50" s="67">
        <v>0.85</v>
      </c>
      <c r="AG50" s="67">
        <v>0.85</v>
      </c>
      <c r="AH50" s="67">
        <v>0.85</v>
      </c>
      <c r="AI50" s="67">
        <v>0.85</v>
      </c>
      <c r="AJ50" s="67">
        <v>0.85</v>
      </c>
      <c r="AK50" s="67">
        <v>0.85</v>
      </c>
      <c r="AL50" s="67">
        <v>0.85</v>
      </c>
      <c r="AM50" s="67">
        <v>0.85</v>
      </c>
      <c r="AN50" s="67">
        <v>0.85</v>
      </c>
      <c r="AO50" s="67">
        <v>0.85</v>
      </c>
      <c r="AP50" s="67">
        <v>0.85</v>
      </c>
      <c r="AQ50" s="67">
        <v>0.85</v>
      </c>
      <c r="AR50" s="67">
        <v>0.85</v>
      </c>
      <c r="AS50" s="67">
        <v>0.85</v>
      </c>
      <c r="AT50" s="67">
        <v>0.85</v>
      </c>
      <c r="AU50" s="67">
        <v>0.85</v>
      </c>
      <c r="AV50" s="67">
        <v>0.85</v>
      </c>
      <c r="AW50" s="67">
        <v>0.85</v>
      </c>
      <c r="AX50" s="67">
        <v>0.85</v>
      </c>
      <c r="AY50" s="67">
        <v>0.85</v>
      </c>
      <c r="AZ50" s="67">
        <v>0.85</v>
      </c>
      <c r="BA50" s="67">
        <v>0.85</v>
      </c>
      <c r="BB50" s="67">
        <v>0.85</v>
      </c>
      <c r="BC50" s="67">
        <v>0.85</v>
      </c>
      <c r="BD50" s="67">
        <v>0.85</v>
      </c>
    </row>
    <row r="51" spans="3:56" s="6" customFormat="1" x14ac:dyDescent="0.25">
      <c r="C51" s="108"/>
      <c r="D51" s="59" t="s">
        <v>43</v>
      </c>
      <c r="E51" s="65">
        <v>0</v>
      </c>
      <c r="F51" s="65"/>
      <c r="G51" s="65"/>
      <c r="H51" s="65"/>
      <c r="I51" s="65"/>
      <c r="J51" s="65"/>
      <c r="K51" s="65"/>
      <c r="L51" s="65"/>
      <c r="M51" s="65"/>
      <c r="N51" s="65"/>
      <c r="O51" s="65">
        <v>4</v>
      </c>
      <c r="P51" s="65"/>
      <c r="Q51" s="65"/>
      <c r="R51" s="65"/>
      <c r="S51" s="65"/>
      <c r="T51" s="65"/>
      <c r="U51" s="65">
        <v>8</v>
      </c>
      <c r="V51" s="65">
        <v>8</v>
      </c>
      <c r="W51" s="65">
        <v>8</v>
      </c>
      <c r="X51" s="65">
        <v>6</v>
      </c>
      <c r="Y51" s="65"/>
      <c r="Z51" s="65">
        <v>-4</v>
      </c>
      <c r="AA51" s="65"/>
      <c r="AB51" s="65"/>
      <c r="AC51" s="65"/>
      <c r="AD51" s="65">
        <v>-1</v>
      </c>
      <c r="AE51" s="65">
        <v>-4</v>
      </c>
      <c r="AF51" s="65"/>
      <c r="AG51" s="65"/>
      <c r="AH51" s="65"/>
      <c r="AI51" s="65"/>
      <c r="AJ51" s="65"/>
      <c r="AK51" s="65"/>
      <c r="AL51" s="65"/>
      <c r="AM51" s="65"/>
      <c r="AN51" s="65"/>
      <c r="AO51" s="65"/>
      <c r="AP51" s="65"/>
      <c r="AQ51" s="65"/>
      <c r="AR51" s="65"/>
      <c r="AS51" s="65"/>
      <c r="AT51" s="65"/>
      <c r="AU51" s="65"/>
      <c r="AV51" s="65"/>
      <c r="AW51" s="65"/>
      <c r="AX51" s="65"/>
      <c r="AY51" s="65"/>
      <c r="AZ51" s="65">
        <v>8</v>
      </c>
      <c r="BA51" s="65"/>
      <c r="BB51" s="65"/>
      <c r="BC51" s="65"/>
      <c r="BD51" s="65"/>
    </row>
    <row r="52" spans="3:56" s="6" customFormat="1" x14ac:dyDescent="0.25">
      <c r="C52" s="108"/>
      <c r="D52" s="60" t="s">
        <v>44</v>
      </c>
      <c r="E52" s="61">
        <f t="shared" ref="E52:BD52" si="60">SUM(E42:E49)</f>
        <v>32</v>
      </c>
      <c r="F52" s="61">
        <f t="shared" si="60"/>
        <v>26.875</v>
      </c>
      <c r="G52" s="61">
        <f t="shared" si="60"/>
        <v>12.5</v>
      </c>
      <c r="H52" s="61">
        <f t="shared" si="60"/>
        <v>11.5</v>
      </c>
      <c r="I52" s="61">
        <f t="shared" si="60"/>
        <v>11.5</v>
      </c>
      <c r="J52" s="61">
        <f t="shared" si="60"/>
        <v>11.5</v>
      </c>
      <c r="K52" s="61">
        <f t="shared" si="60"/>
        <v>8.125</v>
      </c>
      <c r="L52" s="61">
        <f t="shared" si="60"/>
        <v>10.375</v>
      </c>
      <c r="M52" s="61">
        <f t="shared" si="60"/>
        <v>8.25</v>
      </c>
      <c r="N52" s="61">
        <f t="shared" si="60"/>
        <v>8.25</v>
      </c>
      <c r="O52" s="61">
        <f t="shared" si="60"/>
        <v>8.9673913043478262</v>
      </c>
      <c r="P52" s="61">
        <f t="shared" si="60"/>
        <v>8.25</v>
      </c>
      <c r="Q52" s="61">
        <f t="shared" si="60"/>
        <v>8.25</v>
      </c>
      <c r="R52" s="61">
        <f t="shared" si="60"/>
        <v>8.25</v>
      </c>
      <c r="S52" s="61">
        <f t="shared" si="60"/>
        <v>8.25</v>
      </c>
      <c r="T52" s="61">
        <f t="shared" si="60"/>
        <v>8.25</v>
      </c>
      <c r="U52" s="61">
        <f t="shared" si="60"/>
        <v>9.6847826086956523</v>
      </c>
      <c r="V52" s="61">
        <f t="shared" si="60"/>
        <v>6.1630434782608692</v>
      </c>
      <c r="W52" s="61">
        <f t="shared" si="60"/>
        <v>7.4836956521739131</v>
      </c>
      <c r="X52" s="61">
        <f t="shared" si="60"/>
        <v>7.2065217391304346</v>
      </c>
      <c r="Y52" s="61">
        <f t="shared" si="60"/>
        <v>7.3431249999999997</v>
      </c>
      <c r="Z52" s="61">
        <f t="shared" si="60"/>
        <v>6.6710694293478259</v>
      </c>
      <c r="AA52" s="61">
        <f t="shared" si="60"/>
        <v>8.2698773281249984</v>
      </c>
      <c r="AB52" s="61">
        <f t="shared" si="60"/>
        <v>8.2285279414843746</v>
      </c>
      <c r="AC52" s="61">
        <f t="shared" si="60"/>
        <v>8.1873853017769527</v>
      </c>
      <c r="AD52" s="61">
        <f t="shared" si="60"/>
        <v>7.9693516714578916</v>
      </c>
      <c r="AE52" s="61">
        <f t="shared" si="60"/>
        <v>7.4008712522272289</v>
      </c>
      <c r="AF52" s="61">
        <f t="shared" si="60"/>
        <v>8.0651875527247689</v>
      </c>
      <c r="AG52" s="61">
        <f t="shared" si="60"/>
        <v>8.0248616149611447</v>
      </c>
      <c r="AH52" s="61">
        <f t="shared" si="60"/>
        <v>7.9847373068863385</v>
      </c>
      <c r="AI52" s="61">
        <f t="shared" si="60"/>
        <v>7.9448136203519066</v>
      </c>
      <c r="AJ52" s="61">
        <f t="shared" si="60"/>
        <v>8.9050895522501463</v>
      </c>
      <c r="AK52" s="61">
        <f t="shared" si="60"/>
        <v>8.8605641044888959</v>
      </c>
      <c r="AL52" s="61">
        <f t="shared" si="60"/>
        <v>8.8162612839664511</v>
      </c>
      <c r="AM52" s="61">
        <f t="shared" si="60"/>
        <v>8.7721799775466209</v>
      </c>
      <c r="AN52" s="61">
        <f t="shared" si="60"/>
        <v>8.7283190776588864</v>
      </c>
      <c r="AO52" s="61">
        <f t="shared" si="60"/>
        <v>8.6846774822705921</v>
      </c>
      <c r="AP52" s="61">
        <f t="shared" si="60"/>
        <v>8.6412540948592387</v>
      </c>
      <c r="AQ52" s="61">
        <f t="shared" si="60"/>
        <v>8.5980478243849436</v>
      </c>
      <c r="AR52" s="61">
        <f t="shared" si="60"/>
        <v>8.5550575852630182</v>
      </c>
      <c r="AS52" s="61">
        <f t="shared" si="60"/>
        <v>8.5122822973367036</v>
      </c>
      <c r="AT52" s="61">
        <f t="shared" si="60"/>
        <v>8.4697208858500197</v>
      </c>
      <c r="AU52" s="61">
        <f t="shared" si="60"/>
        <v>8.4273722814207694</v>
      </c>
      <c r="AV52" s="61">
        <f t="shared" si="60"/>
        <v>28.385235420013665</v>
      </c>
      <c r="AW52" s="61">
        <f t="shared" si="60"/>
        <v>38.243309242913597</v>
      </c>
      <c r="AX52" s="61">
        <f t="shared" si="60"/>
        <v>38.052092696699027</v>
      </c>
      <c r="AY52" s="61">
        <f t="shared" si="60"/>
        <v>37.86183223321553</v>
      </c>
      <c r="AZ52" s="61">
        <f t="shared" si="60"/>
        <v>44.22426621501458</v>
      </c>
      <c r="BA52" s="61">
        <f t="shared" si="60"/>
        <v>37.48416045668921</v>
      </c>
      <c r="BB52" s="61">
        <f t="shared" si="60"/>
        <v>37.296739654405755</v>
      </c>
      <c r="BC52" s="61">
        <f t="shared" si="60"/>
        <v>37.110255956133727</v>
      </c>
      <c r="BD52" s="61">
        <f t="shared" si="60"/>
        <v>36.924704676353059</v>
      </c>
    </row>
    <row r="53" spans="3:56" s="6" customFormat="1" x14ac:dyDescent="0.25">
      <c r="C53" s="108"/>
      <c r="D53" s="59" t="s">
        <v>52</v>
      </c>
      <c r="E53" s="56">
        <f>E52-E40</f>
        <v>11.919930056351937</v>
      </c>
      <c r="F53" s="56">
        <f t="shared" ref="F53:BD53" si="61">F52-F40</f>
        <v>11.537568461243897</v>
      </c>
      <c r="G53" s="56">
        <f t="shared" si="61"/>
        <v>-0.13452635327635143</v>
      </c>
      <c r="H53" s="56">
        <f t="shared" si="61"/>
        <v>-0.10772792022791755</v>
      </c>
      <c r="I53" s="56">
        <f t="shared" si="61"/>
        <v>0.23958333333333393</v>
      </c>
      <c r="J53" s="56">
        <f t="shared" si="61"/>
        <v>1.8244943019943012</v>
      </c>
      <c r="K53" s="56">
        <f t="shared" si="61"/>
        <v>0.1423076923076918</v>
      </c>
      <c r="L53" s="56">
        <f t="shared" si="61"/>
        <v>2.5628205128205108</v>
      </c>
      <c r="M53" s="56">
        <f t="shared" si="61"/>
        <v>0.22243589743589709</v>
      </c>
      <c r="N53" s="56">
        <f t="shared" si="61"/>
        <v>5.6036324786326475E-2</v>
      </c>
      <c r="O53" s="56">
        <f t="shared" si="61"/>
        <v>-0.4619178124612926</v>
      </c>
      <c r="P53" s="56">
        <f t="shared" si="61"/>
        <v>-1.1856659544159545</v>
      </c>
      <c r="Q53" s="56">
        <f t="shared" si="61"/>
        <v>0.55354686934491504</v>
      </c>
      <c r="R53" s="56">
        <f t="shared" si="61"/>
        <v>1.1681610407876226</v>
      </c>
      <c r="S53" s="56">
        <f t="shared" si="61"/>
        <v>1.1577004219409277</v>
      </c>
      <c r="T53" s="56">
        <f t="shared" si="61"/>
        <v>-0.76987781293952295</v>
      </c>
      <c r="U53" s="56">
        <f t="shared" si="61"/>
        <v>1.756734640674332</v>
      </c>
      <c r="V53" s="56">
        <f t="shared" si="61"/>
        <v>-2.47438231529574</v>
      </c>
      <c r="W53" s="56">
        <f t="shared" si="61"/>
        <v>2.9458662019200332E-2</v>
      </c>
      <c r="X53" s="56">
        <f t="shared" si="61"/>
        <v>-0.30181159420289916</v>
      </c>
      <c r="Y53" s="56">
        <f t="shared" si="61"/>
        <v>-0.10145833333333432</v>
      </c>
      <c r="Z53" s="56">
        <f t="shared" si="61"/>
        <v>0.36690276268115873</v>
      </c>
      <c r="AA53" s="56">
        <f t="shared" si="61"/>
        <v>0.45889247964014857</v>
      </c>
      <c r="AB53" s="56">
        <f t="shared" si="61"/>
        <v>0.85756834552477912</v>
      </c>
      <c r="AC53" s="56">
        <f t="shared" si="61"/>
        <v>1.2199610593527117</v>
      </c>
      <c r="AD53" s="56">
        <f t="shared" si="61"/>
        <v>2.1155893648474837</v>
      </c>
      <c r="AE53" s="56">
        <f t="shared" si="61"/>
        <v>2.4221332549707126</v>
      </c>
      <c r="AF53" s="56">
        <f t="shared" si="61"/>
        <v>2.4926738353036448</v>
      </c>
      <c r="AG53" s="56">
        <f t="shared" si="61"/>
        <v>3.0195975546044913</v>
      </c>
      <c r="AH53" s="56">
        <f t="shared" si="61"/>
        <v>2.0265754413170658</v>
      </c>
      <c r="AI53" s="56">
        <f t="shared" si="61"/>
        <v>1.7928074475124003</v>
      </c>
      <c r="AJ53" s="56">
        <f t="shared" si="61"/>
        <v>1.9858680158989799</v>
      </c>
      <c r="AK53" s="56">
        <f t="shared" si="61"/>
        <v>1.6332321428976746</v>
      </c>
      <c r="AL53" s="56">
        <f t="shared" si="61"/>
        <v>1.6685075116756414</v>
      </c>
      <c r="AM53" s="56">
        <f t="shared" si="61"/>
        <v>2.2622594506875142</v>
      </c>
      <c r="AN53" s="56">
        <f t="shared" si="61"/>
        <v>2.9693538889958768</v>
      </c>
      <c r="AO53" s="56">
        <f t="shared" si="61"/>
        <v>2.8215466352998568</v>
      </c>
      <c r="AP53" s="56">
        <f t="shared" si="61"/>
        <v>2.4966196987105285</v>
      </c>
      <c r="AQ53" s="56">
        <f t="shared" si="61"/>
        <v>1.9127433190933356</v>
      </c>
      <c r="AR53" s="56">
        <f t="shared" si="61"/>
        <v>2.1727482657705499</v>
      </c>
      <c r="AS53" s="56">
        <f t="shared" si="61"/>
        <v>1.773346683133223</v>
      </c>
      <c r="AT53" s="56">
        <f t="shared" si="61"/>
        <v>1.5226959465360395</v>
      </c>
      <c r="AU53" s="56">
        <f t="shared" si="61"/>
        <v>1.0632435775486702</v>
      </c>
      <c r="AV53" s="56">
        <f t="shared" si="61"/>
        <v>18.86367808977127</v>
      </c>
      <c r="AW53" s="56">
        <f t="shared" si="61"/>
        <v>28.063222361997425</v>
      </c>
      <c r="AX53" s="56">
        <f t="shared" si="61"/>
        <v>28.068975956894153</v>
      </c>
      <c r="AY53" s="56">
        <f t="shared" si="61"/>
        <v>14.089676436591766</v>
      </c>
      <c r="AZ53" s="56">
        <f t="shared" si="61"/>
        <v>11.039538068969875</v>
      </c>
      <c r="BA53" s="56">
        <f t="shared" si="61"/>
        <v>8.6734669472443642</v>
      </c>
      <c r="BB53" s="56">
        <f t="shared" si="61"/>
        <v>13.345049237746469</v>
      </c>
      <c r="BC53" s="56">
        <f t="shared" si="61"/>
        <v>23.61232270447616</v>
      </c>
      <c r="BD53" s="56">
        <f t="shared" si="61"/>
        <v>24.779881947548848</v>
      </c>
    </row>
    <row r="54" spans="3:56" s="6" customFormat="1" x14ac:dyDescent="0.25">
      <c r="C54" s="108"/>
      <c r="D54" s="59" t="s">
        <v>46</v>
      </c>
      <c r="E54" s="56">
        <f>E53+LauderNew!E51</f>
        <v>24.005208333333339</v>
      </c>
      <c r="F54" s="56">
        <f>F53+LauderNew!F51</f>
        <v>29.352163461538463</v>
      </c>
      <c r="G54" s="56">
        <f>G53+LauderNew!G51</f>
        <v>2.4383457977208032</v>
      </c>
      <c r="H54" s="56">
        <f>H53+LauderNew!H51</f>
        <v>2.2701210826210865</v>
      </c>
      <c r="I54" s="56">
        <f>I53+LauderNew!I51</f>
        <v>2.8901193732193722</v>
      </c>
      <c r="J54" s="56">
        <f>J53+LauderNew!J51</f>
        <v>4.5973112535612541</v>
      </c>
      <c r="K54" s="56">
        <f>K53+LauderNew!K51</f>
        <v>2.3701923076923066</v>
      </c>
      <c r="L54" s="56">
        <f>L53+LauderNew!L51</f>
        <v>2.6746794871794854</v>
      </c>
      <c r="M54" s="56">
        <f>M53+LauderNew!M51</f>
        <v>1.2900641025641031</v>
      </c>
      <c r="N54" s="56">
        <f>N53+LauderNew!N51</f>
        <v>0.99292200854701029</v>
      </c>
      <c r="O54" s="56">
        <f>O53+LauderNew!O51</f>
        <v>0.14564365787191491</v>
      </c>
      <c r="P54" s="56">
        <f>P53+LauderNew!P51</f>
        <v>-1.34014840103195</v>
      </c>
      <c r="Q54" s="56">
        <f>Q53+LauderNew!Q51</f>
        <v>1.8015024982411401</v>
      </c>
      <c r="R54" s="56">
        <f>R53+LauderNew!R51</f>
        <v>3.6820962259728081</v>
      </c>
      <c r="S54" s="56">
        <f>S53+LauderNew!S51</f>
        <v>3.6629781997187063</v>
      </c>
      <c r="T54" s="56">
        <f>T53+LauderNew!T51</f>
        <v>0.14009950187529174</v>
      </c>
      <c r="U54" s="56">
        <f>U53+LauderNew!U51</f>
        <v>5.0268528710328386</v>
      </c>
      <c r="V54" s="56">
        <f>V53+LauderNew!V51</f>
        <v>-0.96527172878708445</v>
      </c>
      <c r="W54" s="56">
        <f>W53+LauderNew!W51</f>
        <v>2.348777783850978</v>
      </c>
      <c r="X54" s="56">
        <f>X53+LauderNew!X51</f>
        <v>1.6371989181465603</v>
      </c>
      <c r="Y54" s="56">
        <f>Y53+LauderNew!Y51</f>
        <v>0.89304284037558634</v>
      </c>
      <c r="Z54" s="56">
        <f>Z53+LauderNew!Z51</f>
        <v>1.6615694720861383</v>
      </c>
      <c r="AA54" s="56">
        <f>AA53+LauderNew!AA51</f>
        <v>1.0679804808872113</v>
      </c>
      <c r="AB54" s="56">
        <f>AB53+LauderNew!AB51</f>
        <v>1.8052828062178774</v>
      </c>
      <c r="AC54" s="56">
        <f>AC53+LauderNew!AC51</f>
        <v>2.4753900971946141</v>
      </c>
      <c r="AD54" s="56">
        <f>AD53+LauderNew!AD51</f>
        <v>5.117355177450726</v>
      </c>
      <c r="AE54" s="56">
        <f>AE53+LauderNew!AE51</f>
        <v>5.7170543322660823</v>
      </c>
      <c r="AF54" s="56">
        <f>AF53+LauderNew!AF51</f>
        <v>5.9619568570693176</v>
      </c>
      <c r="AG54" s="56">
        <f>AG53+LauderNew!AG51</f>
        <v>6.9173541017375264</v>
      </c>
      <c r="AH54" s="56">
        <f>AH53+LauderNew!AH51</f>
        <v>5.0965589795239588</v>
      </c>
      <c r="AI54" s="56">
        <f>AI53+LauderNew!AI51</f>
        <v>4.6625997981869904</v>
      </c>
      <c r="AJ54" s="56">
        <f>AJ53+LauderNew!AJ51</f>
        <v>4.181760313550356</v>
      </c>
      <c r="AK54" s="56">
        <f>AK53+LauderNew!AK51</f>
        <v>3.5348875385846004</v>
      </c>
      <c r="AL54" s="56">
        <f>AL53+LauderNew!AL51</f>
        <v>3.5965603843523883</v>
      </c>
      <c r="AM54" s="56">
        <f>AM53+LauderNew!AM51</f>
        <v>4.6783215753497567</v>
      </c>
      <c r="AN54" s="56">
        <f>AN53+LauderNew!AN51</f>
        <v>5.9671200354889509</v>
      </c>
      <c r="AO54" s="56">
        <f>AO53+LauderNew!AO51</f>
        <v>5.6944280406080745</v>
      </c>
      <c r="AP54" s="56">
        <f>AP53+LauderNew!AP51</f>
        <v>5.0982351104979289</v>
      </c>
      <c r="AQ54" s="56">
        <f>AQ53+LauderNew!AQ51</f>
        <v>4.0290766153420536</v>
      </c>
      <c r="AR54" s="56">
        <f>AR53+LauderNew!AR51</f>
        <v>4.5638615055581075</v>
      </c>
      <c r="AS54" s="56">
        <f>AS53+LauderNew!AS51</f>
        <v>3.6070621361670954</v>
      </c>
      <c r="AT54" s="56">
        <f>AT53+LauderNew!AT51</f>
        <v>12.929642683688328</v>
      </c>
      <c r="AU54" s="56">
        <f>AU53+LauderNew!AU51</f>
        <v>11.531701939304538</v>
      </c>
      <c r="AV54" s="56">
        <f>AV53+LauderNew!AV51</f>
        <v>34.993197691906985</v>
      </c>
      <c r="AW54" s="56">
        <f>AW53+LauderNew!AW51</f>
        <v>42.818189656127153</v>
      </c>
      <c r="AX54" s="56">
        <f>AX53+LauderNew!AX51</f>
        <v>54.833637544359647</v>
      </c>
      <c r="AY54" s="56">
        <f>AY53+LauderNew!AY51</f>
        <v>28.370289684269672</v>
      </c>
      <c r="AZ54" s="56">
        <f>AZ53+LauderNew!AZ51</f>
        <v>22.108339277340139</v>
      </c>
      <c r="BA54" s="56">
        <f>BA53+LauderNew!BA51</f>
        <v>17.171847615746685</v>
      </c>
      <c r="BB54" s="56">
        <f>BB53+LauderNew!BB51</f>
        <v>25.331486430934639</v>
      </c>
      <c r="BC54" s="56">
        <f>BC53+LauderNew!BC51</f>
        <v>43.663422636576044</v>
      </c>
      <c r="BD54" s="56">
        <f>BD53+LauderNew!BD51</f>
        <v>45.469978053998254</v>
      </c>
    </row>
    <row r="55" spans="3:56" s="6" customFormat="1" x14ac:dyDescent="0.25">
      <c r="C55" s="48"/>
      <c r="D55" s="41"/>
      <c r="E55" s="45"/>
      <c r="F55" s="45"/>
      <c r="G55" s="45"/>
      <c r="H55" s="45"/>
      <c r="I55" s="45"/>
      <c r="J55" s="45"/>
      <c r="K55" s="45"/>
      <c r="L55" s="45"/>
      <c r="M55" s="45"/>
      <c r="U55" s="41"/>
    </row>
    <row r="56" spans="3:56" x14ac:dyDescent="0.25">
      <c r="D56" s="46" t="s">
        <v>19</v>
      </c>
      <c r="E56" s="82">
        <f>E2</f>
        <v>44569</v>
      </c>
      <c r="F56" s="82">
        <f t="shared" ref="F56:BD56" si="62">F2</f>
        <v>44576</v>
      </c>
      <c r="G56" s="82">
        <f t="shared" si="62"/>
        <v>44583</v>
      </c>
      <c r="H56" s="82">
        <f t="shared" si="62"/>
        <v>44590</v>
      </c>
      <c r="I56" s="82">
        <f t="shared" si="62"/>
        <v>44597</v>
      </c>
      <c r="J56" s="82">
        <f t="shared" si="62"/>
        <v>44604</v>
      </c>
      <c r="K56" s="82">
        <f t="shared" si="62"/>
        <v>44611</v>
      </c>
      <c r="L56" s="82">
        <f t="shared" si="62"/>
        <v>44618</v>
      </c>
      <c r="M56" s="82">
        <f t="shared" si="62"/>
        <v>44625</v>
      </c>
      <c r="N56" s="82">
        <f t="shared" si="62"/>
        <v>44632</v>
      </c>
      <c r="O56" s="82">
        <f t="shared" si="62"/>
        <v>44639</v>
      </c>
      <c r="P56" s="82">
        <f t="shared" si="62"/>
        <v>44646</v>
      </c>
      <c r="Q56" s="82">
        <f t="shared" si="62"/>
        <v>44653</v>
      </c>
      <c r="R56" s="82">
        <f t="shared" si="62"/>
        <v>44660</v>
      </c>
      <c r="S56" s="82">
        <f t="shared" si="62"/>
        <v>44667</v>
      </c>
      <c r="T56" s="82">
        <f t="shared" si="62"/>
        <v>44674</v>
      </c>
      <c r="U56" s="82">
        <f t="shared" si="62"/>
        <v>44681</v>
      </c>
      <c r="V56" s="82">
        <f t="shared" si="62"/>
        <v>44688</v>
      </c>
      <c r="W56" s="82">
        <f t="shared" si="62"/>
        <v>44695</v>
      </c>
      <c r="X56" s="82">
        <f t="shared" si="62"/>
        <v>44702</v>
      </c>
      <c r="Y56" s="82">
        <f t="shared" si="62"/>
        <v>44709</v>
      </c>
      <c r="Z56" s="82">
        <f t="shared" si="62"/>
        <v>44716</v>
      </c>
      <c r="AA56" s="82">
        <f t="shared" si="62"/>
        <v>44723</v>
      </c>
      <c r="AB56" s="82">
        <f t="shared" si="62"/>
        <v>44730</v>
      </c>
      <c r="AC56" s="82">
        <f t="shared" si="62"/>
        <v>44737</v>
      </c>
      <c r="AD56" s="82">
        <f t="shared" si="62"/>
        <v>44744</v>
      </c>
      <c r="AE56" s="82">
        <f t="shared" si="62"/>
        <v>44751</v>
      </c>
      <c r="AF56" s="82">
        <f t="shared" si="62"/>
        <v>44758</v>
      </c>
      <c r="AG56" s="82">
        <f t="shared" si="62"/>
        <v>44765</v>
      </c>
      <c r="AH56" s="82">
        <f t="shared" si="62"/>
        <v>44772</v>
      </c>
      <c r="AI56" s="82">
        <f t="shared" si="62"/>
        <v>44779</v>
      </c>
      <c r="AJ56" s="82">
        <f t="shared" si="62"/>
        <v>44786</v>
      </c>
      <c r="AK56" s="82">
        <f t="shared" si="62"/>
        <v>44793</v>
      </c>
      <c r="AL56" s="82">
        <f t="shared" si="62"/>
        <v>44800</v>
      </c>
      <c r="AM56" s="82">
        <f t="shared" si="62"/>
        <v>44807</v>
      </c>
      <c r="AN56" s="82">
        <f t="shared" si="62"/>
        <v>44814</v>
      </c>
      <c r="AO56" s="82">
        <f t="shared" si="62"/>
        <v>44821</v>
      </c>
      <c r="AP56" s="82">
        <f t="shared" si="62"/>
        <v>44828</v>
      </c>
      <c r="AQ56" s="82">
        <f t="shared" si="62"/>
        <v>44835</v>
      </c>
      <c r="AR56" s="82">
        <f t="shared" si="62"/>
        <v>44842</v>
      </c>
      <c r="AS56" s="82">
        <f t="shared" si="62"/>
        <v>44849</v>
      </c>
      <c r="AT56" s="82">
        <f t="shared" si="62"/>
        <v>44856</v>
      </c>
      <c r="AU56" s="82">
        <f t="shared" si="62"/>
        <v>44863</v>
      </c>
      <c r="AV56" s="82">
        <f t="shared" si="62"/>
        <v>44870</v>
      </c>
      <c r="AW56" s="82">
        <f t="shared" si="62"/>
        <v>44877</v>
      </c>
      <c r="AX56" s="82">
        <f t="shared" si="62"/>
        <v>44884</v>
      </c>
      <c r="AY56" s="82">
        <f t="shared" si="62"/>
        <v>44891</v>
      </c>
      <c r="AZ56" s="82">
        <f t="shared" si="62"/>
        <v>44898</v>
      </c>
      <c r="BA56" s="82">
        <f t="shared" si="62"/>
        <v>44905</v>
      </c>
      <c r="BB56" s="82">
        <f t="shared" si="62"/>
        <v>44912</v>
      </c>
      <c r="BC56" s="82">
        <f t="shared" si="62"/>
        <v>44919</v>
      </c>
      <c r="BD56" s="82">
        <f t="shared" si="62"/>
        <v>44926</v>
      </c>
    </row>
    <row r="57" spans="3:56" x14ac:dyDescent="0.25">
      <c r="C57" s="105" t="s">
        <v>19</v>
      </c>
      <c r="D57" s="41" t="s">
        <v>21</v>
      </c>
      <c r="E57" s="70">
        <v>15119.395200000003</v>
      </c>
      <c r="F57" s="70">
        <v>11547.8272</v>
      </c>
      <c r="G57" s="70">
        <v>9509</v>
      </c>
      <c r="H57" s="70">
        <v>9016</v>
      </c>
      <c r="I57" s="70">
        <v>8746</v>
      </c>
      <c r="J57" s="70">
        <v>8324</v>
      </c>
      <c r="K57" s="70">
        <v>7172</v>
      </c>
      <c r="L57" s="70">
        <v>7020.1600000000008</v>
      </c>
      <c r="M57" s="70">
        <v>7213.920000000001</v>
      </c>
      <c r="N57" s="70">
        <v>8353.52</v>
      </c>
      <c r="O57" s="70">
        <v>10003.84</v>
      </c>
      <c r="P57" s="70">
        <v>9975.2800000000007</v>
      </c>
      <c r="Q57" s="70">
        <v>8148.0000000000009</v>
      </c>
      <c r="R57" s="70">
        <v>7719.04</v>
      </c>
      <c r="S57" s="70">
        <v>7729.1200000000008</v>
      </c>
      <c r="T57" s="70">
        <v>8547.84</v>
      </c>
      <c r="U57" s="70">
        <v>8333.36</v>
      </c>
      <c r="V57" s="70">
        <v>9636.4800000000014</v>
      </c>
      <c r="W57" s="70">
        <v>9477.44</v>
      </c>
      <c r="X57" s="70">
        <v>9303.2800000000007</v>
      </c>
      <c r="Y57" s="70">
        <v>8386</v>
      </c>
      <c r="Z57" s="70">
        <v>7813.1200000000008</v>
      </c>
      <c r="AA57" s="70">
        <v>9679.6</v>
      </c>
      <c r="AB57" s="70">
        <v>9133.6</v>
      </c>
      <c r="AC57" s="70">
        <v>8635.2000000000007</v>
      </c>
      <c r="AD57" s="70">
        <v>7442.9600000000009</v>
      </c>
      <c r="AE57" s="70">
        <v>6489.84</v>
      </c>
      <c r="AF57" s="70">
        <v>7263.2000000000007</v>
      </c>
      <c r="AG57" s="70">
        <v>6524.56</v>
      </c>
      <c r="AH57" s="70">
        <v>7767.2000000000007</v>
      </c>
      <c r="AI57" s="70">
        <v>8019.7600000000011</v>
      </c>
      <c r="AJ57" s="70">
        <v>9020.4800000000014</v>
      </c>
      <c r="AK57" s="70">
        <v>9422</v>
      </c>
      <c r="AL57" s="70">
        <v>9318.9600000000009</v>
      </c>
      <c r="AM57" s="70">
        <v>8487.3111873428952</v>
      </c>
      <c r="AN57" s="70">
        <v>7508.2528998000598</v>
      </c>
      <c r="AO57" s="70">
        <v>7644.0589136284143</v>
      </c>
      <c r="AP57" s="70">
        <v>8011.0692653458227</v>
      </c>
      <c r="AQ57" s="70">
        <v>8715.9681112007729</v>
      </c>
      <c r="AR57" s="70">
        <v>8115.4827706279884</v>
      </c>
      <c r="AS57" s="70">
        <v>8568.9541405349337</v>
      </c>
      <c r="AT57" s="70">
        <v>8833.5519919001435</v>
      </c>
      <c r="AU57" s="70">
        <v>9363.9240320795871</v>
      </c>
      <c r="AV57" s="70">
        <v>10832.777391003488</v>
      </c>
      <c r="AW57" s="70">
        <v>11581.993488793343</v>
      </c>
      <c r="AX57" s="70">
        <v>11357.898457137544</v>
      </c>
      <c r="AY57" s="70">
        <v>27045.835352074995</v>
      </c>
      <c r="AZ57" s="70">
        <v>37754.61936728358</v>
      </c>
      <c r="BA57" s="70">
        <v>32778.233480457347</v>
      </c>
      <c r="BB57" s="70">
        <v>27250.093805326745</v>
      </c>
      <c r="BC57" s="70">
        <v>15356.742713653124</v>
      </c>
      <c r="BD57" s="70">
        <v>13817.294431076683</v>
      </c>
    </row>
    <row r="58" spans="3:56" x14ac:dyDescent="0.25">
      <c r="C58" s="106"/>
      <c r="D58" s="41" t="s">
        <v>22</v>
      </c>
      <c r="E58" s="70">
        <v>700</v>
      </c>
      <c r="F58" s="70">
        <v>700</v>
      </c>
      <c r="G58" s="70">
        <v>620</v>
      </c>
      <c r="H58" s="70">
        <v>620</v>
      </c>
      <c r="I58" s="70">
        <v>620</v>
      </c>
      <c r="J58" s="70">
        <v>620</v>
      </c>
      <c r="K58" s="70">
        <v>620</v>
      </c>
      <c r="L58" s="70">
        <v>620</v>
      </c>
      <c r="M58" s="70">
        <v>620</v>
      </c>
      <c r="N58" s="70">
        <v>620</v>
      </c>
      <c r="O58" s="70">
        <v>620</v>
      </c>
      <c r="P58" s="70">
        <v>600</v>
      </c>
      <c r="Q58" s="70">
        <v>600</v>
      </c>
      <c r="R58" s="70">
        <v>600</v>
      </c>
      <c r="S58" s="70">
        <v>600</v>
      </c>
      <c r="T58" s="70">
        <v>600</v>
      </c>
      <c r="U58" s="70">
        <v>600</v>
      </c>
      <c r="V58" s="70">
        <v>600</v>
      </c>
      <c r="W58" s="70">
        <v>600</v>
      </c>
      <c r="X58" s="70">
        <v>600</v>
      </c>
      <c r="Y58" s="70">
        <v>600</v>
      </c>
      <c r="Z58" s="70">
        <v>600</v>
      </c>
      <c r="AA58" s="70">
        <v>600</v>
      </c>
      <c r="AB58" s="70">
        <v>600</v>
      </c>
      <c r="AC58" s="70">
        <v>600</v>
      </c>
      <c r="AD58" s="70">
        <v>600</v>
      </c>
      <c r="AE58" s="70">
        <v>600</v>
      </c>
      <c r="AF58" s="70">
        <v>600</v>
      </c>
      <c r="AG58" s="70">
        <v>600</v>
      </c>
      <c r="AH58" s="70">
        <v>600</v>
      </c>
      <c r="AI58" s="70">
        <v>600</v>
      </c>
      <c r="AJ58" s="70">
        <v>600</v>
      </c>
      <c r="AK58" s="70">
        <v>600</v>
      </c>
      <c r="AL58" s="70">
        <v>600</v>
      </c>
      <c r="AM58" s="70">
        <v>600</v>
      </c>
      <c r="AN58" s="70">
        <v>600</v>
      </c>
      <c r="AO58" s="70">
        <v>600</v>
      </c>
      <c r="AP58" s="70">
        <v>600</v>
      </c>
      <c r="AQ58" s="70">
        <v>600</v>
      </c>
      <c r="AR58" s="70">
        <v>600</v>
      </c>
      <c r="AS58" s="70">
        <v>600</v>
      </c>
      <c r="AT58" s="70">
        <v>600</v>
      </c>
      <c r="AU58" s="70">
        <v>600</v>
      </c>
      <c r="AV58" s="70">
        <v>700</v>
      </c>
      <c r="AW58" s="70">
        <v>700</v>
      </c>
      <c r="AX58" s="70">
        <v>700</v>
      </c>
      <c r="AY58" s="70">
        <v>700</v>
      </c>
      <c r="AZ58" s="70">
        <v>700</v>
      </c>
      <c r="BA58" s="70">
        <v>700</v>
      </c>
      <c r="BB58" s="70">
        <v>700</v>
      </c>
      <c r="BC58" s="70">
        <v>700</v>
      </c>
      <c r="BD58" s="70">
        <v>700</v>
      </c>
    </row>
    <row r="59" spans="3:56" x14ac:dyDescent="0.25">
      <c r="C59" s="106"/>
      <c r="D59" s="41" t="s">
        <v>30</v>
      </c>
      <c r="E59" s="68">
        <v>0.75</v>
      </c>
      <c r="F59" s="68">
        <v>0.75</v>
      </c>
      <c r="G59" s="68">
        <v>0.75</v>
      </c>
      <c r="H59" s="68">
        <v>0.75</v>
      </c>
      <c r="I59" s="68">
        <v>0.75</v>
      </c>
      <c r="J59" s="68">
        <v>0.75</v>
      </c>
      <c r="K59" s="68">
        <v>0.75</v>
      </c>
      <c r="L59" s="68">
        <v>0.75</v>
      </c>
      <c r="M59" s="68">
        <v>0.75</v>
      </c>
      <c r="N59" s="68">
        <v>0.75</v>
      </c>
      <c r="O59" s="68">
        <v>0.75</v>
      </c>
      <c r="P59" s="68">
        <v>0.75</v>
      </c>
      <c r="Q59" s="68">
        <v>0.75</v>
      </c>
      <c r="R59" s="68">
        <v>0.75</v>
      </c>
      <c r="S59" s="68">
        <v>0.75</v>
      </c>
      <c r="T59" s="68">
        <v>0.75</v>
      </c>
      <c r="U59" s="68">
        <v>0.75</v>
      </c>
      <c r="V59" s="68">
        <v>0.75</v>
      </c>
      <c r="W59" s="68">
        <v>0.75</v>
      </c>
      <c r="X59" s="68">
        <v>0.75</v>
      </c>
      <c r="Y59" s="68">
        <v>0.75</v>
      </c>
      <c r="Z59" s="68">
        <v>0.75</v>
      </c>
      <c r="AA59" s="68">
        <v>0.75</v>
      </c>
      <c r="AB59" s="68">
        <v>0.75</v>
      </c>
      <c r="AC59" s="68">
        <v>0.75</v>
      </c>
      <c r="AD59" s="68">
        <v>0.75</v>
      </c>
      <c r="AE59" s="68">
        <v>0.75</v>
      </c>
      <c r="AF59" s="68">
        <v>0.75</v>
      </c>
      <c r="AG59" s="68">
        <v>0.75</v>
      </c>
      <c r="AH59" s="68">
        <v>0.75</v>
      </c>
      <c r="AI59" s="68">
        <v>0.75</v>
      </c>
      <c r="AJ59" s="68">
        <v>0.75</v>
      </c>
      <c r="AK59" s="68">
        <v>0.75</v>
      </c>
      <c r="AL59" s="68">
        <v>0.75</v>
      </c>
      <c r="AM59" s="68">
        <v>0.75</v>
      </c>
      <c r="AN59" s="68">
        <v>0.75</v>
      </c>
      <c r="AO59" s="68">
        <v>0.75</v>
      </c>
      <c r="AP59" s="68">
        <v>0.75</v>
      </c>
      <c r="AQ59" s="68">
        <v>0.75</v>
      </c>
      <c r="AR59" s="68">
        <v>0.75</v>
      </c>
      <c r="AS59" s="68">
        <v>0.75</v>
      </c>
      <c r="AT59" s="68">
        <v>0.75</v>
      </c>
      <c r="AU59" s="68">
        <v>0.75</v>
      </c>
      <c r="AV59" s="68">
        <v>0.75</v>
      </c>
      <c r="AW59" s="68">
        <v>0.75</v>
      </c>
      <c r="AX59" s="68">
        <v>0.75</v>
      </c>
      <c r="AY59" s="68">
        <v>0.79</v>
      </c>
      <c r="AZ59" s="68">
        <v>0.79999999999999993</v>
      </c>
      <c r="BA59" s="68">
        <v>0.78</v>
      </c>
      <c r="BB59" s="68">
        <v>0.77</v>
      </c>
      <c r="BC59" s="68">
        <v>0.75</v>
      </c>
      <c r="BD59" s="68">
        <v>0.75</v>
      </c>
    </row>
    <row r="60" spans="3:56" x14ac:dyDescent="0.25">
      <c r="C60" s="106"/>
      <c r="D60" s="41" t="s">
        <v>31</v>
      </c>
      <c r="E60" s="68">
        <v>0.22</v>
      </c>
      <c r="F60" s="68">
        <v>0.22</v>
      </c>
      <c r="G60" s="68">
        <v>0.22</v>
      </c>
      <c r="H60" s="68">
        <v>0.22</v>
      </c>
      <c r="I60" s="68">
        <v>0.22</v>
      </c>
      <c r="J60" s="68">
        <v>0.22</v>
      </c>
      <c r="K60" s="68">
        <v>0.22</v>
      </c>
      <c r="L60" s="68">
        <v>0.22</v>
      </c>
      <c r="M60" s="68">
        <v>0.22</v>
      </c>
      <c r="N60" s="68">
        <v>0.22</v>
      </c>
      <c r="O60" s="68">
        <v>0.22</v>
      </c>
      <c r="P60" s="68">
        <v>0.22</v>
      </c>
      <c r="Q60" s="68">
        <v>0.23250000000000001</v>
      </c>
      <c r="R60" s="68">
        <v>0.26</v>
      </c>
      <c r="S60" s="68">
        <v>0.26</v>
      </c>
      <c r="T60" s="68">
        <v>0.26</v>
      </c>
      <c r="U60" s="68">
        <v>0.26</v>
      </c>
      <c r="V60" s="68">
        <v>0.26</v>
      </c>
      <c r="W60" s="68">
        <v>0.26</v>
      </c>
      <c r="X60" s="68">
        <v>0.28000000000000003</v>
      </c>
      <c r="Y60" s="68">
        <v>0.28000000000000003</v>
      </c>
      <c r="Z60" s="68">
        <v>0.28000000000000003</v>
      </c>
      <c r="AA60" s="68">
        <v>0.28000000000000003</v>
      </c>
      <c r="AB60" s="68">
        <v>0.28000000000000003</v>
      </c>
      <c r="AC60" s="68">
        <v>0.28000000000000003</v>
      </c>
      <c r="AD60" s="68">
        <v>0.26</v>
      </c>
      <c r="AE60" s="68">
        <v>0.27</v>
      </c>
      <c r="AF60" s="68">
        <v>0.27</v>
      </c>
      <c r="AG60" s="68">
        <v>0.27</v>
      </c>
      <c r="AH60" s="68">
        <v>0.27</v>
      </c>
      <c r="AI60" s="68">
        <v>0.27</v>
      </c>
      <c r="AJ60" s="68">
        <v>0.27</v>
      </c>
      <c r="AK60" s="68">
        <v>0.27</v>
      </c>
      <c r="AL60" s="68">
        <v>0.27</v>
      </c>
      <c r="AM60" s="68">
        <v>0.27</v>
      </c>
      <c r="AN60" s="68">
        <v>0.27</v>
      </c>
      <c r="AO60" s="68">
        <v>0.27</v>
      </c>
      <c r="AP60" s="68">
        <v>0.27</v>
      </c>
      <c r="AQ60" s="68">
        <v>0.27</v>
      </c>
      <c r="AR60" s="68">
        <v>0.26</v>
      </c>
      <c r="AS60" s="68">
        <v>0.26</v>
      </c>
      <c r="AT60" s="68">
        <v>0.26</v>
      </c>
      <c r="AU60" s="68">
        <v>0.26</v>
      </c>
      <c r="AV60" s="68">
        <v>0.26</v>
      </c>
      <c r="AW60" s="68">
        <v>0.26</v>
      </c>
      <c r="AX60" s="68">
        <v>0.26</v>
      </c>
      <c r="AY60" s="68">
        <v>0.26</v>
      </c>
      <c r="AZ60" s="68">
        <v>0.26</v>
      </c>
      <c r="BA60" s="68">
        <v>0.26</v>
      </c>
      <c r="BB60" s="68">
        <v>0.26</v>
      </c>
      <c r="BC60" s="68">
        <v>0.26</v>
      </c>
      <c r="BD60" s="68">
        <v>0.26</v>
      </c>
    </row>
    <row r="61" spans="3:56" x14ac:dyDescent="0.25">
      <c r="C61" s="106"/>
      <c r="D61" s="41" t="s">
        <v>24</v>
      </c>
      <c r="E61" s="69">
        <v>2</v>
      </c>
      <c r="F61" s="69">
        <v>2</v>
      </c>
      <c r="G61" s="69">
        <v>2</v>
      </c>
      <c r="H61" s="69">
        <v>2</v>
      </c>
      <c r="I61" s="69">
        <v>2</v>
      </c>
      <c r="J61" s="69">
        <v>2</v>
      </c>
      <c r="K61" s="69">
        <v>2</v>
      </c>
      <c r="L61" s="69">
        <v>2</v>
      </c>
      <c r="M61" s="69">
        <v>2</v>
      </c>
      <c r="N61" s="69">
        <v>2</v>
      </c>
      <c r="O61" s="69">
        <v>2</v>
      </c>
      <c r="P61" s="69">
        <v>2</v>
      </c>
      <c r="Q61" s="69">
        <v>2</v>
      </c>
      <c r="R61" s="69">
        <v>2</v>
      </c>
      <c r="S61" s="69">
        <v>2</v>
      </c>
      <c r="T61" s="69">
        <v>2</v>
      </c>
      <c r="U61" s="69">
        <v>2</v>
      </c>
      <c r="V61" s="69">
        <v>2</v>
      </c>
      <c r="W61" s="69">
        <v>2</v>
      </c>
      <c r="X61" s="69">
        <v>2</v>
      </c>
      <c r="Y61" s="69">
        <v>2</v>
      </c>
      <c r="Z61" s="69">
        <v>2</v>
      </c>
      <c r="AA61" s="69">
        <v>2.6</v>
      </c>
      <c r="AB61" s="69">
        <v>2.6</v>
      </c>
      <c r="AC61" s="69">
        <v>2.6</v>
      </c>
      <c r="AD61" s="69">
        <v>2</v>
      </c>
      <c r="AE61" s="69">
        <v>2</v>
      </c>
      <c r="AF61" s="69">
        <v>2</v>
      </c>
      <c r="AG61" s="69">
        <v>2</v>
      </c>
      <c r="AH61" s="69">
        <v>2</v>
      </c>
      <c r="AI61" s="69">
        <v>2</v>
      </c>
      <c r="AJ61" s="69">
        <v>2</v>
      </c>
      <c r="AK61" s="69">
        <v>2</v>
      </c>
      <c r="AL61" s="69">
        <v>2</v>
      </c>
      <c r="AM61" s="69">
        <v>2</v>
      </c>
      <c r="AN61" s="69">
        <v>2</v>
      </c>
      <c r="AO61" s="69">
        <v>2</v>
      </c>
      <c r="AP61" s="69">
        <v>2</v>
      </c>
      <c r="AQ61" s="69">
        <v>2</v>
      </c>
      <c r="AR61" s="69">
        <v>2</v>
      </c>
      <c r="AS61" s="69">
        <v>2</v>
      </c>
      <c r="AT61" s="69">
        <v>2</v>
      </c>
      <c r="AU61" s="69">
        <v>2</v>
      </c>
      <c r="AV61" s="69">
        <v>2</v>
      </c>
      <c r="AW61" s="69">
        <v>2</v>
      </c>
      <c r="AX61" s="69">
        <v>2</v>
      </c>
      <c r="AY61" s="69">
        <v>2.6</v>
      </c>
      <c r="AZ61" s="69">
        <v>2.6</v>
      </c>
      <c r="BA61" s="69">
        <v>2.2000000000000002</v>
      </c>
      <c r="BB61" s="69">
        <v>2.2000000000000002</v>
      </c>
      <c r="BC61" s="69">
        <v>2.2000000000000002</v>
      </c>
      <c r="BD61" s="69">
        <v>2.2000000000000002</v>
      </c>
    </row>
    <row r="62" spans="3:56" x14ac:dyDescent="0.25">
      <c r="C62" s="106"/>
      <c r="D62" s="41" t="s">
        <v>33</v>
      </c>
      <c r="E62" s="83">
        <f>(E57*E58)/3600/40/E59/(1-E60)/E61</f>
        <v>62.818000000000012</v>
      </c>
      <c r="F62" s="83">
        <f t="shared" ref="F62:BD62" si="63">(F57*F58)/3600/40/F59/(1-F60)/F61</f>
        <v>47.978864197530868</v>
      </c>
      <c r="G62" s="83">
        <f t="shared" si="63"/>
        <v>34.992758784425455</v>
      </c>
      <c r="H62" s="83">
        <f t="shared" si="63"/>
        <v>33.178537511870843</v>
      </c>
      <c r="I62" s="83">
        <f t="shared" si="63"/>
        <v>32.184947768281091</v>
      </c>
      <c r="J62" s="83">
        <f t="shared" si="63"/>
        <v>30.632003798670468</v>
      </c>
      <c r="K62" s="83">
        <f t="shared" si="63"/>
        <v>26.392687559354222</v>
      </c>
      <c r="L62" s="83">
        <f t="shared" si="63"/>
        <v>25.833922127255462</v>
      </c>
      <c r="M62" s="83">
        <f t="shared" si="63"/>
        <v>26.546951566951567</v>
      </c>
      <c r="N62" s="84">
        <f t="shared" si="63"/>
        <v>30.740636277302944</v>
      </c>
      <c r="O62" s="83">
        <f t="shared" si="63"/>
        <v>36.813751187084513</v>
      </c>
      <c r="P62" s="83">
        <f t="shared" si="63"/>
        <v>35.524501424501423</v>
      </c>
      <c r="Q62" s="83">
        <f t="shared" si="63"/>
        <v>29.489685124864284</v>
      </c>
      <c r="R62" s="83">
        <f t="shared" si="63"/>
        <v>28.975375375375375</v>
      </c>
      <c r="S62" s="83">
        <f t="shared" si="63"/>
        <v>29.01321321321322</v>
      </c>
      <c r="T62" s="83">
        <f t="shared" si="63"/>
        <v>32.086486486486486</v>
      </c>
      <c r="U62" s="83">
        <f t="shared" si="63"/>
        <v>31.281381381381387</v>
      </c>
      <c r="V62" s="83">
        <f t="shared" si="63"/>
        <v>36.172972972972971</v>
      </c>
      <c r="W62" s="83">
        <f t="shared" si="63"/>
        <v>35.575975975975979</v>
      </c>
      <c r="X62" s="83">
        <f t="shared" si="63"/>
        <v>35.892283950617283</v>
      </c>
      <c r="Y62" s="83">
        <f t="shared" si="63"/>
        <v>32.353395061728399</v>
      </c>
      <c r="Z62" s="83">
        <f t="shared" si="63"/>
        <v>30.143209876543217</v>
      </c>
      <c r="AA62" s="83">
        <f t="shared" si="63"/>
        <v>28.726258309591639</v>
      </c>
      <c r="AB62" s="83">
        <f t="shared" si="63"/>
        <v>27.105887939221269</v>
      </c>
      <c r="AC62" s="83">
        <f t="shared" si="63"/>
        <v>25.626780626780626</v>
      </c>
      <c r="AD62" s="83">
        <f t="shared" si="63"/>
        <v>27.939039039039042</v>
      </c>
      <c r="AE62" s="83">
        <f t="shared" si="63"/>
        <v>24.694977168949773</v>
      </c>
      <c r="AF62" s="83">
        <f t="shared" si="63"/>
        <v>27.637747336377473</v>
      </c>
      <c r="AG62" s="83">
        <f t="shared" si="63"/>
        <v>24.827092846270929</v>
      </c>
      <c r="AH62" s="83">
        <f t="shared" si="63"/>
        <v>29.555555555555554</v>
      </c>
      <c r="AI62" s="83">
        <f t="shared" si="63"/>
        <v>30.516590563165913</v>
      </c>
      <c r="AJ62" s="83">
        <f t="shared" si="63"/>
        <v>34.324505327245056</v>
      </c>
      <c r="AK62" s="83">
        <f t="shared" si="63"/>
        <v>35.852359208523588</v>
      </c>
      <c r="AL62" s="83">
        <f t="shared" si="63"/>
        <v>35.460273972602749</v>
      </c>
      <c r="AM62" s="83">
        <f t="shared" si="63"/>
        <v>32.295704670254544</v>
      </c>
      <c r="AN62" s="83">
        <f t="shared" si="63"/>
        <v>28.570216513698856</v>
      </c>
      <c r="AO62" s="83">
        <f t="shared" si="63"/>
        <v>29.086982167535826</v>
      </c>
      <c r="AP62" s="83">
        <f t="shared" si="63"/>
        <v>30.483520796597496</v>
      </c>
      <c r="AQ62" s="83">
        <f t="shared" si="63"/>
        <v>33.165784289196246</v>
      </c>
      <c r="AR62" s="83">
        <f t="shared" si="63"/>
        <v>30.463523913768725</v>
      </c>
      <c r="AS62" s="83">
        <f t="shared" si="63"/>
        <v>32.165743770776771</v>
      </c>
      <c r="AT62" s="83">
        <f t="shared" si="63"/>
        <v>33.158978948574116</v>
      </c>
      <c r="AU62" s="83">
        <f t="shared" si="63"/>
        <v>35.149864985283735</v>
      </c>
      <c r="AV62" s="83">
        <f t="shared" si="63"/>
        <v>47.440841927567831</v>
      </c>
      <c r="AW62" s="83">
        <f t="shared" si="63"/>
        <v>50.721943456927811</v>
      </c>
      <c r="AX62" s="83">
        <f t="shared" si="63"/>
        <v>49.740546296273024</v>
      </c>
      <c r="AY62" s="83">
        <f t="shared" si="63"/>
        <v>86.497546474416069</v>
      </c>
      <c r="AZ62" s="83">
        <f t="shared" si="63"/>
        <v>119.23687610581662</v>
      </c>
      <c r="BA62" s="83">
        <f t="shared" si="63"/>
        <v>125.47930052167631</v>
      </c>
      <c r="BB62" s="83">
        <f t="shared" si="63"/>
        <v>105.67163420649503</v>
      </c>
      <c r="BC62" s="83">
        <f t="shared" si="63"/>
        <v>61.139093067824561</v>
      </c>
      <c r="BD62" s="83">
        <f t="shared" si="63"/>
        <v>55.010158463882497</v>
      </c>
    </row>
    <row r="63" spans="3:56" s="6" customFormat="1" x14ac:dyDescent="0.25">
      <c r="C63" s="106"/>
      <c r="D63" s="41"/>
      <c r="E63" s="44"/>
      <c r="F63" s="44"/>
      <c r="G63" s="44"/>
      <c r="H63" s="44"/>
      <c r="I63" s="44"/>
      <c r="J63" s="44"/>
      <c r="K63" s="44"/>
      <c r="L63" s="44"/>
      <c r="M63" s="44"/>
      <c r="U63" s="41"/>
    </row>
    <row r="64" spans="3:56" s="6" customFormat="1" x14ac:dyDescent="0.25">
      <c r="C64" s="106"/>
      <c r="D64" s="49" t="s">
        <v>34</v>
      </c>
      <c r="E64" s="65">
        <v>0</v>
      </c>
      <c r="F64" s="65">
        <v>0</v>
      </c>
      <c r="G64" s="65">
        <v>0</v>
      </c>
      <c r="H64" s="65">
        <v>0</v>
      </c>
      <c r="I64" s="65">
        <v>0</v>
      </c>
      <c r="J64" s="65">
        <v>0</v>
      </c>
      <c r="K64" s="65">
        <v>0</v>
      </c>
      <c r="L64" s="65">
        <v>0</v>
      </c>
      <c r="M64" s="65">
        <v>0</v>
      </c>
      <c r="N64" s="65">
        <v>0</v>
      </c>
      <c r="O64" s="65">
        <v>0</v>
      </c>
      <c r="P64" s="65">
        <v>0</v>
      </c>
      <c r="Q64" s="65">
        <v>0</v>
      </c>
      <c r="R64" s="65">
        <v>0</v>
      </c>
      <c r="S64" s="65">
        <v>0</v>
      </c>
      <c r="T64" s="65">
        <v>0</v>
      </c>
      <c r="U64" s="65">
        <v>0</v>
      </c>
      <c r="V64" s="65">
        <v>0</v>
      </c>
      <c r="W64" s="65">
        <v>0</v>
      </c>
      <c r="X64" s="65">
        <v>0</v>
      </c>
      <c r="Y64" s="65">
        <v>0</v>
      </c>
      <c r="Z64" s="65">
        <v>0</v>
      </c>
      <c r="AA64" s="65">
        <v>0</v>
      </c>
      <c r="AB64" s="65">
        <v>0</v>
      </c>
      <c r="AC64" s="65">
        <v>0</v>
      </c>
      <c r="AD64" s="65">
        <v>0</v>
      </c>
      <c r="AE64" s="65">
        <v>0</v>
      </c>
      <c r="AF64" s="65">
        <v>0</v>
      </c>
      <c r="AG64" s="65">
        <v>0</v>
      </c>
      <c r="AH64" s="65">
        <v>0</v>
      </c>
      <c r="AI64" s="65">
        <v>0</v>
      </c>
      <c r="AJ64" s="65">
        <v>0</v>
      </c>
      <c r="AK64" s="65">
        <v>0</v>
      </c>
      <c r="AL64" s="65">
        <v>0</v>
      </c>
      <c r="AM64" s="65">
        <v>0</v>
      </c>
      <c r="AN64" s="65">
        <v>0</v>
      </c>
      <c r="AO64" s="65">
        <v>0</v>
      </c>
      <c r="AP64" s="65">
        <v>0</v>
      </c>
      <c r="AQ64" s="65">
        <v>0</v>
      </c>
      <c r="AR64" s="65">
        <v>0</v>
      </c>
      <c r="AS64" s="65">
        <v>0</v>
      </c>
      <c r="AT64" s="65">
        <v>0</v>
      </c>
      <c r="AU64" s="65">
        <v>0</v>
      </c>
      <c r="AV64" s="65">
        <v>0</v>
      </c>
      <c r="AW64" s="65">
        <v>0</v>
      </c>
      <c r="AX64" s="65">
        <v>0</v>
      </c>
      <c r="AY64" s="65">
        <v>0</v>
      </c>
      <c r="AZ64" s="65">
        <v>0</v>
      </c>
      <c r="BA64" s="65">
        <v>0</v>
      </c>
      <c r="BB64" s="65">
        <v>0</v>
      </c>
      <c r="BC64" s="65">
        <v>0</v>
      </c>
      <c r="BD64" s="65">
        <v>0</v>
      </c>
    </row>
    <row r="65" spans="3:56" s="6" customFormat="1" x14ac:dyDescent="0.25">
      <c r="C65" s="106"/>
      <c r="D65" s="49" t="s">
        <v>35</v>
      </c>
      <c r="E65" s="65">
        <v>0</v>
      </c>
      <c r="F65" s="65">
        <v>0</v>
      </c>
      <c r="G65" s="65">
        <v>0</v>
      </c>
      <c r="H65" s="65">
        <v>0</v>
      </c>
      <c r="I65" s="65">
        <v>0</v>
      </c>
      <c r="J65" s="65">
        <v>0</v>
      </c>
      <c r="K65" s="65">
        <v>0</v>
      </c>
      <c r="L65" s="65">
        <v>0</v>
      </c>
      <c r="M65" s="65">
        <v>0</v>
      </c>
      <c r="N65" s="65">
        <v>0</v>
      </c>
      <c r="O65" s="65">
        <v>0</v>
      </c>
      <c r="P65" s="65">
        <v>0</v>
      </c>
      <c r="Q65" s="65">
        <v>0</v>
      </c>
      <c r="R65" s="65">
        <v>0</v>
      </c>
      <c r="S65" s="65">
        <v>0</v>
      </c>
      <c r="T65" s="65">
        <v>0</v>
      </c>
      <c r="U65" s="65">
        <v>0</v>
      </c>
      <c r="V65" s="65">
        <v>0</v>
      </c>
      <c r="W65" s="65">
        <v>0</v>
      </c>
      <c r="X65" s="65">
        <v>0</v>
      </c>
      <c r="Y65" s="65">
        <v>0</v>
      </c>
      <c r="Z65" s="65">
        <v>0</v>
      </c>
      <c r="AA65" s="65">
        <v>0</v>
      </c>
      <c r="AB65" s="65">
        <v>0</v>
      </c>
      <c r="AC65" s="65">
        <v>0</v>
      </c>
      <c r="AD65" s="65">
        <v>0</v>
      </c>
      <c r="AE65" s="65">
        <v>0</v>
      </c>
      <c r="AF65" s="65">
        <v>0</v>
      </c>
      <c r="AG65" s="65">
        <v>0</v>
      </c>
      <c r="AH65" s="65">
        <v>0</v>
      </c>
      <c r="AI65" s="65">
        <v>0</v>
      </c>
      <c r="AJ65" s="65">
        <v>0</v>
      </c>
      <c r="AK65" s="65">
        <v>0</v>
      </c>
      <c r="AL65" s="65">
        <v>0</v>
      </c>
      <c r="AM65" s="65">
        <v>0</v>
      </c>
      <c r="AN65" s="65">
        <v>0</v>
      </c>
      <c r="AO65" s="65">
        <v>0</v>
      </c>
      <c r="AP65" s="65">
        <v>0</v>
      </c>
      <c r="AQ65" s="65">
        <v>0</v>
      </c>
      <c r="AR65" s="65">
        <v>0</v>
      </c>
      <c r="AS65" s="65">
        <v>0</v>
      </c>
      <c r="AT65" s="65">
        <v>0</v>
      </c>
      <c r="AU65" s="65">
        <v>0</v>
      </c>
      <c r="AV65" s="65">
        <v>0</v>
      </c>
      <c r="AW65" s="65">
        <v>0</v>
      </c>
      <c r="AX65" s="65">
        <v>0</v>
      </c>
      <c r="AY65" s="65">
        <v>0</v>
      </c>
      <c r="AZ65" s="65">
        <v>0</v>
      </c>
      <c r="BA65" s="65">
        <v>0</v>
      </c>
      <c r="BB65" s="65">
        <v>0</v>
      </c>
      <c r="BC65" s="65">
        <v>0</v>
      </c>
      <c r="BD65" s="65">
        <v>0</v>
      </c>
    </row>
    <row r="66" spans="3:56" s="6" customFormat="1" x14ac:dyDescent="0.25">
      <c r="C66" s="106"/>
      <c r="D66" s="49" t="s">
        <v>36</v>
      </c>
      <c r="E66" s="65">
        <v>0</v>
      </c>
      <c r="F66" s="65">
        <v>0</v>
      </c>
      <c r="G66" s="65">
        <v>0</v>
      </c>
      <c r="H66" s="65">
        <v>0</v>
      </c>
      <c r="I66" s="65">
        <v>0</v>
      </c>
      <c r="J66" s="65">
        <v>0</v>
      </c>
      <c r="K66" s="65">
        <v>0</v>
      </c>
      <c r="L66" s="65">
        <v>0</v>
      </c>
      <c r="M66" s="65">
        <v>0</v>
      </c>
      <c r="N66" s="65">
        <v>0</v>
      </c>
      <c r="O66" s="65">
        <v>0</v>
      </c>
      <c r="P66" s="65">
        <v>0</v>
      </c>
      <c r="Q66" s="65">
        <v>0</v>
      </c>
      <c r="R66" s="65">
        <v>0</v>
      </c>
      <c r="S66" s="65">
        <v>0</v>
      </c>
      <c r="T66" s="65">
        <v>0</v>
      </c>
      <c r="U66" s="65">
        <v>0</v>
      </c>
      <c r="V66" s="65">
        <v>0</v>
      </c>
      <c r="W66" s="65">
        <v>0</v>
      </c>
      <c r="X66" s="65">
        <v>0</v>
      </c>
      <c r="Y66" s="65">
        <v>0</v>
      </c>
      <c r="Z66" s="65">
        <v>0</v>
      </c>
      <c r="AA66" s="65">
        <v>0</v>
      </c>
      <c r="AB66" s="65">
        <v>0</v>
      </c>
      <c r="AC66" s="65">
        <v>0</v>
      </c>
      <c r="AD66" s="65">
        <v>0</v>
      </c>
      <c r="AE66" s="65">
        <v>0</v>
      </c>
      <c r="AF66" s="65">
        <v>0</v>
      </c>
      <c r="AG66" s="65">
        <v>0</v>
      </c>
      <c r="AH66" s="65">
        <v>0</v>
      </c>
      <c r="AI66" s="65">
        <v>0</v>
      </c>
      <c r="AJ66" s="65">
        <v>0</v>
      </c>
      <c r="AK66" s="65">
        <v>0</v>
      </c>
      <c r="AL66" s="65">
        <v>0</v>
      </c>
      <c r="AM66" s="65">
        <v>0</v>
      </c>
      <c r="AN66" s="65">
        <v>0</v>
      </c>
      <c r="AO66" s="65">
        <v>0</v>
      </c>
      <c r="AP66" s="65">
        <v>0</v>
      </c>
      <c r="AQ66" s="65">
        <v>0</v>
      </c>
      <c r="AR66" s="65">
        <v>0</v>
      </c>
      <c r="AS66" s="65">
        <v>0</v>
      </c>
      <c r="AT66" s="65">
        <v>0</v>
      </c>
      <c r="AU66" s="65">
        <v>0</v>
      </c>
      <c r="AV66" s="65">
        <v>0</v>
      </c>
      <c r="AW66" s="65">
        <v>0</v>
      </c>
      <c r="AX66" s="65">
        <v>0</v>
      </c>
      <c r="AY66" s="65">
        <v>0</v>
      </c>
      <c r="AZ66" s="65">
        <v>0</v>
      </c>
      <c r="BA66" s="65">
        <v>0</v>
      </c>
      <c r="BB66" s="65">
        <v>0</v>
      </c>
      <c r="BC66" s="65">
        <v>0</v>
      </c>
      <c r="BD66" s="65">
        <v>0</v>
      </c>
    </row>
    <row r="67" spans="3:56" s="6" customFormat="1" x14ac:dyDescent="0.25">
      <c r="C67" s="106"/>
      <c r="D67" s="49" t="s">
        <v>37</v>
      </c>
      <c r="E67" s="65">
        <v>0</v>
      </c>
      <c r="F67" s="65">
        <v>0</v>
      </c>
      <c r="G67" s="65">
        <v>0</v>
      </c>
      <c r="H67" s="65">
        <v>0</v>
      </c>
      <c r="I67" s="65">
        <v>0</v>
      </c>
      <c r="J67" s="65">
        <v>0</v>
      </c>
      <c r="K67" s="65">
        <v>0</v>
      </c>
      <c r="L67" s="65">
        <v>0</v>
      </c>
      <c r="M67" s="65">
        <v>0</v>
      </c>
      <c r="N67" s="65">
        <v>0</v>
      </c>
      <c r="O67" s="65">
        <v>0</v>
      </c>
      <c r="P67" s="65">
        <v>0</v>
      </c>
      <c r="Q67" s="65">
        <v>0</v>
      </c>
      <c r="R67" s="65">
        <v>0</v>
      </c>
      <c r="S67" s="65">
        <v>0</v>
      </c>
      <c r="T67" s="65">
        <v>0</v>
      </c>
      <c r="U67" s="65">
        <v>0</v>
      </c>
      <c r="V67" s="65">
        <v>0</v>
      </c>
      <c r="W67" s="65">
        <v>0</v>
      </c>
      <c r="X67" s="65">
        <v>0</v>
      </c>
      <c r="Y67" s="65">
        <v>0</v>
      </c>
      <c r="Z67" s="65">
        <v>0</v>
      </c>
      <c r="AA67" s="65">
        <v>0</v>
      </c>
      <c r="AB67" s="65">
        <v>0</v>
      </c>
      <c r="AC67" s="65">
        <v>0</v>
      </c>
      <c r="AD67" s="65">
        <v>0</v>
      </c>
      <c r="AE67" s="65">
        <v>0</v>
      </c>
      <c r="AF67" s="65">
        <v>0</v>
      </c>
      <c r="AG67" s="65">
        <v>0</v>
      </c>
      <c r="AH67" s="65">
        <v>0</v>
      </c>
      <c r="AI67" s="65">
        <v>0</v>
      </c>
      <c r="AJ67" s="65">
        <v>0</v>
      </c>
      <c r="AK67" s="65">
        <v>0</v>
      </c>
      <c r="AL67" s="65">
        <v>0</v>
      </c>
      <c r="AM67" s="65">
        <v>0</v>
      </c>
      <c r="AN67" s="65">
        <v>0</v>
      </c>
      <c r="AO67" s="65">
        <v>0</v>
      </c>
      <c r="AP67" s="65">
        <v>0</v>
      </c>
      <c r="AQ67" s="65">
        <v>0</v>
      </c>
      <c r="AR67" s="65">
        <v>0</v>
      </c>
      <c r="AS67" s="65">
        <v>0</v>
      </c>
      <c r="AT67" s="65">
        <v>0</v>
      </c>
      <c r="AU67" s="65">
        <v>0</v>
      </c>
      <c r="AV67" s="65">
        <v>0</v>
      </c>
      <c r="AW67" s="65">
        <v>0</v>
      </c>
      <c r="AX67" s="65">
        <v>0</v>
      </c>
      <c r="AY67" s="65">
        <v>0</v>
      </c>
      <c r="AZ67" s="65">
        <v>0</v>
      </c>
      <c r="BA67" s="65">
        <v>0</v>
      </c>
      <c r="BB67" s="65">
        <v>0</v>
      </c>
      <c r="BC67" s="65">
        <v>0</v>
      </c>
      <c r="BD67" s="65">
        <v>0</v>
      </c>
    </row>
    <row r="68" spans="3:56" s="6" customFormat="1" x14ac:dyDescent="0.25">
      <c r="C68" s="106"/>
      <c r="D68" s="49" t="s">
        <v>38</v>
      </c>
      <c r="E68" s="65">
        <v>0</v>
      </c>
      <c r="F68" s="65">
        <v>0</v>
      </c>
      <c r="G68" s="65">
        <v>0</v>
      </c>
      <c r="H68" s="65">
        <v>0</v>
      </c>
      <c r="I68" s="65">
        <v>0</v>
      </c>
      <c r="J68" s="65">
        <v>0</v>
      </c>
      <c r="K68" s="65">
        <v>0</v>
      </c>
      <c r="L68" s="65">
        <v>0</v>
      </c>
      <c r="M68" s="65">
        <v>0</v>
      </c>
      <c r="N68" s="65">
        <v>0</v>
      </c>
      <c r="O68" s="65">
        <v>0</v>
      </c>
      <c r="P68" s="65">
        <v>0</v>
      </c>
      <c r="Q68" s="65">
        <v>0</v>
      </c>
      <c r="R68" s="65">
        <v>0</v>
      </c>
      <c r="S68" s="65">
        <v>0</v>
      </c>
      <c r="T68" s="65">
        <v>0</v>
      </c>
      <c r="U68" s="65">
        <v>0</v>
      </c>
      <c r="V68" s="65">
        <v>0</v>
      </c>
      <c r="W68" s="65">
        <v>0</v>
      </c>
      <c r="X68" s="65">
        <v>0</v>
      </c>
      <c r="Y68" s="65">
        <v>0</v>
      </c>
      <c r="Z68" s="65">
        <v>0</v>
      </c>
      <c r="AA68" s="65">
        <v>0</v>
      </c>
      <c r="AB68" s="65">
        <v>0</v>
      </c>
      <c r="AC68" s="65">
        <v>0</v>
      </c>
      <c r="AD68" s="65">
        <v>0</v>
      </c>
      <c r="AE68" s="65">
        <v>0</v>
      </c>
      <c r="AF68" s="65">
        <v>0</v>
      </c>
      <c r="AG68" s="65">
        <v>0</v>
      </c>
      <c r="AH68" s="65">
        <v>0</v>
      </c>
      <c r="AI68" s="65">
        <v>0</v>
      </c>
      <c r="AJ68" s="65">
        <v>0</v>
      </c>
      <c r="AK68" s="65">
        <v>0</v>
      </c>
      <c r="AL68" s="65">
        <v>0</v>
      </c>
      <c r="AM68" s="65">
        <v>0</v>
      </c>
      <c r="AN68" s="65">
        <v>0</v>
      </c>
      <c r="AO68" s="65">
        <v>0</v>
      </c>
      <c r="AP68" s="65">
        <v>0</v>
      </c>
      <c r="AQ68" s="65">
        <v>0</v>
      </c>
      <c r="AR68" s="65">
        <v>0</v>
      </c>
      <c r="AS68" s="65">
        <v>0</v>
      </c>
      <c r="AT68" s="65">
        <v>0</v>
      </c>
      <c r="AU68" s="65">
        <v>0</v>
      </c>
      <c r="AV68" s="65">
        <v>0</v>
      </c>
      <c r="AW68" s="65">
        <v>0</v>
      </c>
      <c r="AX68" s="65">
        <v>0</v>
      </c>
      <c r="AY68" s="65">
        <v>0</v>
      </c>
      <c r="AZ68" s="65">
        <v>0</v>
      </c>
      <c r="BA68" s="65">
        <v>0</v>
      </c>
      <c r="BB68" s="65">
        <v>0</v>
      </c>
      <c r="BC68" s="65">
        <v>0</v>
      </c>
      <c r="BD68" s="65">
        <v>0</v>
      </c>
    </row>
    <row r="69" spans="3:56" s="6" customFormat="1" x14ac:dyDescent="0.25">
      <c r="C69" s="106"/>
      <c r="D69" s="49" t="s">
        <v>39</v>
      </c>
      <c r="E69" s="65">
        <v>35</v>
      </c>
      <c r="F69" s="65">
        <v>27</v>
      </c>
      <c r="G69" s="65">
        <v>36</v>
      </c>
      <c r="H69" s="65">
        <v>29</v>
      </c>
      <c r="I69" s="65">
        <v>22</v>
      </c>
      <c r="J69" s="65">
        <v>21</v>
      </c>
      <c r="K69" s="65">
        <v>20</v>
      </c>
      <c r="L69" s="65">
        <v>21</v>
      </c>
      <c r="M69" s="65">
        <v>20</v>
      </c>
      <c r="N69" s="65">
        <v>19</v>
      </c>
      <c r="O69" s="65">
        <v>23</v>
      </c>
      <c r="P69" s="65">
        <v>22</v>
      </c>
      <c r="Q69" s="65">
        <v>22</v>
      </c>
      <c r="R69" s="65">
        <v>22</v>
      </c>
      <c r="S69" s="65">
        <v>22</v>
      </c>
      <c r="T69" s="65">
        <v>22</v>
      </c>
      <c r="U69" s="65">
        <v>22</v>
      </c>
      <c r="V69" s="65">
        <v>33</v>
      </c>
      <c r="W69" s="65">
        <v>33</v>
      </c>
      <c r="X69" s="65">
        <v>33</v>
      </c>
      <c r="Y69" s="65">
        <v>35.43</v>
      </c>
      <c r="Z69" s="65">
        <v>34.012799999999999</v>
      </c>
      <c r="AA69" s="65">
        <v>24.502607999999995</v>
      </c>
      <c r="AB69" s="65">
        <v>24.135068879999995</v>
      </c>
      <c r="AC69" s="65">
        <v>25.773042846799996</v>
      </c>
      <c r="AD69" s="65">
        <v>28.386447204097994</v>
      </c>
      <c r="AE69" s="65">
        <v>27.960650496036525</v>
      </c>
      <c r="AF69" s="65">
        <v>28.541240738595977</v>
      </c>
      <c r="AG69" s="65">
        <v>28.113122127517038</v>
      </c>
      <c r="AH69" s="65">
        <v>27.691425295604283</v>
      </c>
      <c r="AI69" s="65">
        <v>33.27605391617022</v>
      </c>
      <c r="AJ69" s="65">
        <v>33.776913107427667</v>
      </c>
      <c r="AK69" s="65">
        <v>33.270259410816251</v>
      </c>
      <c r="AL69" s="65">
        <v>35.771205519654011</v>
      </c>
      <c r="AM69" s="65">
        <v>35.234637436859202</v>
      </c>
      <c r="AN69" s="65">
        <v>33.706117875306312</v>
      </c>
      <c r="AO69" s="65">
        <v>33.200526107176714</v>
      </c>
      <c r="AP69" s="65">
        <v>32.702518215569064</v>
      </c>
      <c r="AQ69" s="65">
        <v>39.71198044233553</v>
      </c>
      <c r="AR69" s="65">
        <v>38.116300735700499</v>
      </c>
      <c r="AS69" s="65">
        <v>35.544556224664994</v>
      </c>
      <c r="AT69" s="65">
        <v>47.511387881295022</v>
      </c>
      <c r="AU69" s="65">
        <v>44.7987170630756</v>
      </c>
      <c r="AV69" s="65">
        <v>46.626736307129462</v>
      </c>
      <c r="AW69" s="65">
        <v>30.461067899451223</v>
      </c>
      <c r="AX69" s="65">
        <v>57.699541201964941</v>
      </c>
      <c r="AY69" s="65">
        <v>56.257052671915815</v>
      </c>
      <c r="AZ69" s="65">
        <v>51.850626355117917</v>
      </c>
      <c r="BA69" s="65">
        <v>55.258095037362018</v>
      </c>
      <c r="BB69" s="65">
        <v>56.495190285493919</v>
      </c>
      <c r="BC69" s="65">
        <v>67.67043077121923</v>
      </c>
      <c r="BD69" s="65">
        <v>64.286909232658275</v>
      </c>
    </row>
    <row r="70" spans="3:56" s="6" customFormat="1" x14ac:dyDescent="0.25">
      <c r="C70" s="106"/>
      <c r="D70" s="49" t="s">
        <v>40</v>
      </c>
      <c r="E70" s="65">
        <v>22.5</v>
      </c>
      <c r="F70" s="65">
        <v>20.25</v>
      </c>
      <c r="G70" s="65">
        <v>15.75</v>
      </c>
      <c r="H70" s="65">
        <v>14.625</v>
      </c>
      <c r="I70" s="65">
        <v>14.625</v>
      </c>
      <c r="J70" s="65">
        <v>14.625</v>
      </c>
      <c r="K70" s="65">
        <v>14.625</v>
      </c>
      <c r="L70" s="65">
        <v>14.625</v>
      </c>
      <c r="M70" s="65">
        <v>13.5</v>
      </c>
      <c r="N70" s="65">
        <v>14.625</v>
      </c>
      <c r="O70" s="65">
        <v>14.625</v>
      </c>
      <c r="P70" s="65">
        <v>14.63</v>
      </c>
      <c r="Q70" s="65">
        <v>13.5</v>
      </c>
      <c r="R70" s="65">
        <v>13.5</v>
      </c>
      <c r="S70" s="65">
        <v>13.5</v>
      </c>
      <c r="T70" s="65">
        <v>12.375</v>
      </c>
      <c r="U70" s="65">
        <v>12.375</v>
      </c>
      <c r="V70" s="65">
        <v>12.375</v>
      </c>
      <c r="W70" s="65">
        <v>11.25</v>
      </c>
      <c r="X70" s="65">
        <v>11.25</v>
      </c>
      <c r="Y70" s="65">
        <v>10.8</v>
      </c>
      <c r="Z70" s="65">
        <v>10.368</v>
      </c>
      <c r="AA70" s="65">
        <v>10.212480000000001</v>
      </c>
      <c r="AB70" s="65">
        <v>10.059292800000001</v>
      </c>
      <c r="AC70" s="65">
        <v>9.9084034080000016</v>
      </c>
      <c r="AD70" s="65">
        <v>9.7597773568800008</v>
      </c>
      <c r="AE70" s="65">
        <v>9.6133806965268001</v>
      </c>
      <c r="AF70" s="65">
        <v>9.4691799860788972</v>
      </c>
      <c r="AG70" s="65">
        <v>9.3271422862877138</v>
      </c>
      <c r="AH70" s="65">
        <v>9.1872351519933986</v>
      </c>
      <c r="AI70" s="65">
        <v>9.0494266247134973</v>
      </c>
      <c r="AJ70" s="65">
        <v>8.9136852253427943</v>
      </c>
      <c r="AK70" s="65">
        <v>8.7799799469626532</v>
      </c>
      <c r="AL70" s="65">
        <v>8.6482802477582137</v>
      </c>
      <c r="AM70" s="65">
        <v>8.5185560440418406</v>
      </c>
      <c r="AN70" s="65">
        <v>8.3907777033812128</v>
      </c>
      <c r="AO70" s="65">
        <v>8.2649160378304938</v>
      </c>
      <c r="AP70" s="65">
        <v>8.1409422972630363</v>
      </c>
      <c r="AQ70" s="65">
        <v>8.0188281628040912</v>
      </c>
      <c r="AR70" s="65">
        <v>7.8985457403620298</v>
      </c>
      <c r="AS70" s="65">
        <v>7.7800675542565996</v>
      </c>
      <c r="AT70" s="65">
        <v>7.6633665409427509</v>
      </c>
      <c r="AU70" s="65">
        <v>7.5484160428286096</v>
      </c>
      <c r="AV70" s="65">
        <v>26.96643980218618</v>
      </c>
      <c r="AW70" s="65">
        <v>26.292278807131524</v>
      </c>
      <c r="AX70" s="65">
        <v>55.166221836953234</v>
      </c>
      <c r="AY70" s="65">
        <v>53.787066291029404</v>
      </c>
      <c r="AZ70" s="65">
        <v>52.44238963375367</v>
      </c>
      <c r="BA70" s="65">
        <v>49.820270152065987</v>
      </c>
      <c r="BB70" s="65">
        <v>47.329256644462689</v>
      </c>
      <c r="BC70" s="65">
        <v>44.962793812239553</v>
      </c>
      <c r="BD70" s="65">
        <v>42.714654121627575</v>
      </c>
    </row>
    <row r="71" spans="3:56" s="6" customFormat="1" x14ac:dyDescent="0.25">
      <c r="C71" s="106"/>
      <c r="D71" s="50" t="s">
        <v>41</v>
      </c>
      <c r="E71" s="54">
        <f t="shared" ref="E71:BD71" si="64">(SUM(E64:E70)*E73)/((40*(1-E72)+40))</f>
        <v>0</v>
      </c>
      <c r="F71" s="54">
        <f t="shared" si="64"/>
        <v>0</v>
      </c>
      <c r="G71" s="54">
        <f t="shared" si="64"/>
        <v>0</v>
      </c>
      <c r="H71" s="54">
        <f t="shared" si="64"/>
        <v>-5.6902173913043477</v>
      </c>
      <c r="I71" s="54">
        <f t="shared" si="64"/>
        <v>0</v>
      </c>
      <c r="J71" s="54">
        <f t="shared" si="64"/>
        <v>0</v>
      </c>
      <c r="K71" s="54">
        <f t="shared" si="64"/>
        <v>-6.0217391304347823</v>
      </c>
      <c r="L71" s="54">
        <f t="shared" si="64"/>
        <v>-4.6467391304347823</v>
      </c>
      <c r="M71" s="54">
        <f t="shared" si="64"/>
        <v>-2.9130434782608696</v>
      </c>
      <c r="N71" s="54">
        <f t="shared" si="64"/>
        <v>0</v>
      </c>
      <c r="O71" s="54">
        <f t="shared" si="64"/>
        <v>3.2717391304347827</v>
      </c>
      <c r="P71" s="54">
        <f t="shared" si="64"/>
        <v>0</v>
      </c>
      <c r="Q71" s="54">
        <f t="shared" si="64"/>
        <v>0</v>
      </c>
      <c r="R71" s="54">
        <f t="shared" si="64"/>
        <v>0</v>
      </c>
      <c r="S71" s="54">
        <f t="shared" si="64"/>
        <v>0</v>
      </c>
      <c r="T71" s="54">
        <f t="shared" si="64"/>
        <v>0</v>
      </c>
      <c r="U71" s="54">
        <f t="shared" si="64"/>
        <v>5.9782608695652177</v>
      </c>
      <c r="V71" s="54">
        <f t="shared" si="64"/>
        <v>7.8913043478260869</v>
      </c>
      <c r="W71" s="54">
        <f t="shared" si="64"/>
        <v>7.6956521739130439</v>
      </c>
      <c r="X71" s="54">
        <f t="shared" si="64"/>
        <v>5.7717391304347823</v>
      </c>
      <c r="Y71" s="54">
        <f t="shared" si="64"/>
        <v>-8.0400000000000009</v>
      </c>
      <c r="Z71" s="54">
        <f t="shared" si="64"/>
        <v>-3.8592</v>
      </c>
      <c r="AA71" s="54">
        <f t="shared" si="64"/>
        <v>0</v>
      </c>
      <c r="AB71" s="54">
        <f t="shared" si="64"/>
        <v>0</v>
      </c>
      <c r="AC71" s="54">
        <f t="shared" si="64"/>
        <v>-0.77568361423478249</v>
      </c>
      <c r="AD71" s="54">
        <f t="shared" si="64"/>
        <v>-0.82926575132560865</v>
      </c>
      <c r="AE71" s="54">
        <f t="shared" si="64"/>
        <v>-3.267307060222898</v>
      </c>
      <c r="AF71" s="54">
        <f t="shared" si="64"/>
        <v>0</v>
      </c>
      <c r="AG71" s="54">
        <f t="shared" si="64"/>
        <v>0</v>
      </c>
      <c r="AH71" s="54">
        <f t="shared" si="64"/>
        <v>4.8102600583823065</v>
      </c>
      <c r="AI71" s="54">
        <f t="shared" si="64"/>
        <v>0</v>
      </c>
      <c r="AJ71" s="54">
        <f t="shared" si="64"/>
        <v>7.4244518839600806</v>
      </c>
      <c r="AK71" s="54">
        <f t="shared" si="64"/>
        <v>7.3130851057006794</v>
      </c>
      <c r="AL71" s="54">
        <f t="shared" si="64"/>
        <v>1.931281989887488</v>
      </c>
      <c r="AM71" s="54">
        <f t="shared" si="64"/>
        <v>0</v>
      </c>
      <c r="AN71" s="54">
        <f t="shared" si="64"/>
        <v>0</v>
      </c>
      <c r="AO71" s="54">
        <f t="shared" si="64"/>
        <v>0</v>
      </c>
      <c r="AP71" s="54">
        <f t="shared" si="64"/>
        <v>0</v>
      </c>
      <c r="AQ71" s="54">
        <f t="shared" si="64"/>
        <v>0</v>
      </c>
      <c r="AR71" s="54">
        <f t="shared" si="64"/>
        <v>0</v>
      </c>
      <c r="AS71" s="54">
        <f t="shared" si="64"/>
        <v>0</v>
      </c>
      <c r="AT71" s="54">
        <f t="shared" si="64"/>
        <v>0</v>
      </c>
      <c r="AU71" s="54">
        <f t="shared" si="64"/>
        <v>0</v>
      </c>
      <c r="AV71" s="54">
        <f t="shared" si="64"/>
        <v>0</v>
      </c>
      <c r="AW71" s="54">
        <f t="shared" si="64"/>
        <v>0</v>
      </c>
      <c r="AX71" s="54">
        <f t="shared" si="64"/>
        <v>0</v>
      </c>
      <c r="AY71" s="54">
        <f t="shared" si="64"/>
        <v>0</v>
      </c>
      <c r="AZ71" s="54">
        <f t="shared" si="64"/>
        <v>13.603436868113684</v>
      </c>
      <c r="BA71" s="54">
        <f t="shared" si="64"/>
        <v>18.274498293813568</v>
      </c>
      <c r="BB71" s="54">
        <f t="shared" si="64"/>
        <v>0</v>
      </c>
      <c r="BC71" s="54">
        <f t="shared" si="64"/>
        <v>0</v>
      </c>
      <c r="BD71" s="54">
        <f t="shared" si="64"/>
        <v>0</v>
      </c>
    </row>
    <row r="72" spans="3:56" s="6" customFormat="1" x14ac:dyDescent="0.25">
      <c r="C72" s="106"/>
      <c r="D72" s="50" t="s">
        <v>42</v>
      </c>
      <c r="E72" s="67">
        <v>0.85</v>
      </c>
      <c r="F72" s="67">
        <v>0.85</v>
      </c>
      <c r="G72" s="67">
        <v>0.85</v>
      </c>
      <c r="H72" s="67">
        <v>0.85</v>
      </c>
      <c r="I72" s="67">
        <v>0.85</v>
      </c>
      <c r="J72" s="67">
        <v>0.85</v>
      </c>
      <c r="K72" s="67">
        <v>0.85</v>
      </c>
      <c r="L72" s="67">
        <v>0.85</v>
      </c>
      <c r="M72" s="67">
        <v>0.85</v>
      </c>
      <c r="N72" s="67">
        <v>0.85</v>
      </c>
      <c r="O72" s="67">
        <v>0.85</v>
      </c>
      <c r="P72" s="67">
        <v>0.85</v>
      </c>
      <c r="Q72" s="67">
        <v>0.85</v>
      </c>
      <c r="R72" s="67">
        <v>0.85</v>
      </c>
      <c r="S72" s="67">
        <v>0.85</v>
      </c>
      <c r="T72" s="67">
        <v>0.85</v>
      </c>
      <c r="U72" s="67">
        <v>0.85</v>
      </c>
      <c r="V72" s="67">
        <v>0.85</v>
      </c>
      <c r="W72" s="67">
        <v>0.85</v>
      </c>
      <c r="X72" s="67">
        <v>0.85</v>
      </c>
      <c r="Y72" s="67">
        <v>0.85</v>
      </c>
      <c r="Z72" s="67">
        <v>0.85</v>
      </c>
      <c r="AA72" s="67">
        <v>0.85</v>
      </c>
      <c r="AB72" s="67">
        <v>0.85</v>
      </c>
      <c r="AC72" s="67">
        <v>0.85</v>
      </c>
      <c r="AD72" s="67">
        <v>0.85</v>
      </c>
      <c r="AE72" s="67">
        <v>0.85</v>
      </c>
      <c r="AF72" s="67">
        <v>0.85</v>
      </c>
      <c r="AG72" s="67">
        <v>0.85</v>
      </c>
      <c r="AH72" s="67">
        <v>0.85</v>
      </c>
      <c r="AI72" s="67">
        <v>0.85</v>
      </c>
      <c r="AJ72" s="67">
        <v>0.85</v>
      </c>
      <c r="AK72" s="67">
        <v>0.85</v>
      </c>
      <c r="AL72" s="67">
        <v>0.85</v>
      </c>
      <c r="AM72" s="67">
        <v>0.85</v>
      </c>
      <c r="AN72" s="67">
        <v>0.85</v>
      </c>
      <c r="AO72" s="67">
        <v>0.85</v>
      </c>
      <c r="AP72" s="67">
        <v>0.85</v>
      </c>
      <c r="AQ72" s="67">
        <v>0.85</v>
      </c>
      <c r="AR72" s="67">
        <v>0.85</v>
      </c>
      <c r="AS72" s="67">
        <v>0.85</v>
      </c>
      <c r="AT72" s="67">
        <v>0.85</v>
      </c>
      <c r="AU72" s="67">
        <v>0.85</v>
      </c>
      <c r="AV72" s="67">
        <v>0.85</v>
      </c>
      <c r="AW72" s="67">
        <v>0.85</v>
      </c>
      <c r="AX72" s="67">
        <v>0.85</v>
      </c>
      <c r="AY72" s="67">
        <v>0.85</v>
      </c>
      <c r="AZ72" s="67">
        <v>0.85</v>
      </c>
      <c r="BA72" s="67">
        <v>0.85</v>
      </c>
      <c r="BB72" s="67">
        <v>0.85</v>
      </c>
      <c r="BC72" s="67">
        <v>0.85</v>
      </c>
      <c r="BD72" s="67">
        <v>0.85</v>
      </c>
    </row>
    <row r="73" spans="3:56" s="6" customFormat="1" x14ac:dyDescent="0.25">
      <c r="C73" s="106"/>
      <c r="D73" s="50" t="s">
        <v>43</v>
      </c>
      <c r="E73" s="65"/>
      <c r="F73" s="65"/>
      <c r="G73" s="65"/>
      <c r="H73" s="65">
        <v>-6</v>
      </c>
      <c r="I73" s="65"/>
      <c r="J73" s="65"/>
      <c r="K73" s="65">
        <v>-8</v>
      </c>
      <c r="L73" s="65">
        <v>-6</v>
      </c>
      <c r="M73" s="65">
        <v>-4</v>
      </c>
      <c r="N73" s="65"/>
      <c r="O73" s="65">
        <v>4</v>
      </c>
      <c r="P73" s="65"/>
      <c r="Q73" s="65"/>
      <c r="R73" s="65"/>
      <c r="S73" s="65"/>
      <c r="T73" s="65"/>
      <c r="U73" s="65">
        <v>8</v>
      </c>
      <c r="V73" s="65">
        <v>8</v>
      </c>
      <c r="W73" s="65">
        <v>8</v>
      </c>
      <c r="X73" s="65">
        <v>6</v>
      </c>
      <c r="Y73" s="65">
        <v>-8</v>
      </c>
      <c r="Z73" s="65">
        <v>-4</v>
      </c>
      <c r="AA73" s="65"/>
      <c r="AB73" s="65"/>
      <c r="AC73" s="65">
        <v>-1</v>
      </c>
      <c r="AD73" s="65">
        <v>-1</v>
      </c>
      <c r="AE73" s="65">
        <v>-4</v>
      </c>
      <c r="AF73" s="65"/>
      <c r="AG73" s="65"/>
      <c r="AH73" s="65">
        <v>6</v>
      </c>
      <c r="AI73" s="65"/>
      <c r="AJ73" s="65">
        <v>8</v>
      </c>
      <c r="AK73" s="65">
        <v>8</v>
      </c>
      <c r="AL73" s="65">
        <v>2</v>
      </c>
      <c r="AM73" s="65"/>
      <c r="AN73" s="65"/>
      <c r="AO73" s="65"/>
      <c r="AP73" s="65"/>
      <c r="AQ73" s="65"/>
      <c r="AR73" s="65"/>
      <c r="AS73" s="65"/>
      <c r="AT73" s="65"/>
      <c r="AU73" s="65"/>
      <c r="AV73" s="65"/>
      <c r="AW73" s="65"/>
      <c r="AX73" s="65"/>
      <c r="AY73" s="65"/>
      <c r="AZ73" s="65">
        <v>6</v>
      </c>
      <c r="BA73" s="65">
        <v>8</v>
      </c>
      <c r="BB73" s="65"/>
      <c r="BC73" s="65"/>
      <c r="BD73" s="65"/>
    </row>
    <row r="74" spans="3:56" s="6" customFormat="1" x14ac:dyDescent="0.25">
      <c r="C74" s="106"/>
      <c r="D74" s="51" t="s">
        <v>44</v>
      </c>
      <c r="E74" s="61">
        <f t="shared" ref="E74:BD74" si="65">SUM(E64:E71)</f>
        <v>57.5</v>
      </c>
      <c r="F74" s="61">
        <f t="shared" si="65"/>
        <v>47.25</v>
      </c>
      <c r="G74" s="61">
        <f t="shared" si="65"/>
        <v>51.75</v>
      </c>
      <c r="H74" s="61">
        <f t="shared" si="65"/>
        <v>37.934782608695656</v>
      </c>
      <c r="I74" s="61">
        <f t="shared" si="65"/>
        <v>36.625</v>
      </c>
      <c r="J74" s="61">
        <f t="shared" si="65"/>
        <v>35.625</v>
      </c>
      <c r="K74" s="61">
        <f t="shared" si="65"/>
        <v>28.603260869565219</v>
      </c>
      <c r="L74" s="61">
        <f t="shared" si="65"/>
        <v>30.978260869565219</v>
      </c>
      <c r="M74" s="61">
        <f t="shared" si="65"/>
        <v>30.586956521739129</v>
      </c>
      <c r="N74" s="61">
        <f t="shared" si="65"/>
        <v>33.625</v>
      </c>
      <c r="O74" s="61">
        <f t="shared" si="65"/>
        <v>40.896739130434781</v>
      </c>
      <c r="P74" s="61">
        <f t="shared" si="65"/>
        <v>36.630000000000003</v>
      </c>
      <c r="Q74" s="61">
        <f t="shared" si="65"/>
        <v>35.5</v>
      </c>
      <c r="R74" s="61">
        <f t="shared" si="65"/>
        <v>35.5</v>
      </c>
      <c r="S74" s="61">
        <f t="shared" si="65"/>
        <v>35.5</v>
      </c>
      <c r="T74" s="61">
        <f t="shared" si="65"/>
        <v>34.375</v>
      </c>
      <c r="U74" s="61">
        <f t="shared" si="65"/>
        <v>40.353260869565219</v>
      </c>
      <c r="V74" s="61">
        <f t="shared" si="65"/>
        <v>53.266304347826086</v>
      </c>
      <c r="W74" s="61">
        <f t="shared" si="65"/>
        <v>51.945652173913047</v>
      </c>
      <c r="X74" s="61">
        <f t="shared" si="65"/>
        <v>50.021739130434781</v>
      </c>
      <c r="Y74" s="61">
        <f t="shared" si="65"/>
        <v>38.190000000000005</v>
      </c>
      <c r="Z74" s="61">
        <f t="shared" si="65"/>
        <v>40.521599999999999</v>
      </c>
      <c r="AA74" s="61">
        <f t="shared" si="65"/>
        <v>34.715087999999994</v>
      </c>
      <c r="AB74" s="61">
        <f t="shared" si="65"/>
        <v>34.19436168</v>
      </c>
      <c r="AC74" s="61">
        <f t="shared" si="65"/>
        <v>34.905762640565214</v>
      </c>
      <c r="AD74" s="61">
        <f t="shared" si="65"/>
        <v>37.316958809652391</v>
      </c>
      <c r="AE74" s="61">
        <f t="shared" si="65"/>
        <v>34.306724132340428</v>
      </c>
      <c r="AF74" s="61">
        <f t="shared" si="65"/>
        <v>38.010420724674873</v>
      </c>
      <c r="AG74" s="61">
        <f t="shared" si="65"/>
        <v>37.440264413804755</v>
      </c>
      <c r="AH74" s="61">
        <f t="shared" si="65"/>
        <v>41.688920505979986</v>
      </c>
      <c r="AI74" s="61">
        <f t="shared" si="65"/>
        <v>42.325480540883717</v>
      </c>
      <c r="AJ74" s="61">
        <f t="shared" si="65"/>
        <v>50.115050216730545</v>
      </c>
      <c r="AK74" s="61">
        <f t="shared" si="65"/>
        <v>49.363324463479586</v>
      </c>
      <c r="AL74" s="61">
        <f t="shared" si="65"/>
        <v>46.350767757299714</v>
      </c>
      <c r="AM74" s="61">
        <f t="shared" si="65"/>
        <v>43.753193480901047</v>
      </c>
      <c r="AN74" s="61">
        <f t="shared" si="65"/>
        <v>42.096895578687523</v>
      </c>
      <c r="AO74" s="61">
        <f t="shared" si="65"/>
        <v>41.465442145007209</v>
      </c>
      <c r="AP74" s="61">
        <f t="shared" si="65"/>
        <v>40.843460512832102</v>
      </c>
      <c r="AQ74" s="61">
        <f t="shared" si="65"/>
        <v>47.730808605139622</v>
      </c>
      <c r="AR74" s="61">
        <f t="shared" si="65"/>
        <v>46.01484647606253</v>
      </c>
      <c r="AS74" s="61">
        <f t="shared" si="65"/>
        <v>43.324623778921591</v>
      </c>
      <c r="AT74" s="61">
        <f t="shared" si="65"/>
        <v>55.174754422237775</v>
      </c>
      <c r="AU74" s="61">
        <f t="shared" si="65"/>
        <v>52.347133105904206</v>
      </c>
      <c r="AV74" s="61">
        <f t="shared" si="65"/>
        <v>73.593176109315635</v>
      </c>
      <c r="AW74" s="61">
        <f t="shared" si="65"/>
        <v>56.753346706582747</v>
      </c>
      <c r="AX74" s="61">
        <f t="shared" si="65"/>
        <v>112.86576303891817</v>
      </c>
      <c r="AY74" s="61">
        <f t="shared" si="65"/>
        <v>110.04411896294522</v>
      </c>
      <c r="AZ74" s="61">
        <f t="shared" si="65"/>
        <v>117.89645285698528</v>
      </c>
      <c r="BA74" s="61">
        <f t="shared" si="65"/>
        <v>123.35286348324158</v>
      </c>
      <c r="BB74" s="61">
        <f t="shared" si="65"/>
        <v>103.82444692995661</v>
      </c>
      <c r="BC74" s="61">
        <f t="shared" si="65"/>
        <v>112.63322458345878</v>
      </c>
      <c r="BD74" s="61">
        <f t="shared" si="65"/>
        <v>107.00156335428585</v>
      </c>
    </row>
    <row r="75" spans="3:56" s="6" customFormat="1" x14ac:dyDescent="0.25">
      <c r="C75" s="106"/>
      <c r="D75" s="52" t="s">
        <v>52</v>
      </c>
      <c r="E75" s="56">
        <f>E74-E62</f>
        <v>-5.3180000000000121</v>
      </c>
      <c r="F75" s="56">
        <f t="shared" ref="F75:BD75" si="66">F74-F62</f>
        <v>-0.72886419753086784</v>
      </c>
      <c r="G75" s="56">
        <f t="shared" si="66"/>
        <v>16.757241215574545</v>
      </c>
      <c r="H75" s="56">
        <f t="shared" si="66"/>
        <v>4.7562450968248129</v>
      </c>
      <c r="I75" s="56">
        <f t="shared" si="66"/>
        <v>4.4400522317189086</v>
      </c>
      <c r="J75" s="56">
        <f t="shared" si="66"/>
        <v>4.9929962013295324</v>
      </c>
      <c r="K75" s="56">
        <f t="shared" si="66"/>
        <v>2.2105733102109966</v>
      </c>
      <c r="L75" s="56">
        <f t="shared" si="66"/>
        <v>5.1443387423097562</v>
      </c>
      <c r="M75" s="56">
        <f t="shared" si="66"/>
        <v>4.0400049547875625</v>
      </c>
      <c r="N75" s="56">
        <f t="shared" si="66"/>
        <v>2.8843637226970564</v>
      </c>
      <c r="O75" s="56">
        <f t="shared" si="66"/>
        <v>4.0829879433502683</v>
      </c>
      <c r="P75" s="56">
        <f t="shared" si="66"/>
        <v>1.1054985754985793</v>
      </c>
      <c r="Q75" s="56">
        <f t="shared" si="66"/>
        <v>6.0103148751357161</v>
      </c>
      <c r="R75" s="56">
        <f t="shared" si="66"/>
        <v>6.5246246246246251</v>
      </c>
      <c r="S75" s="56">
        <f t="shared" si="66"/>
        <v>6.4867867867867801</v>
      </c>
      <c r="T75" s="56">
        <f t="shared" si="66"/>
        <v>2.2885135135135144</v>
      </c>
      <c r="U75" s="56">
        <f t="shared" si="66"/>
        <v>9.0718794881838321</v>
      </c>
      <c r="V75" s="56">
        <f t="shared" si="66"/>
        <v>17.093331374853115</v>
      </c>
      <c r="W75" s="56">
        <f t="shared" si="66"/>
        <v>16.369676197937068</v>
      </c>
      <c r="X75" s="56">
        <f t="shared" si="66"/>
        <v>14.129455179817498</v>
      </c>
      <c r="Y75" s="56">
        <f t="shared" si="66"/>
        <v>5.8366049382716056</v>
      </c>
      <c r="Z75" s="56">
        <f t="shared" si="66"/>
        <v>10.378390123456782</v>
      </c>
      <c r="AA75" s="56">
        <f t="shared" si="66"/>
        <v>5.9888296904083553</v>
      </c>
      <c r="AB75" s="56">
        <f t="shared" si="66"/>
        <v>7.0884737407787313</v>
      </c>
      <c r="AC75" s="56">
        <f t="shared" si="66"/>
        <v>9.2789820137845886</v>
      </c>
      <c r="AD75" s="56">
        <f t="shared" si="66"/>
        <v>9.3779197706133495</v>
      </c>
      <c r="AE75" s="56">
        <f t="shared" si="66"/>
        <v>9.6117469633906545</v>
      </c>
      <c r="AF75" s="56">
        <f t="shared" si="66"/>
        <v>10.3726733882974</v>
      </c>
      <c r="AG75" s="56">
        <f t="shared" si="66"/>
        <v>12.613171567533826</v>
      </c>
      <c r="AH75" s="56">
        <f t="shared" si="66"/>
        <v>12.133364950424433</v>
      </c>
      <c r="AI75" s="56">
        <f t="shared" si="66"/>
        <v>11.808889977717804</v>
      </c>
      <c r="AJ75" s="56">
        <f t="shared" si="66"/>
        <v>15.790544889485489</v>
      </c>
      <c r="AK75" s="56">
        <f t="shared" si="66"/>
        <v>13.510965254955998</v>
      </c>
      <c r="AL75" s="56">
        <f t="shared" si="66"/>
        <v>10.890493784696964</v>
      </c>
      <c r="AM75" s="56">
        <f t="shared" si="66"/>
        <v>11.457488810646502</v>
      </c>
      <c r="AN75" s="56">
        <f t="shared" si="66"/>
        <v>13.526679064988667</v>
      </c>
      <c r="AO75" s="56">
        <f t="shared" si="66"/>
        <v>12.378459977471383</v>
      </c>
      <c r="AP75" s="56">
        <f t="shared" si="66"/>
        <v>10.359939716234607</v>
      </c>
      <c r="AQ75" s="56">
        <f t="shared" si="66"/>
        <v>14.565024315943376</v>
      </c>
      <c r="AR75" s="56">
        <f t="shared" si="66"/>
        <v>15.551322562293805</v>
      </c>
      <c r="AS75" s="56">
        <f t="shared" si="66"/>
        <v>11.15888000814482</v>
      </c>
      <c r="AT75" s="56">
        <f t="shared" si="66"/>
        <v>22.015775473663659</v>
      </c>
      <c r="AU75" s="56">
        <f t="shared" si="66"/>
        <v>17.197268120620471</v>
      </c>
      <c r="AV75" s="56">
        <f t="shared" si="66"/>
        <v>26.152334181747804</v>
      </c>
      <c r="AW75" s="56">
        <f t="shared" si="66"/>
        <v>6.0314032496549359</v>
      </c>
      <c r="AX75" s="56">
        <f t="shared" si="66"/>
        <v>63.125216742645151</v>
      </c>
      <c r="AY75" s="56">
        <f t="shared" si="66"/>
        <v>23.546572488529151</v>
      </c>
      <c r="AZ75" s="56">
        <f t="shared" si="66"/>
        <v>-1.3404232488313426</v>
      </c>
      <c r="BA75" s="56">
        <f t="shared" si="66"/>
        <v>-2.1264370384347302</v>
      </c>
      <c r="BB75" s="56">
        <f t="shared" si="66"/>
        <v>-1.8471872765384205</v>
      </c>
      <c r="BC75" s="56">
        <f t="shared" si="66"/>
        <v>51.494131515634223</v>
      </c>
      <c r="BD75" s="56">
        <f t="shared" si="66"/>
        <v>51.991404890403352</v>
      </c>
    </row>
    <row r="76" spans="3:56" s="6" customFormat="1" x14ac:dyDescent="0.25">
      <c r="C76" s="106"/>
      <c r="D76" s="53" t="s">
        <v>46</v>
      </c>
      <c r="E76" s="56">
        <f>SUM(E75,LauderNew!E72)</f>
        <v>1.2749999999999915</v>
      </c>
      <c r="F76" s="56">
        <f>SUM(F75,LauderNew!F72)</f>
        <v>-1.7265432098765316</v>
      </c>
      <c r="G76" s="56">
        <f>SUM(G75,LauderNew!G72)</f>
        <v>16.339245014245012</v>
      </c>
      <c r="H76" s="56">
        <f>SUM(H75,LauderNew!H72)</f>
        <v>2.2308724555101485</v>
      </c>
      <c r="I76" s="56">
        <f>SUM(I75,LauderNew!I72)</f>
        <v>6.2219034662868111</v>
      </c>
      <c r="J76" s="56">
        <f>SUM(J75,LauderNew!J72)</f>
        <v>8.0010446343779655</v>
      </c>
      <c r="K76" s="56">
        <f>SUM(K75,LauderNew!K72)</f>
        <v>1.0522482348569362</v>
      </c>
      <c r="L76" s="56">
        <f>SUM(L75,LauderNew!L72)</f>
        <v>6.4766918535034463</v>
      </c>
      <c r="M76" s="56">
        <f>SUM(M75,LauderNew!M72)</f>
        <v>4.8664684751641261</v>
      </c>
      <c r="N76" s="56">
        <f>SUM(N75,LauderNew!N72)</f>
        <v>1.3560066476733184</v>
      </c>
      <c r="O76" s="56">
        <f>SUM(O75,LauderNew!O72)</f>
        <v>1.7883325075354115</v>
      </c>
      <c r="P76" s="56">
        <f>SUM(P75,LauderNew!P72)</f>
        <v>-2.3066096866096828</v>
      </c>
      <c r="Q76" s="56">
        <f>SUM(Q75,LauderNew!Q72)</f>
        <v>7.3398479913137784</v>
      </c>
      <c r="R76" s="56">
        <f>SUM(R75,LauderNew!R72)</f>
        <v>9.2582582582582589</v>
      </c>
      <c r="S76" s="56">
        <f>SUM(S75,LauderNew!S72)</f>
        <v>7.1906906906906869</v>
      </c>
      <c r="T76" s="56">
        <f>SUM(T75,LauderNew!T72)</f>
        <v>0.5777027027027053</v>
      </c>
      <c r="U76" s="56">
        <f>SUM(U75,LauderNew!U72)</f>
        <v>12.080607781694738</v>
      </c>
      <c r="V76" s="56">
        <f>SUM(V75,LauderNew!V72)</f>
        <v>16.258666274970626</v>
      </c>
      <c r="W76" s="56">
        <f>SUM(W75,LauderNew!W72)</f>
        <v>14.053707330518925</v>
      </c>
      <c r="X76" s="56">
        <f>SUM(X75,LauderNew!X72)</f>
        <v>10.557412391687755</v>
      </c>
      <c r="Y76" s="56">
        <f>SUM(Y75,LauderNew!Y72)</f>
        <v>6.2897795414462045</v>
      </c>
      <c r="Z76" s="56">
        <f>SUM(Z75,LauderNew!Z72)</f>
        <v>9.3332334636914283</v>
      </c>
      <c r="AA76" s="56">
        <f>SUM(AA75,LauderNew!AA72)</f>
        <v>6.9616309602496216</v>
      </c>
      <c r="AB76" s="56">
        <f>SUM(AB75,LauderNew!AB72)</f>
        <v>9.2963615630009571</v>
      </c>
      <c r="AC76" s="56">
        <f>SUM(AC75,LauderNew!AC72)</f>
        <v>11.923479614322886</v>
      </c>
      <c r="AD76" s="56">
        <f>SUM(AD75,LauderNew!AD72)</f>
        <v>12.027776093785707</v>
      </c>
      <c r="AE76" s="56">
        <f>SUM(AE75,LauderNew!AE72)</f>
        <v>13.386542706416542</v>
      </c>
      <c r="AF76" s="56">
        <f>SUM(AF75,LauderNew!AF72)</f>
        <v>12.661939090679894</v>
      </c>
      <c r="AG76" s="56">
        <f>SUM(AG75,LauderNew!AG72)</f>
        <v>16.750739075856995</v>
      </c>
      <c r="AH76" s="56">
        <f>SUM(AH75,LauderNew!AH72)</f>
        <v>15.238856331174791</v>
      </c>
      <c r="AI76" s="56">
        <f>SUM(AI75,LauderNew!AI72)</f>
        <v>16.022120808457814</v>
      </c>
      <c r="AJ76" s="56">
        <f>SUM(AJ75,LauderNew!AJ72)</f>
        <v>19.0703224476153</v>
      </c>
      <c r="AK76" s="56">
        <f>SUM(AK75,LauderNew!AK72)</f>
        <v>15.13655071592391</v>
      </c>
      <c r="AL76" s="56">
        <f>SUM(AL75,LauderNew!AL72)</f>
        <v>13.811939299571389</v>
      </c>
      <c r="AM76" s="56">
        <f>SUM(AM75,LauderNew!AM72)</f>
        <v>15.140246002158367</v>
      </c>
      <c r="AN76" s="56">
        <f>SUM(AN75,LauderNew!AN72)</f>
        <v>19.700736216593608</v>
      </c>
      <c r="AO76" s="56">
        <f>SUM(AO75,LauderNew!AO72)</f>
        <v>17.717155706304613</v>
      </c>
      <c r="AP76" s="56">
        <f>SUM(AP75,LauderNew!AP72)</f>
        <v>14.17846379646948</v>
      </c>
      <c r="AQ76" s="56">
        <f>SUM(AQ75,LauderNew!AQ72)</f>
        <v>15.859507724258677</v>
      </c>
      <c r="AR76" s="56">
        <f>SUM(AR75,LauderNew!AR72)</f>
        <v>18.558710842483329</v>
      </c>
      <c r="AS76" s="56">
        <f>SUM(AS75,LauderNew!AS72)</f>
        <v>12.424664616070043</v>
      </c>
      <c r="AT76" s="56">
        <f>SUM(AT75,LauderNew!AT72)</f>
        <v>22.103077978330802</v>
      </c>
      <c r="AU76" s="56">
        <f>SUM(AU75,LauderNew!AU72)</f>
        <v>37.828191235551849</v>
      </c>
      <c r="AV76" s="56">
        <f>SUM(AV75,LauderNew!AV72)</f>
        <v>53.714831015119714</v>
      </c>
      <c r="AW76" s="56">
        <f>SUM(AW75,LauderNew!AW72)</f>
        <v>39.394955636975354</v>
      </c>
      <c r="AX76" s="56">
        <f>SUM(AX75,LauderNew!AX72)</f>
        <v>95.429454200035934</v>
      </c>
      <c r="AY76" s="56">
        <f>SUM(AY75,LauderNew!AY72)</f>
        <v>26.164244075418651</v>
      </c>
      <c r="AZ76" s="56">
        <f>SUM(AZ75,LauderNew!AZ72)</f>
        <v>5.9817838852369221</v>
      </c>
      <c r="BA76" s="56">
        <f>SUM(BA75,LauderNew!BA72)</f>
        <v>8.4231722864553973</v>
      </c>
      <c r="BB76" s="56">
        <f>SUM(BB75,LauderNew!BB72)</f>
        <v>4.2317035000778276</v>
      </c>
      <c r="BC76" s="56">
        <f>SUM(BC75,LauderNew!BC72)</f>
        <v>92.333023736042207</v>
      </c>
      <c r="BD76" s="56">
        <f>SUM(BD75,LauderNew!BD72)</f>
        <v>93.443420885624136</v>
      </c>
    </row>
    <row r="77" spans="3:56" s="6" customFormat="1" x14ac:dyDescent="0.25">
      <c r="C77" s="48"/>
      <c r="D77" s="41"/>
      <c r="E77" s="44"/>
      <c r="F77" s="44"/>
      <c r="G77" s="44"/>
      <c r="H77" s="44"/>
      <c r="I77" s="44"/>
      <c r="J77" s="44"/>
      <c r="K77" s="44"/>
      <c r="L77" s="44"/>
      <c r="M77" s="44"/>
      <c r="U77" s="41"/>
    </row>
    <row r="78" spans="3:56" x14ac:dyDescent="0.25">
      <c r="D78" s="46" t="s">
        <v>25</v>
      </c>
      <c r="E78" s="82">
        <f>E2</f>
        <v>44569</v>
      </c>
      <c r="F78" s="82">
        <f t="shared" ref="F78:BD78" si="67">F2</f>
        <v>44576</v>
      </c>
      <c r="G78" s="82">
        <f t="shared" si="67"/>
        <v>44583</v>
      </c>
      <c r="H78" s="82">
        <f t="shared" si="67"/>
        <v>44590</v>
      </c>
      <c r="I78" s="82">
        <f t="shared" si="67"/>
        <v>44597</v>
      </c>
      <c r="J78" s="82">
        <f t="shared" si="67"/>
        <v>44604</v>
      </c>
      <c r="K78" s="82">
        <f t="shared" si="67"/>
        <v>44611</v>
      </c>
      <c r="L78" s="82">
        <f t="shared" si="67"/>
        <v>44618</v>
      </c>
      <c r="M78" s="82">
        <f t="shared" si="67"/>
        <v>44625</v>
      </c>
      <c r="N78" s="82">
        <f t="shared" si="67"/>
        <v>44632</v>
      </c>
      <c r="O78" s="82">
        <f t="shared" si="67"/>
        <v>44639</v>
      </c>
      <c r="P78" s="82">
        <f t="shared" si="67"/>
        <v>44646</v>
      </c>
      <c r="Q78" s="82">
        <f t="shared" si="67"/>
        <v>44653</v>
      </c>
      <c r="R78" s="82">
        <f t="shared" si="67"/>
        <v>44660</v>
      </c>
      <c r="S78" s="82">
        <f t="shared" si="67"/>
        <v>44667</v>
      </c>
      <c r="T78" s="82">
        <f t="shared" si="67"/>
        <v>44674</v>
      </c>
      <c r="U78" s="82">
        <f t="shared" si="67"/>
        <v>44681</v>
      </c>
      <c r="V78" s="82">
        <f t="shared" si="67"/>
        <v>44688</v>
      </c>
      <c r="W78" s="82">
        <f t="shared" si="67"/>
        <v>44695</v>
      </c>
      <c r="X78" s="82">
        <f t="shared" si="67"/>
        <v>44702</v>
      </c>
      <c r="Y78" s="82">
        <f t="shared" si="67"/>
        <v>44709</v>
      </c>
      <c r="Z78" s="82">
        <f t="shared" si="67"/>
        <v>44716</v>
      </c>
      <c r="AA78" s="82">
        <f t="shared" si="67"/>
        <v>44723</v>
      </c>
      <c r="AB78" s="82">
        <f t="shared" si="67"/>
        <v>44730</v>
      </c>
      <c r="AC78" s="82">
        <f t="shared" si="67"/>
        <v>44737</v>
      </c>
      <c r="AD78" s="82">
        <f t="shared" si="67"/>
        <v>44744</v>
      </c>
      <c r="AE78" s="82">
        <f t="shared" si="67"/>
        <v>44751</v>
      </c>
      <c r="AF78" s="82">
        <f t="shared" si="67"/>
        <v>44758</v>
      </c>
      <c r="AG78" s="82">
        <f t="shared" si="67"/>
        <v>44765</v>
      </c>
      <c r="AH78" s="82">
        <f t="shared" si="67"/>
        <v>44772</v>
      </c>
      <c r="AI78" s="82">
        <f t="shared" si="67"/>
        <v>44779</v>
      </c>
      <c r="AJ78" s="82">
        <f t="shared" si="67"/>
        <v>44786</v>
      </c>
      <c r="AK78" s="82">
        <f t="shared" si="67"/>
        <v>44793</v>
      </c>
      <c r="AL78" s="82">
        <f t="shared" si="67"/>
        <v>44800</v>
      </c>
      <c r="AM78" s="82">
        <f t="shared" si="67"/>
        <v>44807</v>
      </c>
      <c r="AN78" s="82">
        <f t="shared" si="67"/>
        <v>44814</v>
      </c>
      <c r="AO78" s="82">
        <f t="shared" si="67"/>
        <v>44821</v>
      </c>
      <c r="AP78" s="82">
        <f t="shared" si="67"/>
        <v>44828</v>
      </c>
      <c r="AQ78" s="82">
        <f t="shared" si="67"/>
        <v>44835</v>
      </c>
      <c r="AR78" s="82">
        <f t="shared" si="67"/>
        <v>44842</v>
      </c>
      <c r="AS78" s="82">
        <f t="shared" si="67"/>
        <v>44849</v>
      </c>
      <c r="AT78" s="82">
        <f t="shared" si="67"/>
        <v>44856</v>
      </c>
      <c r="AU78" s="82">
        <f t="shared" si="67"/>
        <v>44863</v>
      </c>
      <c r="AV78" s="82">
        <f t="shared" si="67"/>
        <v>44870</v>
      </c>
      <c r="AW78" s="82">
        <f t="shared" si="67"/>
        <v>44877</v>
      </c>
      <c r="AX78" s="82">
        <f t="shared" si="67"/>
        <v>44884</v>
      </c>
      <c r="AY78" s="82">
        <f t="shared" si="67"/>
        <v>44891</v>
      </c>
      <c r="AZ78" s="82">
        <f t="shared" si="67"/>
        <v>44898</v>
      </c>
      <c r="BA78" s="82">
        <f t="shared" si="67"/>
        <v>44905</v>
      </c>
      <c r="BB78" s="82">
        <f t="shared" si="67"/>
        <v>44912</v>
      </c>
      <c r="BC78" s="82">
        <f t="shared" si="67"/>
        <v>44919</v>
      </c>
      <c r="BD78" s="82">
        <f t="shared" si="67"/>
        <v>44926</v>
      </c>
    </row>
    <row r="79" spans="3:56" x14ac:dyDescent="0.25">
      <c r="C79" s="105" t="s">
        <v>125</v>
      </c>
      <c r="D79" s="41" t="s">
        <v>27</v>
      </c>
      <c r="E79" s="70">
        <v>3193.8079782794389</v>
      </c>
      <c r="F79" s="70">
        <v>2808.3556457244654</v>
      </c>
      <c r="G79" s="70">
        <v>2338</v>
      </c>
      <c r="H79" s="70">
        <v>2216.9</v>
      </c>
      <c r="I79" s="70">
        <v>2150.6679560000002</v>
      </c>
      <c r="J79" s="70">
        <v>1718.9950000000001</v>
      </c>
      <c r="K79" s="70">
        <v>1481.1100000000001</v>
      </c>
      <c r="L79" s="70">
        <v>1279.0600000000004</v>
      </c>
      <c r="M79" s="70">
        <v>1277.4250000000004</v>
      </c>
      <c r="N79" s="70">
        <v>1494.4749999999999</v>
      </c>
      <c r="O79" s="70">
        <v>1703.875</v>
      </c>
      <c r="P79" s="70">
        <v>1734.5827627675785</v>
      </c>
      <c r="Q79" s="70">
        <v>1320.5053000000003</v>
      </c>
      <c r="R79" s="70">
        <v>1324.6220892000001</v>
      </c>
      <c r="S79" s="70">
        <v>1431.4665</v>
      </c>
      <c r="T79" s="70">
        <v>1574.6100000000001</v>
      </c>
      <c r="U79" s="70">
        <v>1549.14</v>
      </c>
      <c r="V79" s="70">
        <v>1844.5200000000002</v>
      </c>
      <c r="W79" s="70">
        <v>1921</v>
      </c>
      <c r="X79" s="70">
        <v>2215.1000000000004</v>
      </c>
      <c r="Y79" s="70">
        <v>1996.67</v>
      </c>
      <c r="Z79" s="70">
        <v>1936.1299999999999</v>
      </c>
      <c r="AA79" s="70">
        <v>2398.7200000000003</v>
      </c>
      <c r="AB79" s="70">
        <v>2263.4700000000003</v>
      </c>
      <c r="AC79" s="70">
        <v>2139.8000000000002</v>
      </c>
      <c r="AD79" s="70">
        <v>1844.36</v>
      </c>
      <c r="AE79" s="70">
        <v>1608.2699999999998</v>
      </c>
      <c r="AF79" s="70">
        <v>1799.9299999999998</v>
      </c>
      <c r="AG79" s="70">
        <v>1616.9</v>
      </c>
      <c r="AH79" s="70">
        <v>1924.84</v>
      </c>
      <c r="AI79" s="70">
        <v>1987.3999999999996</v>
      </c>
      <c r="AJ79" s="70">
        <v>2235.27</v>
      </c>
      <c r="AK79" s="70">
        <v>2334.8900000000003</v>
      </c>
      <c r="AL79" s="70">
        <v>2309.23</v>
      </c>
      <c r="AM79" s="70">
        <v>2185.5769866183646</v>
      </c>
      <c r="AN79" s="70">
        <v>1933.4585931037386</v>
      </c>
      <c r="AO79" s="70">
        <v>1968.4301514590234</v>
      </c>
      <c r="AP79" s="70">
        <v>2062.9393971858085</v>
      </c>
      <c r="AQ79" s="70">
        <v>2362.6364394775687</v>
      </c>
      <c r="AR79" s="70">
        <v>2178.6445816135329</v>
      </c>
      <c r="AS79" s="70">
        <v>2237.533158907514</v>
      </c>
      <c r="AT79" s="70">
        <v>2406.995146711638</v>
      </c>
      <c r="AU79" s="70">
        <v>2536.7165714035796</v>
      </c>
      <c r="AV79" s="70">
        <v>2853.3180297543167</v>
      </c>
      <c r="AW79" s="70">
        <v>3308.2127191964173</v>
      </c>
      <c r="AX79" s="70">
        <v>3468.9351426512417</v>
      </c>
      <c r="AY79" s="70">
        <v>7672.0578703459614</v>
      </c>
      <c r="AZ79" s="70">
        <v>9104.9288736567814</v>
      </c>
      <c r="BA79" s="70">
        <v>8283.4084178347657</v>
      </c>
      <c r="BB79" s="70">
        <v>7241.8770202680362</v>
      </c>
      <c r="BC79" s="70">
        <v>4282.7163498641057</v>
      </c>
      <c r="BD79" s="70">
        <v>3819.1551506402793</v>
      </c>
    </row>
    <row r="80" spans="3:56" x14ac:dyDescent="0.25">
      <c r="C80" s="106"/>
      <c r="D80" s="41" t="s">
        <v>22</v>
      </c>
      <c r="E80" s="70">
        <v>498.9117852244176</v>
      </c>
      <c r="F80" s="70">
        <v>494.37898150803665</v>
      </c>
      <c r="G80" s="70">
        <v>480.78250641573993</v>
      </c>
      <c r="H80" s="70">
        <v>480.78036898371596</v>
      </c>
      <c r="I80" s="70">
        <v>526.36833737248458</v>
      </c>
      <c r="J80" s="70">
        <v>551.73703239392773</v>
      </c>
      <c r="K80" s="70">
        <v>551.73552268231253</v>
      </c>
      <c r="L80" s="70">
        <v>543.22502462746058</v>
      </c>
      <c r="M80" s="70">
        <v>541.28667045031989</v>
      </c>
      <c r="N80" s="70">
        <v>526.02720018735681</v>
      </c>
      <c r="O80" s="70">
        <v>528.50055021641845</v>
      </c>
      <c r="P80" s="70">
        <v>540.50313226214689</v>
      </c>
      <c r="Q80" s="70">
        <v>558.22180402131983</v>
      </c>
      <c r="R80" s="70">
        <v>554.47319851991574</v>
      </c>
      <c r="S80" s="70">
        <v>564.69909180550155</v>
      </c>
      <c r="T80" s="70">
        <v>597.19359079391086</v>
      </c>
      <c r="U80" s="70">
        <v>601.04703254709057</v>
      </c>
      <c r="V80" s="70">
        <v>612.06874959339007</v>
      </c>
      <c r="W80" s="70">
        <v>604.03086933888585</v>
      </c>
      <c r="X80" s="70">
        <v>656.80649857794219</v>
      </c>
      <c r="Y80" s="70">
        <v>656.80838596262777</v>
      </c>
      <c r="Z80" s="70">
        <v>668.30641537500071</v>
      </c>
      <c r="AA80" s="70">
        <v>668.30156291688888</v>
      </c>
      <c r="AB80" s="70">
        <v>668.29782369547627</v>
      </c>
      <c r="AC80" s="70">
        <v>668.30743527432469</v>
      </c>
      <c r="AD80" s="70">
        <v>668.30526578325259</v>
      </c>
      <c r="AE80" s="70">
        <v>668.29865321121451</v>
      </c>
      <c r="AF80" s="70">
        <v>668.29518370158837</v>
      </c>
      <c r="AG80" s="70">
        <v>668.29892077432112</v>
      </c>
      <c r="AH80" s="70">
        <v>668.30146921302548</v>
      </c>
      <c r="AI80" s="70">
        <v>668.3013107577741</v>
      </c>
      <c r="AJ80" s="70">
        <v>668.30557382329653</v>
      </c>
      <c r="AK80" s="70">
        <v>668.3031213461876</v>
      </c>
      <c r="AL80" s="70">
        <v>668.30781256089688</v>
      </c>
      <c r="AM80" s="70">
        <v>612.05627209195643</v>
      </c>
      <c r="AN80" s="70">
        <v>612.05627209195643</v>
      </c>
      <c r="AO80" s="70">
        <v>612.05627209195654</v>
      </c>
      <c r="AP80" s="70">
        <v>612.05627209195654</v>
      </c>
      <c r="AQ80" s="70">
        <v>617.90194673025167</v>
      </c>
      <c r="AR80" s="70">
        <v>618.07629829582288</v>
      </c>
      <c r="AS80" s="70">
        <v>618.58402856368434</v>
      </c>
      <c r="AT80" s="70">
        <v>617.80908803212867</v>
      </c>
      <c r="AU80" s="70">
        <v>617.91296434422509</v>
      </c>
      <c r="AV80" s="70">
        <v>640.32190709886697</v>
      </c>
      <c r="AW80" s="70">
        <v>643.2889264481031</v>
      </c>
      <c r="AX80" s="70">
        <v>707.37866311208825</v>
      </c>
      <c r="AY80" s="70">
        <v>708.74357383132644</v>
      </c>
      <c r="AZ80" s="70">
        <v>718.04430520729875</v>
      </c>
      <c r="BA80" s="70">
        <v>717.8334582981006</v>
      </c>
      <c r="BB80" s="70">
        <v>714.30112182942844</v>
      </c>
      <c r="BC80" s="70">
        <v>716.43181694009604</v>
      </c>
      <c r="BD80" s="70">
        <v>716.35820739898725</v>
      </c>
    </row>
    <row r="81" spans="3:56" x14ac:dyDescent="0.25">
      <c r="C81" s="106"/>
      <c r="D81" s="41" t="s">
        <v>23</v>
      </c>
      <c r="E81" s="68">
        <v>0.8</v>
      </c>
      <c r="F81" s="68">
        <v>0.8</v>
      </c>
      <c r="G81" s="68">
        <v>0.8</v>
      </c>
      <c r="H81" s="68">
        <v>0.8</v>
      </c>
      <c r="I81" s="68">
        <v>0.8</v>
      </c>
      <c r="J81" s="68">
        <v>0.8</v>
      </c>
      <c r="K81" s="68">
        <v>0.8</v>
      </c>
      <c r="L81" s="68">
        <v>0.8</v>
      </c>
      <c r="M81" s="68">
        <v>0.8</v>
      </c>
      <c r="N81" s="68">
        <v>0.8</v>
      </c>
      <c r="O81" s="68">
        <v>0.8</v>
      </c>
      <c r="P81" s="68">
        <v>0.8</v>
      </c>
      <c r="Q81" s="68">
        <v>0.8</v>
      </c>
      <c r="R81" s="68">
        <v>0.8</v>
      </c>
      <c r="S81" s="68">
        <v>0.8</v>
      </c>
      <c r="T81" s="68">
        <v>0.8</v>
      </c>
      <c r="U81" s="68">
        <v>0.8</v>
      </c>
      <c r="V81" s="68">
        <v>0.8</v>
      </c>
      <c r="W81" s="68">
        <v>0.8</v>
      </c>
      <c r="X81" s="68">
        <v>0.8</v>
      </c>
      <c r="Y81" s="68">
        <v>0.8</v>
      </c>
      <c r="Z81" s="68">
        <v>0.8</v>
      </c>
      <c r="AA81" s="68">
        <v>0.8</v>
      </c>
      <c r="AB81" s="68">
        <v>0.8</v>
      </c>
      <c r="AC81" s="68">
        <v>0.8</v>
      </c>
      <c r="AD81" s="68">
        <v>0.8</v>
      </c>
      <c r="AE81" s="68">
        <v>0.8</v>
      </c>
      <c r="AF81" s="68">
        <v>0.8</v>
      </c>
      <c r="AG81" s="68">
        <v>0.8</v>
      </c>
      <c r="AH81" s="68">
        <v>0.8</v>
      </c>
      <c r="AI81" s="68">
        <v>0.8</v>
      </c>
      <c r="AJ81" s="68">
        <v>0.8</v>
      </c>
      <c r="AK81" s="68">
        <v>0.8</v>
      </c>
      <c r="AL81" s="68">
        <v>0.8</v>
      </c>
      <c r="AM81" s="68">
        <v>0.8</v>
      </c>
      <c r="AN81" s="68">
        <v>0.8</v>
      </c>
      <c r="AO81" s="68">
        <v>0.8</v>
      </c>
      <c r="AP81" s="68">
        <v>0.8</v>
      </c>
      <c r="AQ81" s="68">
        <v>0.8</v>
      </c>
      <c r="AR81" s="68">
        <v>0.8</v>
      </c>
      <c r="AS81" s="68">
        <v>0.8</v>
      </c>
      <c r="AT81" s="68">
        <v>0.8</v>
      </c>
      <c r="AU81" s="68">
        <v>0.8</v>
      </c>
      <c r="AV81" s="68">
        <v>0.8</v>
      </c>
      <c r="AW81" s="68">
        <v>0.8</v>
      </c>
      <c r="AX81" s="68">
        <v>0.8</v>
      </c>
      <c r="AY81" s="68">
        <v>0.8</v>
      </c>
      <c r="AZ81" s="68">
        <v>0.8</v>
      </c>
      <c r="BA81" s="68">
        <v>0.8</v>
      </c>
      <c r="BB81" s="68">
        <v>0.8</v>
      </c>
      <c r="BC81" s="68">
        <v>0.8</v>
      </c>
      <c r="BD81" s="68">
        <v>0.8</v>
      </c>
    </row>
    <row r="82" spans="3:56" x14ac:dyDescent="0.25">
      <c r="C82" s="106"/>
      <c r="D82" s="41" t="s">
        <v>26</v>
      </c>
      <c r="E82" s="68">
        <v>0.35</v>
      </c>
      <c r="F82" s="68">
        <v>0.35</v>
      </c>
      <c r="G82" s="68">
        <v>0.33999999999999997</v>
      </c>
      <c r="H82" s="68">
        <v>0.33999999999999997</v>
      </c>
      <c r="I82" s="68">
        <v>0.32999999999999996</v>
      </c>
      <c r="J82" s="68">
        <v>0.32999999999999996</v>
      </c>
      <c r="K82" s="68">
        <v>0.32999999999999996</v>
      </c>
      <c r="L82" s="68">
        <v>0.32999999999999996</v>
      </c>
      <c r="M82" s="68">
        <v>0.32999999999999996</v>
      </c>
      <c r="N82" s="68">
        <v>0.32</v>
      </c>
      <c r="O82" s="68">
        <v>0.32</v>
      </c>
      <c r="P82" s="68">
        <v>0.32</v>
      </c>
      <c r="Q82" s="68">
        <v>0.33250000000000002</v>
      </c>
      <c r="R82" s="68">
        <v>0.36249999999999999</v>
      </c>
      <c r="S82" s="68">
        <v>0.35</v>
      </c>
      <c r="T82" s="68">
        <v>0.33999999999999997</v>
      </c>
      <c r="U82" s="68">
        <v>0.33999999999999997</v>
      </c>
      <c r="V82" s="68">
        <v>0.32999999999999996</v>
      </c>
      <c r="W82" s="68">
        <v>0.32999999999999996</v>
      </c>
      <c r="X82" s="68">
        <v>0.35</v>
      </c>
      <c r="Y82" s="68">
        <v>0.35</v>
      </c>
      <c r="Z82" s="68">
        <v>0.35</v>
      </c>
      <c r="AA82" s="68">
        <v>0.34</v>
      </c>
      <c r="AB82" s="68">
        <v>0.34</v>
      </c>
      <c r="AC82" s="68">
        <v>0.34</v>
      </c>
      <c r="AD82" s="68">
        <v>0.32</v>
      </c>
      <c r="AE82" s="68">
        <v>0.35</v>
      </c>
      <c r="AF82" s="68">
        <v>0.35</v>
      </c>
      <c r="AG82" s="68">
        <v>0.33999999999999997</v>
      </c>
      <c r="AH82" s="68">
        <v>0.33999999999999997</v>
      </c>
      <c r="AI82" s="68">
        <v>0.32999999999999996</v>
      </c>
      <c r="AJ82" s="68">
        <v>0.32999999999999996</v>
      </c>
      <c r="AK82" s="68">
        <v>0.32999999999999996</v>
      </c>
      <c r="AL82" s="68">
        <v>0.32999999999999996</v>
      </c>
      <c r="AM82" s="68">
        <v>0.32999999999999996</v>
      </c>
      <c r="AN82" s="68">
        <v>0.32</v>
      </c>
      <c r="AO82" s="68">
        <v>0.32</v>
      </c>
      <c r="AP82" s="68">
        <v>0.32</v>
      </c>
      <c r="AQ82" s="68">
        <v>0.32</v>
      </c>
      <c r="AR82" s="68">
        <v>0.31</v>
      </c>
      <c r="AS82" s="68">
        <v>0.31</v>
      </c>
      <c r="AT82" s="68">
        <v>0.3</v>
      </c>
      <c r="AU82" s="68">
        <v>0.3</v>
      </c>
      <c r="AV82" s="68">
        <v>0.29000000000000004</v>
      </c>
      <c r="AW82" s="68">
        <v>0.29000000000000004</v>
      </c>
      <c r="AX82" s="68">
        <v>0.29000000000000004</v>
      </c>
      <c r="AY82" s="68">
        <v>0.29000000000000004</v>
      </c>
      <c r="AZ82" s="68">
        <v>0.27</v>
      </c>
      <c r="BA82" s="68">
        <v>0.27</v>
      </c>
      <c r="BB82" s="68">
        <v>0.27</v>
      </c>
      <c r="BC82" s="68">
        <v>0.27</v>
      </c>
      <c r="BD82" s="68">
        <v>0.27</v>
      </c>
    </row>
    <row r="83" spans="3:56" x14ac:dyDescent="0.25">
      <c r="C83" s="106"/>
      <c r="D83" s="41" t="s">
        <v>28</v>
      </c>
      <c r="E83" s="65">
        <v>0</v>
      </c>
      <c r="F83" s="65">
        <v>0</v>
      </c>
      <c r="G83" s="65">
        <v>0</v>
      </c>
      <c r="H83" s="65">
        <v>0</v>
      </c>
      <c r="I83" s="65">
        <v>0</v>
      </c>
      <c r="J83" s="65">
        <v>0</v>
      </c>
      <c r="K83" s="65">
        <v>0</v>
      </c>
      <c r="L83" s="65">
        <v>0</v>
      </c>
      <c r="M83" s="65">
        <v>0</v>
      </c>
      <c r="N83" s="65">
        <v>0</v>
      </c>
      <c r="O83" s="65">
        <v>0</v>
      </c>
      <c r="P83" s="65">
        <v>0</v>
      </c>
      <c r="Q83" s="65">
        <v>0</v>
      </c>
      <c r="R83" s="65">
        <v>0</v>
      </c>
      <c r="S83" s="65">
        <v>0</v>
      </c>
      <c r="T83" s="65">
        <v>0</v>
      </c>
      <c r="U83" s="65">
        <v>0</v>
      </c>
      <c r="V83" s="65">
        <v>0</v>
      </c>
      <c r="W83" s="65">
        <v>0</v>
      </c>
      <c r="X83" s="65">
        <v>0</v>
      </c>
      <c r="Y83" s="65">
        <v>0</v>
      </c>
      <c r="Z83" s="65">
        <v>0</v>
      </c>
      <c r="AA83" s="65">
        <v>0</v>
      </c>
      <c r="AB83" s="65">
        <v>0</v>
      </c>
      <c r="AC83" s="65">
        <v>0</v>
      </c>
      <c r="AD83" s="65">
        <v>0</v>
      </c>
      <c r="AE83" s="65">
        <v>0</v>
      </c>
      <c r="AF83" s="65">
        <v>0</v>
      </c>
      <c r="AG83" s="65">
        <v>0</v>
      </c>
      <c r="AH83" s="65">
        <v>0</v>
      </c>
      <c r="AI83" s="65">
        <v>0</v>
      </c>
      <c r="AJ83" s="65">
        <v>0</v>
      </c>
      <c r="AK83" s="65">
        <v>0</v>
      </c>
      <c r="AL83" s="65">
        <v>0</v>
      </c>
      <c r="AM83" s="65">
        <v>0</v>
      </c>
      <c r="AN83" s="65">
        <v>0</v>
      </c>
      <c r="AO83" s="65">
        <v>0</v>
      </c>
      <c r="AP83" s="65">
        <v>0</v>
      </c>
      <c r="AQ83" s="65">
        <v>0</v>
      </c>
      <c r="AR83" s="65">
        <v>0</v>
      </c>
      <c r="AS83" s="65">
        <v>0</v>
      </c>
      <c r="AT83" s="65">
        <v>0</v>
      </c>
      <c r="AU83" s="65">
        <v>0</v>
      </c>
      <c r="AV83" s="65">
        <v>0</v>
      </c>
      <c r="AW83" s="65">
        <v>0</v>
      </c>
      <c r="AX83" s="65">
        <v>0</v>
      </c>
      <c r="AY83" s="65">
        <v>0</v>
      </c>
      <c r="AZ83" s="65">
        <v>0</v>
      </c>
      <c r="BA83" s="65">
        <v>0</v>
      </c>
      <c r="BB83" s="65">
        <v>0</v>
      </c>
      <c r="BC83" s="65">
        <v>0</v>
      </c>
      <c r="BD83" s="65">
        <v>0</v>
      </c>
    </row>
    <row r="84" spans="3:56" x14ac:dyDescent="0.25">
      <c r="C84" s="106"/>
      <c r="D84" s="41" t="s">
        <v>29</v>
      </c>
      <c r="E84" s="65">
        <v>4</v>
      </c>
      <c r="F84" s="65">
        <v>4</v>
      </c>
      <c r="G84" s="65">
        <v>0</v>
      </c>
      <c r="H84" s="65">
        <v>0</v>
      </c>
      <c r="I84" s="65">
        <v>0</v>
      </c>
      <c r="J84" s="65">
        <v>0</v>
      </c>
      <c r="K84" s="65">
        <v>0</v>
      </c>
      <c r="L84" s="65">
        <v>0</v>
      </c>
      <c r="M84" s="65">
        <v>0</v>
      </c>
      <c r="N84" s="65">
        <v>0</v>
      </c>
      <c r="O84" s="65">
        <v>0</v>
      </c>
      <c r="P84" s="65">
        <v>0</v>
      </c>
      <c r="Q84" s="65">
        <v>0</v>
      </c>
      <c r="R84" s="65">
        <v>0</v>
      </c>
      <c r="S84" s="65">
        <v>0</v>
      </c>
      <c r="T84" s="65">
        <v>0</v>
      </c>
      <c r="U84" s="65">
        <v>0</v>
      </c>
      <c r="V84" s="65">
        <v>0</v>
      </c>
      <c r="W84" s="65">
        <v>0</v>
      </c>
      <c r="X84" s="65">
        <v>0</v>
      </c>
      <c r="Y84" s="65">
        <v>0</v>
      </c>
      <c r="Z84" s="65">
        <v>0</v>
      </c>
      <c r="AA84" s="65">
        <v>0</v>
      </c>
      <c r="AB84" s="65">
        <v>0</v>
      </c>
      <c r="AC84" s="65">
        <v>0</v>
      </c>
      <c r="AD84" s="65">
        <v>0</v>
      </c>
      <c r="AE84" s="65">
        <v>0</v>
      </c>
      <c r="AF84" s="65">
        <v>0</v>
      </c>
      <c r="AG84" s="65">
        <v>0</v>
      </c>
      <c r="AH84" s="65">
        <v>0</v>
      </c>
      <c r="AI84" s="65">
        <v>0</v>
      </c>
      <c r="AJ84" s="65">
        <v>0</v>
      </c>
      <c r="AK84" s="65">
        <v>0</v>
      </c>
      <c r="AL84" s="65">
        <v>0</v>
      </c>
      <c r="AM84" s="65">
        <v>0</v>
      </c>
      <c r="AN84" s="65">
        <v>0</v>
      </c>
      <c r="AO84" s="65">
        <v>0</v>
      </c>
      <c r="AP84" s="65">
        <v>0</v>
      </c>
      <c r="AQ84" s="65">
        <v>0</v>
      </c>
      <c r="AR84" s="65">
        <v>0</v>
      </c>
      <c r="AS84" s="65">
        <v>0</v>
      </c>
      <c r="AT84" s="65">
        <v>0</v>
      </c>
      <c r="AU84" s="65">
        <v>0</v>
      </c>
      <c r="AV84" s="65">
        <v>0</v>
      </c>
      <c r="AW84" s="65">
        <v>0</v>
      </c>
      <c r="AX84" s="65">
        <v>0</v>
      </c>
      <c r="AY84" s="65">
        <v>0</v>
      </c>
      <c r="AZ84" s="65">
        <v>0</v>
      </c>
      <c r="BA84" s="65">
        <v>0</v>
      </c>
      <c r="BB84" s="65">
        <v>0</v>
      </c>
      <c r="BC84" s="65">
        <v>0</v>
      </c>
      <c r="BD84" s="65">
        <v>0</v>
      </c>
    </row>
    <row r="85" spans="3:56" x14ac:dyDescent="0.25">
      <c r="C85" s="106"/>
      <c r="D85" s="41" t="s">
        <v>33</v>
      </c>
      <c r="E85" s="83">
        <f t="shared" ref="E85:T85" si="68">(E79*E80)/3600/40/E81/(1-E82)+SUM(E83:E84)</f>
        <v>25.279760151006712</v>
      </c>
      <c r="F85" s="83">
        <f t="shared" si="68"/>
        <v>22.541559880416742</v>
      </c>
      <c r="G85" s="83">
        <f t="shared" si="68"/>
        <v>14.784163247053872</v>
      </c>
      <c r="H85" s="83">
        <f t="shared" si="68"/>
        <v>14.018334385521884</v>
      </c>
      <c r="I85" s="83">
        <f t="shared" si="68"/>
        <v>14.666815871683252</v>
      </c>
      <c r="J85" s="83">
        <f t="shared" si="68"/>
        <v>12.287950870646762</v>
      </c>
      <c r="K85" s="83">
        <f t="shared" si="68"/>
        <v>10.587440402155885</v>
      </c>
      <c r="L85" s="83">
        <f t="shared" si="68"/>
        <v>9.002091106965171</v>
      </c>
      <c r="M85" s="83">
        <f t="shared" si="68"/>
        <v>8.9585033815298516</v>
      </c>
      <c r="N85" s="83">
        <f t="shared" si="68"/>
        <v>10.035417943218954</v>
      </c>
      <c r="O85" s="83">
        <f t="shared" si="68"/>
        <v>11.495338988459967</v>
      </c>
      <c r="P85" s="83">
        <f t="shared" si="68"/>
        <v>11.96828299177651</v>
      </c>
      <c r="Q85" s="83">
        <f t="shared" si="68"/>
        <v>9.5861273770510085</v>
      </c>
      <c r="R85" s="83">
        <f t="shared" si="68"/>
        <v>10.00091839091581</v>
      </c>
      <c r="S85" s="83">
        <f t="shared" si="68"/>
        <v>10.795243489583333</v>
      </c>
      <c r="T85" s="83">
        <f t="shared" si="68"/>
        <v>12.367779356060604</v>
      </c>
      <c r="U85" s="83">
        <f>(U79*U80)/3600/40/U81/(1-U82)+SUM(U83:U84)</f>
        <v>12.246238425925924</v>
      </c>
      <c r="V85" s="83">
        <f t="shared" ref="V85:BD85" si="69">(V79*V80)/3600/40/V81/(1-V82)+SUM(V83:V84)</f>
        <v>14.627034748134326</v>
      </c>
      <c r="W85" s="83">
        <f t="shared" si="69"/>
        <v>15.033469371890543</v>
      </c>
      <c r="X85" s="83">
        <f t="shared" si="69"/>
        <v>19.429648437499999</v>
      </c>
      <c r="Y85" s="83">
        <f t="shared" si="69"/>
        <v>17.513749999999998</v>
      </c>
      <c r="Z85" s="83">
        <f t="shared" si="69"/>
        <v>17.280022702991449</v>
      </c>
      <c r="AA85" s="83">
        <f t="shared" si="69"/>
        <v>21.084126749263469</v>
      </c>
      <c r="AB85" s="83">
        <f t="shared" si="69"/>
        <v>19.89520300662879</v>
      </c>
      <c r="AC85" s="83">
        <f t="shared" si="69"/>
        <v>18.808452362163301</v>
      </c>
      <c r="AD85" s="83">
        <f t="shared" si="69"/>
        <v>15.734726051879084</v>
      </c>
      <c r="AE85" s="83">
        <f t="shared" si="69"/>
        <v>14.35369491185897</v>
      </c>
      <c r="AF85" s="83">
        <f t="shared" si="69"/>
        <v>16.064163327991448</v>
      </c>
      <c r="AG85" s="83">
        <f t="shared" si="69"/>
        <v>14.212075507680975</v>
      </c>
      <c r="AH85" s="83">
        <f t="shared" si="69"/>
        <v>16.918842066498314</v>
      </c>
      <c r="AI85" s="83">
        <f t="shared" si="69"/>
        <v>17.20799679985489</v>
      </c>
      <c r="AJ85" s="83">
        <f t="shared" si="69"/>
        <v>19.354314365671637</v>
      </c>
      <c r="AK85" s="83">
        <f t="shared" si="69"/>
        <v>20.216810154954395</v>
      </c>
      <c r="AL85" s="83">
        <f t="shared" si="69"/>
        <v>19.994771584784409</v>
      </c>
      <c r="AM85" s="83">
        <f t="shared" si="69"/>
        <v>17.331261696719629</v>
      </c>
      <c r="AN85" s="83">
        <f t="shared" si="69"/>
        <v>15.10653414444487</v>
      </c>
      <c r="AO85" s="83">
        <f t="shared" si="69"/>
        <v>15.379774565658382</v>
      </c>
      <c r="AP85" s="83">
        <f t="shared" si="69"/>
        <v>16.118195937923485</v>
      </c>
      <c r="AQ85" s="83">
        <f t="shared" si="69"/>
        <v>18.636101605507303</v>
      </c>
      <c r="AR85" s="83">
        <f t="shared" si="69"/>
        <v>16.940526599058273</v>
      </c>
      <c r="AS85" s="83">
        <f t="shared" si="69"/>
        <v>17.412719850566582</v>
      </c>
      <c r="AT85" s="83">
        <f t="shared" si="69"/>
        <v>18.440767317555515</v>
      </c>
      <c r="AU85" s="83">
        <f t="shared" si="69"/>
        <v>19.437872722434335</v>
      </c>
      <c r="AV85" s="83">
        <f t="shared" si="69"/>
        <v>22.33766190302066</v>
      </c>
      <c r="AW85" s="83">
        <f t="shared" si="69"/>
        <v>26.018884592549679</v>
      </c>
      <c r="AX85" s="83">
        <f t="shared" si="69"/>
        <v>30.001108954802138</v>
      </c>
      <c r="AY85" s="83">
        <f t="shared" si="69"/>
        <v>66.479872281760464</v>
      </c>
      <c r="AZ85" s="83">
        <f t="shared" si="69"/>
        <v>77.741418462789639</v>
      </c>
      <c r="BA85" s="83">
        <f t="shared" si="69"/>
        <v>70.706189486657237</v>
      </c>
      <c r="BB85" s="83">
        <f t="shared" si="69"/>
        <v>61.511616244865579</v>
      </c>
      <c r="BC85" s="83">
        <f t="shared" si="69"/>
        <v>36.48537690225691</v>
      </c>
      <c r="BD85" s="83">
        <f t="shared" si="69"/>
        <v>32.532856943151629</v>
      </c>
    </row>
    <row r="86" spans="3:56" s="6" customFormat="1" x14ac:dyDescent="0.25">
      <c r="C86" s="106"/>
      <c r="D86" s="41"/>
      <c r="E86" s="43"/>
      <c r="F86" s="43"/>
      <c r="G86" s="43"/>
      <c r="H86" s="43"/>
      <c r="I86" s="43"/>
      <c r="J86" s="43"/>
      <c r="K86" s="43"/>
      <c r="L86" s="43"/>
      <c r="M86" s="43"/>
      <c r="U86" s="41"/>
    </row>
    <row r="87" spans="3:56" s="6" customFormat="1" x14ac:dyDescent="0.25">
      <c r="C87" s="106"/>
      <c r="D87" s="49" t="s">
        <v>34</v>
      </c>
      <c r="E87" s="65">
        <v>42.4</v>
      </c>
      <c r="F87" s="65">
        <v>35.287500000000001</v>
      </c>
      <c r="G87" s="65">
        <v>32.299999999999997</v>
      </c>
      <c r="H87" s="65">
        <v>13.55</v>
      </c>
      <c r="I87" s="65">
        <v>9.5500000000000007</v>
      </c>
      <c r="J87" s="65">
        <v>9.5500000000000007</v>
      </c>
      <c r="K87" s="65">
        <v>9.5500000000000007</v>
      </c>
      <c r="L87" s="65">
        <v>9.5124999999999993</v>
      </c>
      <c r="M87" s="65">
        <v>9</v>
      </c>
      <c r="N87" s="65">
        <v>9.5</v>
      </c>
      <c r="O87" s="65">
        <v>11.5</v>
      </c>
      <c r="P87" s="65">
        <v>11.5</v>
      </c>
      <c r="Q87" s="65">
        <v>11.5</v>
      </c>
      <c r="R87" s="65">
        <v>11.5</v>
      </c>
      <c r="S87" s="65">
        <v>11</v>
      </c>
      <c r="T87" s="65">
        <v>11</v>
      </c>
      <c r="U87" s="65">
        <v>9</v>
      </c>
      <c r="V87" s="65">
        <v>9</v>
      </c>
      <c r="W87" s="65">
        <v>9</v>
      </c>
      <c r="X87" s="65">
        <v>9</v>
      </c>
      <c r="Y87" s="65">
        <v>8.9550000000000001</v>
      </c>
      <c r="Z87" s="65">
        <v>8.9102250000000005</v>
      </c>
      <c r="AA87" s="65">
        <v>8.8656738750000006</v>
      </c>
      <c r="AB87" s="65">
        <v>8.8213455056250005</v>
      </c>
      <c r="AC87" s="65">
        <v>8.7772387780968764</v>
      </c>
      <c r="AD87" s="65">
        <v>8.7333525842063917</v>
      </c>
      <c r="AE87" s="65">
        <v>8.6896858212853605</v>
      </c>
      <c r="AF87" s="65">
        <v>8.6462373921789339</v>
      </c>
      <c r="AG87" s="65">
        <v>8.6030062052180387</v>
      </c>
      <c r="AH87" s="65">
        <v>8.5599911741919481</v>
      </c>
      <c r="AI87" s="65">
        <v>8.5171912183209884</v>
      </c>
      <c r="AJ87" s="65">
        <v>8.4746052622293835</v>
      </c>
      <c r="AK87" s="65">
        <v>8.4322322359182369</v>
      </c>
      <c r="AL87" s="65">
        <v>8.3900710747386462</v>
      </c>
      <c r="AM87" s="65">
        <v>8.3481207193649531</v>
      </c>
      <c r="AN87" s="65">
        <v>8.3063801157681283</v>
      </c>
      <c r="AO87" s="65">
        <v>8.2648482151892875</v>
      </c>
      <c r="AP87" s="65">
        <v>8.2235239741133412</v>
      </c>
      <c r="AQ87" s="65">
        <v>8.1824063542427741</v>
      </c>
      <c r="AR87" s="65">
        <v>8.1414943224715604</v>
      </c>
      <c r="AS87" s="65">
        <v>8.1007868508592029</v>
      </c>
      <c r="AT87" s="65">
        <v>11.060282916604907</v>
      </c>
      <c r="AU87" s="65">
        <v>11.004981502021883</v>
      </c>
      <c r="AV87" s="65">
        <v>10.949956594511773</v>
      </c>
      <c r="AW87" s="65">
        <v>10.895206811539214</v>
      </c>
      <c r="AX87" s="65">
        <v>10.840730777481518</v>
      </c>
      <c r="AY87" s="65">
        <v>10.78652712359411</v>
      </c>
      <c r="AZ87" s="65">
        <v>10.73259448797614</v>
      </c>
      <c r="BA87" s="65">
        <v>10.571605570656498</v>
      </c>
      <c r="BB87" s="65">
        <v>10.413031487096651</v>
      </c>
      <c r="BC87" s="65">
        <v>10.256836014790201</v>
      </c>
      <c r="BD87" s="65">
        <v>10.102983474568347</v>
      </c>
    </row>
    <row r="88" spans="3:56" s="6" customFormat="1" x14ac:dyDescent="0.25">
      <c r="C88" s="106"/>
      <c r="D88" s="49" t="s">
        <v>35</v>
      </c>
      <c r="E88" s="65">
        <v>5.75</v>
      </c>
      <c r="F88" s="65">
        <v>3</v>
      </c>
      <c r="G88" s="65">
        <v>3</v>
      </c>
      <c r="H88" s="65">
        <v>2</v>
      </c>
      <c r="I88" s="65">
        <v>2</v>
      </c>
      <c r="J88" s="65">
        <v>2</v>
      </c>
      <c r="K88" s="65">
        <v>2</v>
      </c>
      <c r="L88" s="65">
        <v>2</v>
      </c>
      <c r="M88" s="65">
        <v>8.46875</v>
      </c>
      <c r="N88" s="65">
        <v>8.46875</v>
      </c>
      <c r="O88" s="65">
        <v>10.518750000000001</v>
      </c>
      <c r="P88" s="65">
        <v>9.52</v>
      </c>
      <c r="Q88" s="65">
        <v>10.518750000000001</v>
      </c>
      <c r="R88" s="65">
        <v>10.518750000000001</v>
      </c>
      <c r="S88" s="65">
        <v>10.518750000000001</v>
      </c>
      <c r="T88" s="65">
        <v>10.518750000000001</v>
      </c>
      <c r="U88" s="65">
        <v>8.5187500000000007</v>
      </c>
      <c r="V88" s="65">
        <v>8.5187500000000007</v>
      </c>
      <c r="W88" s="65">
        <v>7.5187499999999998</v>
      </c>
      <c r="X88" s="65">
        <v>7.5187499999999998</v>
      </c>
      <c r="Y88" s="65">
        <v>7.4811562499999997</v>
      </c>
      <c r="Z88" s="65">
        <v>7.4437504687499993</v>
      </c>
      <c r="AA88" s="65">
        <v>7.4065317164062492</v>
      </c>
      <c r="AB88" s="65">
        <v>7.3694990578242177</v>
      </c>
      <c r="AC88" s="65">
        <v>7.332651562535097</v>
      </c>
      <c r="AD88" s="65">
        <v>7.2959883047224219</v>
      </c>
      <c r="AE88" s="65">
        <v>7.25950836319881</v>
      </c>
      <c r="AF88" s="65">
        <v>7.2232108213828159</v>
      </c>
      <c r="AG88" s="65">
        <v>7.1870947672759016</v>
      </c>
      <c r="AH88" s="65">
        <v>7.1511592934395223</v>
      </c>
      <c r="AI88" s="65">
        <v>7.1154034969723243</v>
      </c>
      <c r="AJ88" s="65">
        <v>7.0798264794874628</v>
      </c>
      <c r="AK88" s="65">
        <v>8.0444273470900249</v>
      </c>
      <c r="AL88" s="65">
        <v>9.0042052103545753</v>
      </c>
      <c r="AM88" s="65">
        <v>8.9591841843028028</v>
      </c>
      <c r="AN88" s="65">
        <v>8.914388263381289</v>
      </c>
      <c r="AO88" s="65">
        <v>8.8698163220643824</v>
      </c>
      <c r="AP88" s="65">
        <v>8.8254672404540599</v>
      </c>
      <c r="AQ88" s="65">
        <v>12.781339904251789</v>
      </c>
      <c r="AR88" s="65">
        <v>12.717433204730529</v>
      </c>
      <c r="AS88" s="65">
        <v>12.653846038706877</v>
      </c>
      <c r="AT88" s="65">
        <v>15.590576808513344</v>
      </c>
      <c r="AU88" s="65">
        <v>15.512623924470777</v>
      </c>
      <c r="AV88" s="65">
        <v>19.435060804848423</v>
      </c>
      <c r="AW88" s="65">
        <v>49.337885500824186</v>
      </c>
      <c r="AX88" s="65">
        <v>49.091196073320063</v>
      </c>
      <c r="AY88" s="65">
        <v>48.845740092953463</v>
      </c>
      <c r="AZ88" s="65">
        <v>48.601511392488696</v>
      </c>
      <c r="BA88" s="65">
        <v>41.872488721601364</v>
      </c>
      <c r="BB88" s="65">
        <v>37.244401390777341</v>
      </c>
      <c r="BC88" s="65">
        <v>22.685735369915683</v>
      </c>
      <c r="BD88" s="65">
        <v>16.345449339366947</v>
      </c>
    </row>
    <row r="89" spans="3:56" s="6" customFormat="1" x14ac:dyDescent="0.25">
      <c r="C89" s="106"/>
      <c r="D89" s="49" t="s">
        <v>36</v>
      </c>
      <c r="E89" s="65">
        <v>0</v>
      </c>
      <c r="F89" s="65">
        <v>0</v>
      </c>
      <c r="G89" s="65">
        <v>0</v>
      </c>
      <c r="H89" s="65">
        <v>0</v>
      </c>
      <c r="I89" s="65">
        <v>0</v>
      </c>
      <c r="J89" s="65">
        <v>0</v>
      </c>
      <c r="K89" s="65">
        <v>0</v>
      </c>
      <c r="L89" s="65">
        <v>0</v>
      </c>
      <c r="M89" s="65">
        <v>0</v>
      </c>
      <c r="N89" s="65">
        <v>0</v>
      </c>
      <c r="O89" s="65">
        <v>0</v>
      </c>
      <c r="P89" s="65">
        <v>0</v>
      </c>
      <c r="Q89" s="65">
        <v>0</v>
      </c>
      <c r="R89" s="65">
        <v>0</v>
      </c>
      <c r="S89" s="65">
        <v>0</v>
      </c>
      <c r="T89" s="65">
        <v>0</v>
      </c>
      <c r="U89" s="65">
        <v>0</v>
      </c>
      <c r="V89" s="65">
        <v>0</v>
      </c>
      <c r="W89" s="65">
        <v>0</v>
      </c>
      <c r="X89" s="65">
        <v>0</v>
      </c>
      <c r="Y89" s="65">
        <v>0</v>
      </c>
      <c r="Z89" s="65">
        <v>0</v>
      </c>
      <c r="AA89" s="65">
        <v>0</v>
      </c>
      <c r="AB89" s="65">
        <v>0</v>
      </c>
      <c r="AC89" s="65">
        <v>0</v>
      </c>
      <c r="AD89" s="65">
        <v>0</v>
      </c>
      <c r="AE89" s="65">
        <v>0</v>
      </c>
      <c r="AF89" s="65">
        <v>0</v>
      </c>
      <c r="AG89" s="65">
        <v>0</v>
      </c>
      <c r="AH89" s="65">
        <v>0</v>
      </c>
      <c r="AI89" s="65">
        <v>0</v>
      </c>
      <c r="AJ89" s="65">
        <v>0</v>
      </c>
      <c r="AK89" s="65">
        <v>0</v>
      </c>
      <c r="AL89" s="65">
        <v>0</v>
      </c>
      <c r="AM89" s="65">
        <v>0</v>
      </c>
      <c r="AN89" s="65">
        <v>0</v>
      </c>
      <c r="AO89" s="65">
        <v>0</v>
      </c>
      <c r="AP89" s="65">
        <v>0</v>
      </c>
      <c r="AQ89" s="65">
        <v>0</v>
      </c>
      <c r="AR89" s="65">
        <v>0</v>
      </c>
      <c r="AS89" s="65">
        <v>0</v>
      </c>
      <c r="AT89" s="65">
        <v>0</v>
      </c>
      <c r="AU89" s="65">
        <v>0</v>
      </c>
      <c r="AV89" s="65">
        <v>0</v>
      </c>
      <c r="AW89" s="65">
        <v>0</v>
      </c>
      <c r="AX89" s="65">
        <v>0</v>
      </c>
      <c r="AY89" s="65">
        <v>0</v>
      </c>
      <c r="AZ89" s="65">
        <v>0</v>
      </c>
      <c r="BA89" s="65">
        <v>0</v>
      </c>
      <c r="BB89" s="65">
        <v>0</v>
      </c>
      <c r="BC89" s="65">
        <v>0</v>
      </c>
      <c r="BD89" s="65">
        <v>0</v>
      </c>
    </row>
    <row r="90" spans="3:56" s="6" customFormat="1" x14ac:dyDescent="0.25">
      <c r="C90" s="106"/>
      <c r="D90" s="49" t="s">
        <v>37</v>
      </c>
      <c r="E90" s="65">
        <v>0</v>
      </c>
      <c r="F90" s="65">
        <v>0</v>
      </c>
      <c r="G90" s="65">
        <v>0</v>
      </c>
      <c r="H90" s="65">
        <v>0</v>
      </c>
      <c r="I90" s="65">
        <v>0</v>
      </c>
      <c r="J90" s="65">
        <v>0</v>
      </c>
      <c r="K90" s="65">
        <v>0</v>
      </c>
      <c r="L90" s="65">
        <v>0</v>
      </c>
      <c r="M90" s="65">
        <v>0</v>
      </c>
      <c r="N90" s="65">
        <v>0</v>
      </c>
      <c r="O90" s="65">
        <v>0</v>
      </c>
      <c r="P90" s="65">
        <v>0</v>
      </c>
      <c r="Q90" s="65">
        <v>0</v>
      </c>
      <c r="R90" s="65">
        <v>0</v>
      </c>
      <c r="S90" s="65">
        <v>0</v>
      </c>
      <c r="T90" s="65">
        <v>0</v>
      </c>
      <c r="U90" s="65">
        <v>0</v>
      </c>
      <c r="V90" s="65">
        <v>0</v>
      </c>
      <c r="W90" s="65">
        <v>0</v>
      </c>
      <c r="X90" s="65">
        <v>0</v>
      </c>
      <c r="Y90" s="65">
        <v>0</v>
      </c>
      <c r="Z90" s="65">
        <v>0</v>
      </c>
      <c r="AA90" s="65">
        <v>0</v>
      </c>
      <c r="AB90" s="65">
        <v>0</v>
      </c>
      <c r="AC90" s="65">
        <v>0</v>
      </c>
      <c r="AD90" s="65">
        <v>0</v>
      </c>
      <c r="AE90" s="65">
        <v>0</v>
      </c>
      <c r="AF90" s="65">
        <v>0</v>
      </c>
      <c r="AG90" s="65">
        <v>0</v>
      </c>
      <c r="AH90" s="65">
        <v>0</v>
      </c>
      <c r="AI90" s="65">
        <v>0</v>
      </c>
      <c r="AJ90" s="65">
        <v>0</v>
      </c>
      <c r="AK90" s="65">
        <v>0</v>
      </c>
      <c r="AL90" s="65">
        <v>0</v>
      </c>
      <c r="AM90" s="65">
        <v>0</v>
      </c>
      <c r="AN90" s="65">
        <v>0</v>
      </c>
      <c r="AO90" s="65">
        <v>0</v>
      </c>
      <c r="AP90" s="65">
        <v>0</v>
      </c>
      <c r="AQ90" s="65">
        <v>0</v>
      </c>
      <c r="AR90" s="65">
        <v>0</v>
      </c>
      <c r="AS90" s="65">
        <v>0</v>
      </c>
      <c r="AT90" s="65">
        <v>0</v>
      </c>
      <c r="AU90" s="65">
        <v>0</v>
      </c>
      <c r="AV90" s="65">
        <v>0</v>
      </c>
      <c r="AW90" s="65">
        <v>0</v>
      </c>
      <c r="AX90" s="65">
        <v>0</v>
      </c>
      <c r="AY90" s="65">
        <v>0</v>
      </c>
      <c r="AZ90" s="65">
        <v>0</v>
      </c>
      <c r="BA90" s="65">
        <v>0</v>
      </c>
      <c r="BB90" s="65">
        <v>0</v>
      </c>
      <c r="BC90" s="65">
        <v>0</v>
      </c>
      <c r="BD90" s="65">
        <v>0</v>
      </c>
    </row>
    <row r="91" spans="3:56" s="6" customFormat="1" x14ac:dyDescent="0.25">
      <c r="C91" s="106"/>
      <c r="D91" s="49" t="s">
        <v>38</v>
      </c>
      <c r="E91" s="65">
        <v>25.177</v>
      </c>
      <c r="F91" s="65">
        <v>23.3645</v>
      </c>
      <c r="G91" s="65">
        <v>17.643750000000001</v>
      </c>
      <c r="H91" s="65">
        <v>13.44375</v>
      </c>
      <c r="I91" s="65">
        <v>10.018750000000001</v>
      </c>
      <c r="J91" s="65">
        <v>10.018750000000001</v>
      </c>
      <c r="K91" s="65">
        <v>10.018750000000001</v>
      </c>
      <c r="L91" s="65">
        <v>10.018750000000001</v>
      </c>
      <c r="M91" s="65">
        <v>0</v>
      </c>
      <c r="N91" s="65">
        <v>0</v>
      </c>
      <c r="O91" s="65">
        <v>0</v>
      </c>
      <c r="P91" s="65">
        <v>0</v>
      </c>
      <c r="Q91" s="65">
        <v>0</v>
      </c>
      <c r="R91" s="65">
        <v>0</v>
      </c>
      <c r="S91" s="65">
        <v>0</v>
      </c>
      <c r="T91" s="65">
        <v>0</v>
      </c>
      <c r="U91" s="65">
        <v>0</v>
      </c>
      <c r="V91" s="65">
        <v>0</v>
      </c>
      <c r="W91" s="65">
        <v>0</v>
      </c>
      <c r="X91" s="65">
        <v>0</v>
      </c>
      <c r="Y91" s="65">
        <v>0</v>
      </c>
      <c r="Z91" s="65">
        <v>0</v>
      </c>
      <c r="AA91" s="65">
        <v>0</v>
      </c>
      <c r="AB91" s="65">
        <v>0</v>
      </c>
      <c r="AC91" s="65">
        <v>0</v>
      </c>
      <c r="AD91" s="65">
        <v>0</v>
      </c>
      <c r="AE91" s="65">
        <v>0</v>
      </c>
      <c r="AF91" s="65">
        <v>0</v>
      </c>
      <c r="AG91" s="65">
        <v>0</v>
      </c>
      <c r="AH91" s="65">
        <v>0</v>
      </c>
      <c r="AI91" s="65">
        <v>0</v>
      </c>
      <c r="AJ91" s="65">
        <v>0</v>
      </c>
      <c r="AK91" s="65">
        <v>0</v>
      </c>
      <c r="AL91" s="65">
        <v>0</v>
      </c>
      <c r="AM91" s="65">
        <v>0</v>
      </c>
      <c r="AN91" s="65">
        <v>0</v>
      </c>
      <c r="AO91" s="65">
        <v>0</v>
      </c>
      <c r="AP91" s="65">
        <v>0</v>
      </c>
      <c r="AQ91" s="65">
        <v>0</v>
      </c>
      <c r="AR91" s="65">
        <v>0</v>
      </c>
      <c r="AS91" s="65">
        <v>0</v>
      </c>
      <c r="AT91" s="65">
        <v>0</v>
      </c>
      <c r="AU91" s="65">
        <v>0</v>
      </c>
      <c r="AV91" s="65">
        <v>0</v>
      </c>
      <c r="AW91" s="65">
        <v>0</v>
      </c>
      <c r="AX91" s="65">
        <v>0</v>
      </c>
      <c r="AY91" s="65">
        <v>0</v>
      </c>
      <c r="AZ91" s="65">
        <v>0</v>
      </c>
      <c r="BA91" s="65">
        <v>0</v>
      </c>
      <c r="BB91" s="65">
        <v>0</v>
      </c>
      <c r="BC91" s="65">
        <v>0</v>
      </c>
      <c r="BD91" s="65">
        <v>0</v>
      </c>
    </row>
    <row r="92" spans="3:56" s="6" customFormat="1" x14ac:dyDescent="0.25">
      <c r="C92" s="106"/>
      <c r="D92" s="49" t="s">
        <v>39</v>
      </c>
      <c r="E92" s="65">
        <v>0</v>
      </c>
      <c r="F92" s="65">
        <v>0</v>
      </c>
      <c r="G92" s="65">
        <v>0</v>
      </c>
      <c r="H92" s="65">
        <v>0</v>
      </c>
      <c r="I92" s="65">
        <v>0</v>
      </c>
      <c r="J92" s="65">
        <v>0</v>
      </c>
      <c r="K92" s="65">
        <v>0</v>
      </c>
      <c r="L92" s="65">
        <v>0</v>
      </c>
      <c r="M92" s="65">
        <v>0</v>
      </c>
      <c r="N92" s="65">
        <v>0</v>
      </c>
      <c r="O92" s="65">
        <v>0</v>
      </c>
      <c r="P92" s="65">
        <v>0</v>
      </c>
      <c r="Q92" s="65">
        <v>0</v>
      </c>
      <c r="R92" s="65">
        <v>0</v>
      </c>
      <c r="S92" s="65">
        <v>0</v>
      </c>
      <c r="T92" s="65">
        <v>0</v>
      </c>
      <c r="U92" s="65">
        <v>0</v>
      </c>
      <c r="V92" s="65">
        <v>0</v>
      </c>
      <c r="W92" s="65">
        <v>0</v>
      </c>
      <c r="X92" s="65">
        <v>0</v>
      </c>
      <c r="Y92" s="65">
        <v>0</v>
      </c>
      <c r="Z92" s="65">
        <v>0</v>
      </c>
      <c r="AA92" s="65">
        <v>0</v>
      </c>
      <c r="AB92" s="65">
        <v>0</v>
      </c>
      <c r="AC92" s="65">
        <v>0</v>
      </c>
      <c r="AD92" s="65">
        <v>0</v>
      </c>
      <c r="AE92" s="65">
        <v>0</v>
      </c>
      <c r="AF92" s="65">
        <v>0</v>
      </c>
      <c r="AG92" s="65">
        <v>0</v>
      </c>
      <c r="AH92" s="65">
        <v>0</v>
      </c>
      <c r="AI92" s="65">
        <v>0</v>
      </c>
      <c r="AJ92" s="65">
        <v>0</v>
      </c>
      <c r="AK92" s="65">
        <v>0</v>
      </c>
      <c r="AL92" s="65">
        <v>0</v>
      </c>
      <c r="AM92" s="65">
        <v>0</v>
      </c>
      <c r="AN92" s="65">
        <v>0</v>
      </c>
      <c r="AO92" s="65">
        <v>0</v>
      </c>
      <c r="AP92" s="65">
        <v>0</v>
      </c>
      <c r="AQ92" s="65">
        <v>0</v>
      </c>
      <c r="AR92" s="65">
        <v>0</v>
      </c>
      <c r="AS92" s="65">
        <v>0</v>
      </c>
      <c r="AT92" s="65">
        <v>0</v>
      </c>
      <c r="AU92" s="65">
        <v>0</v>
      </c>
      <c r="AV92" s="65">
        <v>0</v>
      </c>
      <c r="AW92" s="65">
        <v>0</v>
      </c>
      <c r="AX92" s="65">
        <v>0</v>
      </c>
      <c r="AY92" s="65">
        <v>0</v>
      </c>
      <c r="AZ92" s="65">
        <v>0</v>
      </c>
      <c r="BA92" s="65">
        <v>0</v>
      </c>
      <c r="BB92" s="65">
        <v>0</v>
      </c>
      <c r="BC92" s="65">
        <v>0</v>
      </c>
      <c r="BD92" s="65">
        <v>0</v>
      </c>
    </row>
    <row r="93" spans="3:56" s="6" customFormat="1" x14ac:dyDescent="0.25">
      <c r="C93" s="106"/>
      <c r="D93" s="49" t="s">
        <v>40</v>
      </c>
      <c r="E93" s="65">
        <v>0</v>
      </c>
      <c r="F93" s="65">
        <v>0</v>
      </c>
      <c r="G93" s="65">
        <v>0</v>
      </c>
      <c r="H93" s="65">
        <v>0</v>
      </c>
      <c r="I93" s="65">
        <v>0</v>
      </c>
      <c r="J93" s="65">
        <v>0</v>
      </c>
      <c r="K93" s="65">
        <v>0</v>
      </c>
      <c r="L93" s="65">
        <v>0</v>
      </c>
      <c r="M93" s="65">
        <v>0</v>
      </c>
      <c r="N93" s="65">
        <v>0</v>
      </c>
      <c r="O93" s="65">
        <v>0</v>
      </c>
      <c r="P93" s="65">
        <v>0</v>
      </c>
      <c r="Q93" s="65">
        <v>0</v>
      </c>
      <c r="R93" s="65">
        <v>0</v>
      </c>
      <c r="S93" s="65">
        <v>0</v>
      </c>
      <c r="T93" s="65">
        <v>0</v>
      </c>
      <c r="U93" s="65">
        <v>0</v>
      </c>
      <c r="V93" s="65">
        <v>0</v>
      </c>
      <c r="W93" s="65">
        <v>0</v>
      </c>
      <c r="X93" s="65">
        <v>0</v>
      </c>
      <c r="Y93" s="65">
        <v>0</v>
      </c>
      <c r="Z93" s="65">
        <v>0</v>
      </c>
      <c r="AA93" s="65">
        <v>0</v>
      </c>
      <c r="AB93" s="65">
        <v>0</v>
      </c>
      <c r="AC93" s="65">
        <v>0</v>
      </c>
      <c r="AD93" s="65">
        <v>0</v>
      </c>
      <c r="AE93" s="65">
        <v>0</v>
      </c>
      <c r="AF93" s="65">
        <v>0</v>
      </c>
      <c r="AG93" s="65">
        <v>0</v>
      </c>
      <c r="AH93" s="65">
        <v>0</v>
      </c>
      <c r="AI93" s="65">
        <v>0</v>
      </c>
      <c r="AJ93" s="65">
        <v>0</v>
      </c>
      <c r="AK93" s="65">
        <v>0</v>
      </c>
      <c r="AL93" s="65">
        <v>0</v>
      </c>
      <c r="AM93" s="65">
        <v>0</v>
      </c>
      <c r="AN93" s="65">
        <v>0</v>
      </c>
      <c r="AO93" s="65">
        <v>0</v>
      </c>
      <c r="AP93" s="65">
        <v>0</v>
      </c>
      <c r="AQ93" s="65">
        <v>0</v>
      </c>
      <c r="AR93" s="65">
        <v>0</v>
      </c>
      <c r="AS93" s="65">
        <v>0</v>
      </c>
      <c r="AT93" s="65">
        <v>0</v>
      </c>
      <c r="AU93" s="65">
        <v>0</v>
      </c>
      <c r="AV93" s="65">
        <v>0</v>
      </c>
      <c r="AW93" s="65">
        <v>0</v>
      </c>
      <c r="AX93" s="65">
        <v>0</v>
      </c>
      <c r="AY93" s="65">
        <v>0</v>
      </c>
      <c r="AZ93" s="65">
        <v>0</v>
      </c>
      <c r="BA93" s="65">
        <v>0</v>
      </c>
      <c r="BB93" s="65">
        <v>0</v>
      </c>
      <c r="BC93" s="65">
        <v>0</v>
      </c>
      <c r="BD93" s="65">
        <v>0</v>
      </c>
    </row>
    <row r="94" spans="3:56" s="6" customFormat="1" x14ac:dyDescent="0.25">
      <c r="C94" s="106"/>
      <c r="D94" s="50" t="s">
        <v>41</v>
      </c>
      <c r="E94" s="54">
        <f t="shared" ref="E94:BD94" si="70">(SUM(E87:E93)*E96)/((40*(1-E95)+40))</f>
        <v>0</v>
      </c>
      <c r="F94" s="54">
        <f t="shared" si="70"/>
        <v>0</v>
      </c>
      <c r="G94" s="54">
        <f t="shared" si="70"/>
        <v>0</v>
      </c>
      <c r="H94" s="54">
        <f t="shared" si="70"/>
        <v>0</v>
      </c>
      <c r="I94" s="54">
        <f t="shared" si="70"/>
        <v>0</v>
      </c>
      <c r="J94" s="54">
        <f t="shared" si="70"/>
        <v>0</v>
      </c>
      <c r="K94" s="54">
        <f t="shared" si="70"/>
        <v>-2.8133152173913047</v>
      </c>
      <c r="L94" s="54">
        <f t="shared" si="70"/>
        <v>-1.8722826086956521</v>
      </c>
      <c r="M94" s="54">
        <f t="shared" si="70"/>
        <v>-1.5190217391304348</v>
      </c>
      <c r="N94" s="54">
        <f t="shared" si="70"/>
        <v>-0.78125</v>
      </c>
      <c r="O94" s="54">
        <f t="shared" si="70"/>
        <v>0</v>
      </c>
      <c r="P94" s="54">
        <f t="shared" si="70"/>
        <v>0</v>
      </c>
      <c r="Q94" s="54">
        <f t="shared" si="70"/>
        <v>-1.9146739130434782</v>
      </c>
      <c r="R94" s="54">
        <f t="shared" si="70"/>
        <v>0</v>
      </c>
      <c r="S94" s="54">
        <f t="shared" si="70"/>
        <v>-0.93559782608695652</v>
      </c>
      <c r="T94" s="54">
        <f t="shared" si="70"/>
        <v>-1.871195652173913</v>
      </c>
      <c r="U94" s="54">
        <f t="shared" si="70"/>
        <v>-1.5233695652173913</v>
      </c>
      <c r="V94" s="54">
        <f t="shared" si="70"/>
        <v>0</v>
      </c>
      <c r="W94" s="54">
        <f t="shared" si="70"/>
        <v>0</v>
      </c>
      <c r="X94" s="54">
        <f t="shared" si="70"/>
        <v>0</v>
      </c>
      <c r="Y94" s="54">
        <f t="shared" si="70"/>
        <v>0</v>
      </c>
      <c r="Z94" s="54">
        <f t="shared" si="70"/>
        <v>0</v>
      </c>
      <c r="AA94" s="54">
        <f t="shared" si="70"/>
        <v>0</v>
      </c>
      <c r="AB94" s="54">
        <f t="shared" si="70"/>
        <v>0</v>
      </c>
      <c r="AC94" s="54">
        <f t="shared" si="70"/>
        <v>0</v>
      </c>
      <c r="AD94" s="54">
        <f t="shared" si="70"/>
        <v>0</v>
      </c>
      <c r="AE94" s="54">
        <f t="shared" si="70"/>
        <v>0</v>
      </c>
      <c r="AF94" s="54">
        <f t="shared" si="70"/>
        <v>0</v>
      </c>
      <c r="AG94" s="54">
        <f t="shared" si="70"/>
        <v>0</v>
      </c>
      <c r="AH94" s="54">
        <f t="shared" si="70"/>
        <v>0</v>
      </c>
      <c r="AI94" s="54">
        <f t="shared" si="70"/>
        <v>0</v>
      </c>
      <c r="AJ94" s="54">
        <f t="shared" si="70"/>
        <v>0</v>
      </c>
      <c r="AK94" s="54">
        <f t="shared" si="70"/>
        <v>0</v>
      </c>
      <c r="AL94" s="54">
        <f t="shared" si="70"/>
        <v>0</v>
      </c>
      <c r="AM94" s="54">
        <f t="shared" si="70"/>
        <v>0</v>
      </c>
      <c r="AN94" s="54">
        <f t="shared" si="70"/>
        <v>0</v>
      </c>
      <c r="AO94" s="54">
        <f t="shared" si="70"/>
        <v>0</v>
      </c>
      <c r="AP94" s="54">
        <f t="shared" si="70"/>
        <v>0</v>
      </c>
      <c r="AQ94" s="54">
        <f t="shared" si="70"/>
        <v>0</v>
      </c>
      <c r="AR94" s="54">
        <f t="shared" si="70"/>
        <v>0</v>
      </c>
      <c r="AS94" s="54">
        <f t="shared" si="70"/>
        <v>0</v>
      </c>
      <c r="AT94" s="54">
        <f t="shared" si="70"/>
        <v>0</v>
      </c>
      <c r="AU94" s="54">
        <f t="shared" si="70"/>
        <v>0</v>
      </c>
      <c r="AV94" s="54">
        <f t="shared" si="70"/>
        <v>0</v>
      </c>
      <c r="AW94" s="54">
        <f t="shared" si="70"/>
        <v>0</v>
      </c>
      <c r="AX94" s="54">
        <f t="shared" si="70"/>
        <v>0</v>
      </c>
      <c r="AY94" s="54">
        <f t="shared" si="70"/>
        <v>0</v>
      </c>
      <c r="AZ94" s="54">
        <f t="shared" si="70"/>
        <v>0</v>
      </c>
      <c r="BA94" s="54">
        <f t="shared" si="70"/>
        <v>0</v>
      </c>
      <c r="BB94" s="54">
        <f t="shared" si="70"/>
        <v>0</v>
      </c>
      <c r="BC94" s="54">
        <f t="shared" si="70"/>
        <v>0</v>
      </c>
      <c r="BD94" s="54">
        <f t="shared" si="70"/>
        <v>0</v>
      </c>
    </row>
    <row r="95" spans="3:56" s="6" customFormat="1" x14ac:dyDescent="0.25">
      <c r="C95" s="106"/>
      <c r="D95" s="50" t="s">
        <v>42</v>
      </c>
      <c r="E95" s="67">
        <v>0.85</v>
      </c>
      <c r="F95" s="67">
        <v>0.85</v>
      </c>
      <c r="G95" s="67">
        <v>0.85</v>
      </c>
      <c r="H95" s="67">
        <v>0.85</v>
      </c>
      <c r="I95" s="67">
        <v>0.85</v>
      </c>
      <c r="J95" s="67">
        <v>0.85</v>
      </c>
      <c r="K95" s="67">
        <v>0.85</v>
      </c>
      <c r="L95" s="67">
        <v>0.85</v>
      </c>
      <c r="M95" s="67">
        <v>0.85</v>
      </c>
      <c r="N95" s="67">
        <v>0.85</v>
      </c>
      <c r="O95" s="67">
        <v>0.85</v>
      </c>
      <c r="P95" s="67">
        <v>0.85</v>
      </c>
      <c r="Q95" s="67">
        <v>0.85</v>
      </c>
      <c r="R95" s="67">
        <v>0.85</v>
      </c>
      <c r="S95" s="67">
        <v>0.85</v>
      </c>
      <c r="T95" s="67">
        <v>0.85</v>
      </c>
      <c r="U95" s="67">
        <v>0.85</v>
      </c>
      <c r="V95" s="67">
        <v>0.85</v>
      </c>
      <c r="W95" s="67">
        <v>0.85</v>
      </c>
      <c r="X95" s="67">
        <v>0.85</v>
      </c>
      <c r="Y95" s="67">
        <v>0.85</v>
      </c>
      <c r="Z95" s="67">
        <v>0.85</v>
      </c>
      <c r="AA95" s="67">
        <v>0.85</v>
      </c>
      <c r="AB95" s="67">
        <v>0.85</v>
      </c>
      <c r="AC95" s="67">
        <v>0.85</v>
      </c>
      <c r="AD95" s="67">
        <v>0.85</v>
      </c>
      <c r="AE95" s="67">
        <v>0.85</v>
      </c>
      <c r="AF95" s="67">
        <v>0.85</v>
      </c>
      <c r="AG95" s="67">
        <v>0.85</v>
      </c>
      <c r="AH95" s="67">
        <v>0.85</v>
      </c>
      <c r="AI95" s="67">
        <v>0.85</v>
      </c>
      <c r="AJ95" s="67">
        <v>0.85</v>
      </c>
      <c r="AK95" s="67">
        <v>0.85</v>
      </c>
      <c r="AL95" s="67">
        <v>0.85</v>
      </c>
      <c r="AM95" s="67">
        <v>0.85</v>
      </c>
      <c r="AN95" s="67">
        <v>0.85</v>
      </c>
      <c r="AO95" s="67">
        <v>0.85</v>
      </c>
      <c r="AP95" s="67">
        <v>0.85</v>
      </c>
      <c r="AQ95" s="67">
        <v>0.85</v>
      </c>
      <c r="AR95" s="67">
        <v>0.85</v>
      </c>
      <c r="AS95" s="67">
        <v>0.85</v>
      </c>
      <c r="AT95" s="67">
        <v>0.85</v>
      </c>
      <c r="AU95" s="67">
        <v>0.85</v>
      </c>
      <c r="AV95" s="67">
        <v>0.85</v>
      </c>
      <c r="AW95" s="67">
        <v>0.85</v>
      </c>
      <c r="AX95" s="67">
        <v>0.85</v>
      </c>
      <c r="AY95" s="67">
        <v>0.85</v>
      </c>
      <c r="AZ95" s="67">
        <v>0.85</v>
      </c>
      <c r="BA95" s="67">
        <v>0.85</v>
      </c>
      <c r="BB95" s="67">
        <v>0.85</v>
      </c>
      <c r="BC95" s="67">
        <v>0.85</v>
      </c>
      <c r="BD95" s="67">
        <v>0.85</v>
      </c>
    </row>
    <row r="96" spans="3:56" s="6" customFormat="1" x14ac:dyDescent="0.25">
      <c r="C96" s="106"/>
      <c r="D96" s="50" t="s">
        <v>43</v>
      </c>
      <c r="E96" s="65"/>
      <c r="F96" s="65"/>
      <c r="G96" s="65"/>
      <c r="H96" s="65"/>
      <c r="I96" s="65"/>
      <c r="J96" s="65"/>
      <c r="K96" s="65">
        <v>-6</v>
      </c>
      <c r="L96" s="65">
        <v>-4</v>
      </c>
      <c r="M96" s="65">
        <v>-4</v>
      </c>
      <c r="N96" s="65">
        <v>-2</v>
      </c>
      <c r="O96" s="65"/>
      <c r="P96" s="65"/>
      <c r="Q96" s="65">
        <v>-4</v>
      </c>
      <c r="R96" s="65"/>
      <c r="S96" s="65">
        <v>-2</v>
      </c>
      <c r="T96" s="65">
        <v>-4</v>
      </c>
      <c r="U96" s="65">
        <v>-4</v>
      </c>
      <c r="V96" s="65"/>
      <c r="W96" s="65"/>
      <c r="X96" s="65"/>
      <c r="Y96" s="65"/>
      <c r="Z96" s="65"/>
      <c r="AA96" s="65"/>
      <c r="AB96" s="65"/>
      <c r="AC96" s="65"/>
      <c r="AD96" s="65"/>
      <c r="AE96" s="65"/>
      <c r="AF96" s="65"/>
      <c r="AG96" s="65"/>
      <c r="AH96" s="65"/>
      <c r="AI96" s="65"/>
      <c r="AJ96" s="65"/>
      <c r="AK96" s="65"/>
      <c r="AL96" s="65"/>
      <c r="AM96" s="65"/>
      <c r="AN96" s="65"/>
      <c r="AO96" s="65"/>
      <c r="AP96" s="65"/>
      <c r="AQ96" s="65"/>
      <c r="AR96" s="65"/>
      <c r="AS96" s="65"/>
      <c r="AT96" s="65"/>
      <c r="AU96" s="65"/>
      <c r="AV96" s="65"/>
      <c r="AW96" s="65"/>
      <c r="AX96" s="65"/>
      <c r="AY96" s="65"/>
      <c r="AZ96" s="65"/>
      <c r="BA96" s="65"/>
      <c r="BB96" s="65"/>
      <c r="BC96" s="65"/>
      <c r="BD96" s="65">
        <v>0</v>
      </c>
    </row>
    <row r="97" spans="3:56" s="6" customFormat="1" x14ac:dyDescent="0.25">
      <c r="C97" s="106"/>
      <c r="D97" s="51" t="s">
        <v>44</v>
      </c>
      <c r="E97" s="61">
        <f>SUM(E87:E94)</f>
        <v>73.326999999999998</v>
      </c>
      <c r="F97" s="61">
        <f t="shared" ref="F97:BD97" si="71">SUM(F87:F94)</f>
        <v>61.652000000000001</v>
      </c>
      <c r="G97" s="61">
        <f t="shared" si="71"/>
        <v>52.943749999999994</v>
      </c>
      <c r="H97" s="61">
        <f t="shared" si="71"/>
        <v>28.993749999999999</v>
      </c>
      <c r="I97" s="61">
        <f t="shared" si="71"/>
        <v>21.568750000000001</v>
      </c>
      <c r="J97" s="61">
        <f t="shared" si="71"/>
        <v>21.568750000000001</v>
      </c>
      <c r="K97" s="61">
        <f t="shared" si="71"/>
        <v>18.755434782608695</v>
      </c>
      <c r="L97" s="61">
        <f t="shared" si="71"/>
        <v>19.658967391304348</v>
      </c>
      <c r="M97" s="61">
        <f t="shared" si="71"/>
        <v>15.949728260869565</v>
      </c>
      <c r="N97" s="61">
        <f t="shared" si="71"/>
        <v>17.1875</v>
      </c>
      <c r="O97" s="61">
        <f t="shared" si="71"/>
        <v>22.018750000000001</v>
      </c>
      <c r="P97" s="61">
        <f t="shared" si="71"/>
        <v>21.02</v>
      </c>
      <c r="Q97" s="61">
        <f t="shared" si="71"/>
        <v>20.104076086956521</v>
      </c>
      <c r="R97" s="61">
        <f t="shared" si="71"/>
        <v>22.018750000000001</v>
      </c>
      <c r="S97" s="61">
        <f t="shared" si="71"/>
        <v>20.583152173913046</v>
      </c>
      <c r="T97" s="61">
        <f t="shared" si="71"/>
        <v>19.647554347826087</v>
      </c>
      <c r="U97" s="61">
        <f t="shared" si="71"/>
        <v>15.995380434782609</v>
      </c>
      <c r="V97" s="61">
        <f t="shared" si="71"/>
        <v>17.518750000000001</v>
      </c>
      <c r="W97" s="61">
        <f t="shared" si="71"/>
        <v>16.518750000000001</v>
      </c>
      <c r="X97" s="61">
        <f t="shared" si="71"/>
        <v>16.518750000000001</v>
      </c>
      <c r="Y97" s="61">
        <f t="shared" si="71"/>
        <v>16.43615625</v>
      </c>
      <c r="Z97" s="61">
        <f t="shared" si="71"/>
        <v>16.353975468750001</v>
      </c>
      <c r="AA97" s="61">
        <f t="shared" si="71"/>
        <v>16.272205591406248</v>
      </c>
      <c r="AB97" s="61">
        <f t="shared" si="71"/>
        <v>16.190844563449218</v>
      </c>
      <c r="AC97" s="61">
        <f t="shared" si="71"/>
        <v>16.109890340631974</v>
      </c>
      <c r="AD97" s="61">
        <f t="shared" si="71"/>
        <v>16.029340888928814</v>
      </c>
      <c r="AE97" s="61">
        <f t="shared" si="71"/>
        <v>15.94919418448417</v>
      </c>
      <c r="AF97" s="61">
        <f t="shared" si="71"/>
        <v>15.86944821356175</v>
      </c>
      <c r="AG97" s="61">
        <f t="shared" si="71"/>
        <v>15.79010097249394</v>
      </c>
      <c r="AH97" s="61">
        <f t="shared" si="71"/>
        <v>15.711150467631469</v>
      </c>
      <c r="AI97" s="61">
        <f t="shared" si="71"/>
        <v>15.632594715293312</v>
      </c>
      <c r="AJ97" s="61">
        <f t="shared" si="71"/>
        <v>15.554431741716847</v>
      </c>
      <c r="AK97" s="61">
        <f t="shared" si="71"/>
        <v>16.476659583008264</v>
      </c>
      <c r="AL97" s="61">
        <f t="shared" si="71"/>
        <v>17.39427628509322</v>
      </c>
      <c r="AM97" s="61">
        <f t="shared" si="71"/>
        <v>17.307304903667756</v>
      </c>
      <c r="AN97" s="61">
        <f t="shared" si="71"/>
        <v>17.220768379149419</v>
      </c>
      <c r="AO97" s="61">
        <f t="shared" si="71"/>
        <v>17.13466453725367</v>
      </c>
      <c r="AP97" s="61">
        <f t="shared" si="71"/>
        <v>17.048991214567401</v>
      </c>
      <c r="AQ97" s="61">
        <f t="shared" si="71"/>
        <v>20.963746258494563</v>
      </c>
      <c r="AR97" s="61">
        <f t="shared" si="71"/>
        <v>20.858927527202091</v>
      </c>
      <c r="AS97" s="61">
        <f t="shared" si="71"/>
        <v>20.754632889566082</v>
      </c>
      <c r="AT97" s="61">
        <f t="shared" si="71"/>
        <v>26.650859725118252</v>
      </c>
      <c r="AU97" s="61">
        <f t="shared" si="71"/>
        <v>26.517605426492658</v>
      </c>
      <c r="AV97" s="61">
        <f t="shared" si="71"/>
        <v>30.385017399360194</v>
      </c>
      <c r="AW97" s="61">
        <f t="shared" si="71"/>
        <v>60.233092312363397</v>
      </c>
      <c r="AX97" s="61">
        <f t="shared" si="71"/>
        <v>59.931926850801581</v>
      </c>
      <c r="AY97" s="61">
        <f t="shared" si="71"/>
        <v>59.632267216547575</v>
      </c>
      <c r="AZ97" s="61">
        <f t="shared" si="71"/>
        <v>59.334105880464833</v>
      </c>
      <c r="BA97" s="61">
        <f t="shared" si="71"/>
        <v>52.444094292257859</v>
      </c>
      <c r="BB97" s="61">
        <f t="shared" si="71"/>
        <v>47.657432877873994</v>
      </c>
      <c r="BC97" s="61">
        <f t="shared" si="71"/>
        <v>32.942571384705886</v>
      </c>
      <c r="BD97" s="61">
        <f t="shared" si="71"/>
        <v>26.448432813935295</v>
      </c>
    </row>
    <row r="98" spans="3:56" s="6" customFormat="1" x14ac:dyDescent="0.25">
      <c r="C98" s="106"/>
      <c r="D98" s="52" t="s">
        <v>45</v>
      </c>
      <c r="E98" s="89">
        <v>0.30769324565799838</v>
      </c>
      <c r="F98" s="89">
        <v>0.2536320614319203</v>
      </c>
      <c r="G98" s="89">
        <v>0.15824278889753196</v>
      </c>
      <c r="H98" s="89">
        <v>0.16342909256331761</v>
      </c>
      <c r="I98" s="89">
        <v>0.12059844993509458</v>
      </c>
      <c r="J98" s="89">
        <v>0.19549564839000363</v>
      </c>
      <c r="K98" s="89">
        <v>7.2237225883271555E-2</v>
      </c>
      <c r="L98" s="89">
        <v>5.6675228480133177E-2</v>
      </c>
      <c r="M98" s="89">
        <v>7.8392800866348297E-2</v>
      </c>
      <c r="N98" s="89">
        <v>0.15689885606353385</v>
      </c>
      <c r="O98" s="89">
        <v>0.14848663611913801</v>
      </c>
      <c r="P98" s="89">
        <v>0.15498032522149613</v>
      </c>
      <c r="Q98" s="89">
        <v>0.14375619726804531</v>
      </c>
      <c r="R98" s="89">
        <v>9.5158156053649232E-2</v>
      </c>
      <c r="S98" s="89">
        <v>0.10188241306554818</v>
      </c>
      <c r="T98" s="89"/>
      <c r="U98" s="56">
        <f t="shared" ref="U98:BD98" si="72">U97-U85</f>
        <v>3.7491420088566851</v>
      </c>
      <c r="V98" s="56">
        <f t="shared" si="72"/>
        <v>2.8917152518656746</v>
      </c>
      <c r="W98" s="56">
        <f t="shared" si="72"/>
        <v>1.4852806281094573</v>
      </c>
      <c r="X98" s="56">
        <f t="shared" si="72"/>
        <v>-2.9108984374999984</v>
      </c>
      <c r="Y98" s="56">
        <f t="shared" si="72"/>
        <v>-1.0775937499999984</v>
      </c>
      <c r="Z98" s="56">
        <f t="shared" si="72"/>
        <v>-0.92604723424144808</v>
      </c>
      <c r="AA98" s="56">
        <f t="shared" si="72"/>
        <v>-4.8119211578572205</v>
      </c>
      <c r="AB98" s="56">
        <f t="shared" si="72"/>
        <v>-3.7043584431795722</v>
      </c>
      <c r="AC98" s="56">
        <f t="shared" si="72"/>
        <v>-2.6985620215313268</v>
      </c>
      <c r="AD98" s="56">
        <f t="shared" si="72"/>
        <v>0.29461483704973013</v>
      </c>
      <c r="AE98" s="56">
        <f t="shared" si="72"/>
        <v>1.5954992726252009</v>
      </c>
      <c r="AF98" s="56">
        <f t="shared" si="72"/>
        <v>-0.19471511442969813</v>
      </c>
      <c r="AG98" s="56">
        <f t="shared" si="72"/>
        <v>1.5780254648129652</v>
      </c>
      <c r="AH98" s="56">
        <f t="shared" si="72"/>
        <v>-1.2076915988668446</v>
      </c>
      <c r="AI98" s="56">
        <f t="shared" si="72"/>
        <v>-1.5754020845615777</v>
      </c>
      <c r="AJ98" s="56">
        <f t="shared" si="72"/>
        <v>-3.7998826239547903</v>
      </c>
      <c r="AK98" s="56">
        <f t="shared" si="72"/>
        <v>-3.7401505719461312</v>
      </c>
      <c r="AL98" s="56">
        <f t="shared" si="72"/>
        <v>-2.6004952996911896</v>
      </c>
      <c r="AM98" s="56">
        <f t="shared" si="72"/>
        <v>-2.3956793051873149E-2</v>
      </c>
      <c r="AN98" s="56">
        <f t="shared" si="72"/>
        <v>2.1142342347045489</v>
      </c>
      <c r="AO98" s="56">
        <f t="shared" si="72"/>
        <v>1.7548899715952881</v>
      </c>
      <c r="AP98" s="56">
        <f t="shared" si="72"/>
        <v>0.93079527664391648</v>
      </c>
      <c r="AQ98" s="56">
        <f t="shared" si="72"/>
        <v>2.3276446529872601</v>
      </c>
      <c r="AR98" s="56">
        <f t="shared" si="72"/>
        <v>3.9184009281438179</v>
      </c>
      <c r="AS98" s="56">
        <f t="shared" si="72"/>
        <v>3.3419130389995004</v>
      </c>
      <c r="AT98" s="56">
        <f t="shared" si="72"/>
        <v>8.2100924075627368</v>
      </c>
      <c r="AU98" s="56">
        <f t="shared" si="72"/>
        <v>7.0797327040583227</v>
      </c>
      <c r="AV98" s="56">
        <f t="shared" si="72"/>
        <v>8.0473554963395344</v>
      </c>
      <c r="AW98" s="56">
        <f t="shared" si="72"/>
        <v>34.214207719813714</v>
      </c>
      <c r="AX98" s="56">
        <f t="shared" si="72"/>
        <v>29.930817895999443</v>
      </c>
      <c r="AY98" s="56">
        <f t="shared" si="72"/>
        <v>-6.847605065212889</v>
      </c>
      <c r="AZ98" s="56">
        <f t="shared" si="72"/>
        <v>-18.407312582324806</v>
      </c>
      <c r="BA98" s="56">
        <f t="shared" si="72"/>
        <v>-18.262095194399379</v>
      </c>
      <c r="BB98" s="56">
        <f t="shared" si="72"/>
        <v>-13.854183366991585</v>
      </c>
      <c r="BC98" s="56">
        <f t="shared" si="72"/>
        <v>-3.5428055175510238</v>
      </c>
      <c r="BD98" s="56">
        <f t="shared" si="72"/>
        <v>-6.0844241292163339</v>
      </c>
    </row>
    <row r="99" spans="3:56" s="6" customFormat="1" x14ac:dyDescent="0.25">
      <c r="C99" s="106"/>
      <c r="D99" s="41" t="s">
        <v>46</v>
      </c>
      <c r="E99" s="89"/>
      <c r="F99" s="89"/>
      <c r="G99" s="89"/>
      <c r="H99" s="89"/>
      <c r="I99" s="89"/>
      <c r="J99" s="89"/>
      <c r="K99" s="89"/>
      <c r="L99" s="89"/>
      <c r="M99" s="89"/>
      <c r="N99" s="89"/>
      <c r="O99" s="89"/>
      <c r="P99" s="89"/>
      <c r="Q99" s="89"/>
      <c r="R99" s="89"/>
      <c r="S99" s="89"/>
      <c r="T99" s="89"/>
      <c r="U99" s="56">
        <f>SUM(U98,LauderNew!U92)</f>
        <v>3.8449142313838927</v>
      </c>
      <c r="V99" s="56">
        <f>SUM(V98,LauderNew!V92)</f>
        <v>2.7448654600073663</v>
      </c>
      <c r="W99" s="56">
        <f>SUM(W98,LauderNew!W92)</f>
        <v>1.3665731405738466</v>
      </c>
      <c r="X99" s="56">
        <f>SUM(X98,LauderNew!X92)</f>
        <v>-5.8540325314153403</v>
      </c>
      <c r="Y99" s="56">
        <f>SUM(Y98,LauderNew!Y92)</f>
        <v>-2.7096880373677195</v>
      </c>
      <c r="Z99" s="56">
        <f>SUM(Z98,LauderNew!Z92)</f>
        <v>-1.5012189604319204</v>
      </c>
      <c r="AA99" s="56">
        <f>SUM(AA98,LauderNew!AA92)</f>
        <v>-8.3201608381957648</v>
      </c>
      <c r="AB99" s="56">
        <f>SUM(AB98,LauderNew!AB92)</f>
        <v>-6.3756619157577017</v>
      </c>
      <c r="AC99" s="56">
        <f>SUM(AC98,LauderNew!AC92)</f>
        <v>-4.6099275355030791</v>
      </c>
      <c r="AD99" s="56">
        <f>SUM(AD98,LauderNew!AD92)</f>
        <v>-2.3429383876304524</v>
      </c>
      <c r="AE99" s="56">
        <f>SUM(AE98,LauderNew!AE92)</f>
        <v>0.27415577192827456</v>
      </c>
      <c r="AF99" s="56">
        <f>SUM(AF98,LauderNew!AF92)</f>
        <v>-2.816483147623142</v>
      </c>
      <c r="AG99" s="56">
        <f>SUM(AG98,LauderNew!AG92)</f>
        <v>0.26877332276402655</v>
      </c>
      <c r="AH99" s="56">
        <f>SUM(AH98,LauderNew!AH92)</f>
        <v>-4.5474138450256145</v>
      </c>
      <c r="AI99" s="56">
        <f>SUM(AI98,LauderNew!AI92)</f>
        <v>-5.1725623987824836</v>
      </c>
      <c r="AJ99" s="56">
        <f>SUM(AJ98,LauderNew!AJ92)</f>
        <v>-7.0162200039086944</v>
      </c>
      <c r="AK99" s="56">
        <f>SUM(AK98,LauderNew!AK92)</f>
        <v>-7.6437125558118364</v>
      </c>
      <c r="AL99" s="56">
        <f>SUM(AL98,LauderNew!AL92)</f>
        <v>-6.3959398351114505</v>
      </c>
      <c r="AM99" s="56">
        <f>SUM(AM98,LauderNew!AM92)</f>
        <v>-0.28242813907919739</v>
      </c>
      <c r="AN99" s="56">
        <f>SUM(AN98,LauderNew!AN92)</f>
        <v>3.2228922419819668</v>
      </c>
      <c r="AO99" s="56">
        <f>SUM(AO98,LauderNew!AO92)</f>
        <v>2.6352023880435382</v>
      </c>
      <c r="AP99" s="56">
        <f>SUM(AP98,LauderNew!AP92)</f>
        <v>1.2858654162588916</v>
      </c>
      <c r="AQ99" s="56">
        <f>SUM(AQ98,LauderNew!AQ92)</f>
        <v>1.7234539272491904</v>
      </c>
      <c r="AR99" s="56">
        <f>SUM(AR98,LauderNew!AR92)</f>
        <v>4.1841895244496072</v>
      </c>
      <c r="AS99" s="56">
        <f>SUM(AS98,LauderNew!AS92)</f>
        <v>2.9805773874551047</v>
      </c>
      <c r="AT99" s="56">
        <f>SUM(AT98,LauderNew!AT92)</f>
        <v>7.6209812739248548</v>
      </c>
      <c r="AU99" s="56">
        <f>SUM(AU98,LauderNew!AU92)</f>
        <v>5.7762129421295967</v>
      </c>
      <c r="AV99" s="56">
        <f>SUM(AV98,LauderNew!AV92)</f>
        <v>26.423169107784382</v>
      </c>
      <c r="AW99" s="56">
        <f>SUM(AW98,LauderNew!AW92)</f>
        <v>51.611146114936034</v>
      </c>
      <c r="AX99" s="56">
        <f>SUM(AX98,LauderNew!AX92)</f>
        <v>57.424253282352296</v>
      </c>
      <c r="AY99" s="56">
        <f>SUM(AY98,LauderNew!AY92)</f>
        <v>3.1249182910319462</v>
      </c>
      <c r="AZ99" s="56">
        <f>SUM(AZ98,LauderNew!AZ92)</f>
        <v>-19.31528381414072</v>
      </c>
      <c r="BA99" s="56">
        <f>SUM(BA98,LauderNew!BA92)</f>
        <v>-20.42077760698092</v>
      </c>
      <c r="BB99" s="56">
        <f>SUM(BB98,LauderNew!BB92)</f>
        <v>-15.572168578848661</v>
      </c>
      <c r="BC99" s="56">
        <f>SUM(BC98,LauderNew!BC92)</f>
        <v>-5.9024939029977759</v>
      </c>
      <c r="BD99" s="56">
        <f>SUM(BD98,LauderNew!BD92)</f>
        <v>-7.0029671972161829</v>
      </c>
    </row>
    <row r="100" spans="3:56" s="6" customFormat="1" x14ac:dyDescent="0.25">
      <c r="C100" s="48"/>
      <c r="D100" s="41"/>
      <c r="E100" s="89"/>
      <c r="F100" s="89"/>
      <c r="G100" s="89"/>
      <c r="H100" s="89"/>
      <c r="I100" s="89"/>
      <c r="J100" s="89"/>
      <c r="K100" s="89"/>
      <c r="L100" s="89"/>
      <c r="M100" s="89"/>
      <c r="N100" s="89"/>
      <c r="O100" s="89"/>
      <c r="P100" s="89"/>
      <c r="Q100" s="89"/>
      <c r="R100" s="89"/>
      <c r="S100" s="89"/>
      <c r="T100" s="89"/>
      <c r="U100" s="89"/>
      <c r="V100" s="89"/>
      <c r="W100" s="89"/>
      <c r="X100" s="89"/>
      <c r="Y100" s="89"/>
      <c r="Z100" s="89"/>
      <c r="AA100" s="89"/>
      <c r="AB100" s="89"/>
      <c r="AC100" s="89"/>
      <c r="AD100" s="89"/>
      <c r="AE100" s="89"/>
      <c r="AF100" s="89"/>
      <c r="AG100" s="89"/>
      <c r="AH100" s="89"/>
      <c r="AI100" s="89"/>
      <c r="AJ100" s="89"/>
      <c r="AK100" s="89"/>
      <c r="AL100" s="89"/>
      <c r="AM100" s="89"/>
      <c r="AN100" s="89"/>
      <c r="AO100" s="89"/>
      <c r="AP100" s="89"/>
      <c r="AQ100" s="89"/>
      <c r="AR100" s="89"/>
      <c r="AS100" s="89"/>
      <c r="AT100" s="89"/>
      <c r="AU100" s="89"/>
      <c r="AV100" s="89"/>
      <c r="AW100" s="89"/>
      <c r="AX100" s="89"/>
      <c r="AY100" s="89"/>
      <c r="AZ100" s="89"/>
      <c r="BA100" s="89"/>
      <c r="BB100" s="89"/>
      <c r="BC100" s="89"/>
      <c r="BD100" s="89"/>
    </row>
    <row r="101" spans="3:56" s="6" customFormat="1" x14ac:dyDescent="0.25">
      <c r="C101" s="48"/>
      <c r="D101" s="41"/>
      <c r="E101" s="89"/>
      <c r="F101" s="89"/>
      <c r="G101" s="89"/>
      <c r="H101" s="89"/>
      <c r="I101" s="89"/>
      <c r="J101" s="89"/>
      <c r="K101" s="89"/>
      <c r="L101" s="89"/>
      <c r="M101" s="89"/>
      <c r="N101" s="89"/>
      <c r="O101" s="89"/>
      <c r="P101" s="89"/>
      <c r="Q101" s="89"/>
      <c r="R101" s="89"/>
      <c r="S101" s="89"/>
      <c r="T101" s="89"/>
      <c r="U101" s="89"/>
      <c r="V101" s="89"/>
      <c r="W101" s="89"/>
      <c r="X101" s="89"/>
      <c r="Y101" s="89"/>
      <c r="Z101" s="89"/>
      <c r="AA101" s="89"/>
      <c r="AB101" s="89"/>
      <c r="AC101" s="89"/>
      <c r="AD101" s="89"/>
      <c r="AE101" s="89"/>
      <c r="AF101" s="89"/>
      <c r="AG101" s="89"/>
      <c r="AH101" s="89"/>
      <c r="AI101" s="89"/>
      <c r="AJ101" s="89"/>
      <c r="AK101" s="89"/>
      <c r="AL101" s="89"/>
      <c r="AM101" s="89"/>
      <c r="AN101" s="89"/>
      <c r="AO101" s="89"/>
      <c r="AP101" s="89"/>
      <c r="AQ101" s="89"/>
      <c r="AR101" s="89"/>
      <c r="AS101" s="89"/>
      <c r="AT101" s="89"/>
      <c r="AU101" s="89"/>
      <c r="AV101" s="89"/>
      <c r="AW101" s="89"/>
      <c r="AX101" s="89"/>
      <c r="AY101" s="89"/>
      <c r="AZ101" s="89"/>
      <c r="BA101" s="89"/>
      <c r="BB101" s="89"/>
      <c r="BC101" s="89"/>
      <c r="BD101" s="89"/>
    </row>
    <row r="102" spans="3:56" s="6" customFormat="1" x14ac:dyDescent="0.25">
      <c r="D102" s="46" t="s">
        <v>54</v>
      </c>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row>
    <row r="103" spans="3:56" s="6" customFormat="1" ht="15" customHeight="1" x14ac:dyDescent="0.25">
      <c r="C103" s="109" t="s">
        <v>57</v>
      </c>
      <c r="D103" s="41" t="s">
        <v>27</v>
      </c>
      <c r="E103" s="97">
        <v>15853.943085527528</v>
      </c>
      <c r="F103" s="97">
        <v>13853.398279835143</v>
      </c>
      <c r="G103" s="97">
        <v>10150.276054876642</v>
      </c>
      <c r="H103" s="97">
        <v>9079.9407738896352</v>
      </c>
      <c r="I103" s="97">
        <v>8716.6773623707923</v>
      </c>
      <c r="J103" s="97">
        <v>7844.152978314577</v>
      </c>
      <c r="K103" s="97">
        <v>5741.8326347497277</v>
      </c>
      <c r="L103" s="97">
        <v>7436.3432985883128</v>
      </c>
      <c r="M103" s="97">
        <v>7339.5910000000013</v>
      </c>
      <c r="N103" s="97">
        <v>8503.5014999999985</v>
      </c>
      <c r="O103" s="97">
        <v>9903.4150000000027</v>
      </c>
      <c r="P103" s="97">
        <v>9982.470942456659</v>
      </c>
      <c r="Q103" s="97">
        <v>7860.1586476190478</v>
      </c>
      <c r="R103" s="97">
        <v>7663.6305728761899</v>
      </c>
      <c r="S103" s="97">
        <v>7780.3179999999993</v>
      </c>
      <c r="T103" s="97">
        <v>8408.9925750000002</v>
      </c>
      <c r="U103" s="97">
        <v>8333.1099999999988</v>
      </c>
      <c r="V103" s="97">
        <v>9451.31631475625</v>
      </c>
      <c r="W103" s="97">
        <v>9148.9834999999985</v>
      </c>
      <c r="X103" s="97">
        <v>6373.6419999999998</v>
      </c>
      <c r="Y103" s="97">
        <v>5811.0546999999997</v>
      </c>
      <c r="Z103" s="97">
        <v>5352.6329999999998</v>
      </c>
      <c r="AA103" s="97">
        <v>6631.4709999999995</v>
      </c>
      <c r="AB103" s="97">
        <v>6257.5259999999998</v>
      </c>
      <c r="AC103" s="97">
        <v>5915.7340000000004</v>
      </c>
      <c r="AD103" s="97">
        <v>5098.9619999999995</v>
      </c>
      <c r="AE103" s="97">
        <v>4446.2000000000007</v>
      </c>
      <c r="AF103" s="97">
        <v>4976.0590000000002</v>
      </c>
      <c r="AG103" s="97">
        <v>4470.0369999999994</v>
      </c>
      <c r="AH103" s="97">
        <v>5321.3600000000006</v>
      </c>
      <c r="AI103" s="97">
        <v>5494.3350000000009</v>
      </c>
      <c r="AJ103" s="97">
        <v>6179.6790000000001</v>
      </c>
      <c r="AK103" s="97">
        <v>6454.9980000000005</v>
      </c>
      <c r="AL103" s="97">
        <v>6384.1470000000018</v>
      </c>
      <c r="AM103" s="97">
        <v>8193.0456742902552</v>
      </c>
      <c r="AN103" s="97">
        <v>7247.932541217765</v>
      </c>
      <c r="AO103" s="97">
        <v>7379.0299935885823</v>
      </c>
      <c r="AP103" s="97">
        <v>7733.3156452143057</v>
      </c>
      <c r="AQ103" s="97">
        <v>8413.7747814901995</v>
      </c>
      <c r="AR103" s="97">
        <v>7834.1090059037642</v>
      </c>
      <c r="AS103" s="97">
        <v>8271.857965924366</v>
      </c>
      <c r="AT103" s="97">
        <v>8527.2818844896647</v>
      </c>
      <c r="AU103" s="97">
        <v>9039.2652740037574</v>
      </c>
      <c r="AV103" s="97">
        <v>9445.205389457411</v>
      </c>
      <c r="AW103" s="97">
        <v>10098.454290389313</v>
      </c>
      <c r="AX103" s="97">
        <v>9903.0636233103578</v>
      </c>
      <c r="AY103" s="97">
        <v>23581.530443148222</v>
      </c>
      <c r="AZ103" s="97">
        <v>32918.624786006658</v>
      </c>
      <c r="BA103" s="97">
        <v>28579.664877414205</v>
      </c>
      <c r="BB103" s="97">
        <v>27026.606137523191</v>
      </c>
      <c r="BC103" s="97">
        <v>17014.396635516321</v>
      </c>
      <c r="BD103" s="97">
        <v>13460.131596460171</v>
      </c>
    </row>
    <row r="104" spans="3:56" s="6" customFormat="1" ht="15" customHeight="1" x14ac:dyDescent="0.25">
      <c r="C104" s="110"/>
      <c r="D104" s="41" t="s">
        <v>22</v>
      </c>
      <c r="E104" s="97">
        <v>285</v>
      </c>
      <c r="F104" s="97">
        <v>285</v>
      </c>
      <c r="G104" s="97">
        <v>285.00000000000011</v>
      </c>
      <c r="H104" s="97">
        <v>285.00000000000006</v>
      </c>
      <c r="I104" s="97">
        <v>285.00000000000006</v>
      </c>
      <c r="J104" s="97">
        <v>285</v>
      </c>
      <c r="K104" s="97">
        <v>284.99999999999994</v>
      </c>
      <c r="L104" s="97">
        <v>285</v>
      </c>
      <c r="M104" s="97">
        <v>285</v>
      </c>
      <c r="N104" s="97">
        <v>275</v>
      </c>
      <c r="O104" s="97">
        <v>275</v>
      </c>
      <c r="P104" s="97">
        <v>275</v>
      </c>
      <c r="Q104" s="97">
        <v>275</v>
      </c>
      <c r="R104" s="97">
        <v>275</v>
      </c>
      <c r="S104" s="97">
        <v>275</v>
      </c>
      <c r="T104" s="97">
        <v>275</v>
      </c>
      <c r="U104" s="97">
        <v>275</v>
      </c>
      <c r="V104" s="97">
        <v>275</v>
      </c>
      <c r="W104" s="97">
        <v>275</v>
      </c>
      <c r="X104" s="97">
        <v>240</v>
      </c>
      <c r="Y104" s="97">
        <v>240</v>
      </c>
      <c r="Z104" s="97">
        <v>240</v>
      </c>
      <c r="AA104" s="97">
        <v>240</v>
      </c>
      <c r="AB104" s="97">
        <v>240</v>
      </c>
      <c r="AC104" s="97">
        <v>240</v>
      </c>
      <c r="AD104" s="97">
        <v>240</v>
      </c>
      <c r="AE104" s="97">
        <v>240</v>
      </c>
      <c r="AF104" s="97">
        <v>240</v>
      </c>
      <c r="AG104" s="97">
        <v>240</v>
      </c>
      <c r="AH104" s="97">
        <v>240</v>
      </c>
      <c r="AI104" s="97">
        <v>240</v>
      </c>
      <c r="AJ104" s="97">
        <v>240</v>
      </c>
      <c r="AK104" s="97">
        <v>240</v>
      </c>
      <c r="AL104" s="97">
        <v>240</v>
      </c>
      <c r="AM104" s="97">
        <v>275</v>
      </c>
      <c r="AN104" s="97">
        <v>275</v>
      </c>
      <c r="AO104" s="97">
        <v>275</v>
      </c>
      <c r="AP104" s="97">
        <v>275</v>
      </c>
      <c r="AQ104" s="97">
        <v>275</v>
      </c>
      <c r="AR104" s="97">
        <v>275</v>
      </c>
      <c r="AS104" s="97">
        <v>275</v>
      </c>
      <c r="AT104" s="97">
        <v>275</v>
      </c>
      <c r="AU104" s="97">
        <v>275</v>
      </c>
      <c r="AV104" s="97">
        <v>275</v>
      </c>
      <c r="AW104" s="97">
        <v>275</v>
      </c>
      <c r="AX104" s="97">
        <v>275</v>
      </c>
      <c r="AY104" s="97">
        <v>275</v>
      </c>
      <c r="AZ104" s="97">
        <v>275</v>
      </c>
      <c r="BA104" s="97">
        <v>275</v>
      </c>
      <c r="BB104" s="97">
        <v>275</v>
      </c>
      <c r="BC104" s="97">
        <v>275</v>
      </c>
      <c r="BD104" s="97">
        <v>275</v>
      </c>
    </row>
    <row r="105" spans="3:56" s="6" customFormat="1" ht="15" customHeight="1" x14ac:dyDescent="0.25">
      <c r="C105" s="110"/>
      <c r="D105" s="41" t="s">
        <v>23</v>
      </c>
      <c r="E105" s="68">
        <v>0.9</v>
      </c>
      <c r="F105" s="68">
        <v>0.9</v>
      </c>
      <c r="G105" s="68">
        <v>0.9</v>
      </c>
      <c r="H105" s="68">
        <v>0.9</v>
      </c>
      <c r="I105" s="68">
        <v>0.9</v>
      </c>
      <c r="J105" s="68">
        <v>0.9</v>
      </c>
      <c r="K105" s="68">
        <v>0.9</v>
      </c>
      <c r="L105" s="68">
        <v>0.9</v>
      </c>
      <c r="M105" s="68">
        <v>0.9</v>
      </c>
      <c r="N105" s="68">
        <v>0.9</v>
      </c>
      <c r="O105" s="68">
        <v>0.9</v>
      </c>
      <c r="P105" s="68">
        <v>0.9</v>
      </c>
      <c r="Q105" s="68">
        <v>0.9</v>
      </c>
      <c r="R105" s="68">
        <v>0.9</v>
      </c>
      <c r="S105" s="68">
        <v>0.9</v>
      </c>
      <c r="T105" s="68">
        <v>0.9</v>
      </c>
      <c r="U105" s="68">
        <v>0.9</v>
      </c>
      <c r="V105" s="68">
        <v>0.9</v>
      </c>
      <c r="W105" s="68">
        <v>0.9</v>
      </c>
      <c r="X105" s="68">
        <v>0.9</v>
      </c>
      <c r="Y105" s="68">
        <v>0.9</v>
      </c>
      <c r="Z105" s="68">
        <v>0.9</v>
      </c>
      <c r="AA105" s="68">
        <v>0.9</v>
      </c>
      <c r="AB105" s="68">
        <v>0.9</v>
      </c>
      <c r="AC105" s="68">
        <v>0.9</v>
      </c>
      <c r="AD105" s="68">
        <v>0.9</v>
      </c>
      <c r="AE105" s="68">
        <v>0.9</v>
      </c>
      <c r="AF105" s="68">
        <v>0.9</v>
      </c>
      <c r="AG105" s="68">
        <v>0.9</v>
      </c>
      <c r="AH105" s="68">
        <v>0.9</v>
      </c>
      <c r="AI105" s="68">
        <v>0.9</v>
      </c>
      <c r="AJ105" s="68">
        <v>0.9</v>
      </c>
      <c r="AK105" s="68">
        <v>0.9</v>
      </c>
      <c r="AL105" s="68">
        <v>0.9</v>
      </c>
      <c r="AM105" s="68">
        <v>0.9</v>
      </c>
      <c r="AN105" s="68">
        <v>0.9</v>
      </c>
      <c r="AO105" s="68">
        <v>0.9</v>
      </c>
      <c r="AP105" s="68">
        <v>0.9</v>
      </c>
      <c r="AQ105" s="68">
        <v>0.9</v>
      </c>
      <c r="AR105" s="68">
        <v>0.9</v>
      </c>
      <c r="AS105" s="68">
        <v>0.9</v>
      </c>
      <c r="AT105" s="68">
        <v>0.9</v>
      </c>
      <c r="AU105" s="68">
        <v>0.9</v>
      </c>
      <c r="AV105" s="68">
        <v>0.9</v>
      </c>
      <c r="AW105" s="68">
        <v>0.9</v>
      </c>
      <c r="AX105" s="68">
        <v>0.9</v>
      </c>
      <c r="AY105" s="68">
        <v>0.9</v>
      </c>
      <c r="AZ105" s="68">
        <v>0.9</v>
      </c>
      <c r="BA105" s="68">
        <v>0.9</v>
      </c>
      <c r="BB105" s="68">
        <v>0.9</v>
      </c>
      <c r="BC105" s="68">
        <v>0.9</v>
      </c>
      <c r="BD105" s="68">
        <v>0.9</v>
      </c>
    </row>
    <row r="106" spans="3:56" s="6" customFormat="1" ht="15" customHeight="1" x14ac:dyDescent="0.25">
      <c r="C106" s="110"/>
      <c r="D106" s="41" t="s">
        <v>26</v>
      </c>
      <c r="E106" s="68">
        <v>0.24</v>
      </c>
      <c r="F106" s="68">
        <v>0.24</v>
      </c>
      <c r="G106" s="68">
        <v>0.24</v>
      </c>
      <c r="H106" s="68">
        <v>0.24</v>
      </c>
      <c r="I106" s="68">
        <v>0.24</v>
      </c>
      <c r="J106" s="68">
        <v>0.24</v>
      </c>
      <c r="K106" s="68">
        <v>0.24</v>
      </c>
      <c r="L106" s="68">
        <v>0.24</v>
      </c>
      <c r="M106" s="68">
        <v>0.24</v>
      </c>
      <c r="N106" s="68">
        <v>0.24</v>
      </c>
      <c r="O106" s="68">
        <v>0.24</v>
      </c>
      <c r="P106" s="68">
        <v>0.24</v>
      </c>
      <c r="Q106" s="68">
        <v>0.2525</v>
      </c>
      <c r="R106" s="68">
        <v>0.2525</v>
      </c>
      <c r="S106" s="68">
        <v>0.24</v>
      </c>
      <c r="T106" s="68">
        <v>0.24</v>
      </c>
      <c r="U106" s="68">
        <v>0.24</v>
      </c>
      <c r="V106" s="68">
        <v>0.24</v>
      </c>
      <c r="W106" s="68">
        <v>0.24</v>
      </c>
      <c r="X106" s="68">
        <v>0.26</v>
      </c>
      <c r="Y106" s="68">
        <v>0.26</v>
      </c>
      <c r="Z106" s="68">
        <v>0.26</v>
      </c>
      <c r="AA106" s="68">
        <v>0.26</v>
      </c>
      <c r="AB106" s="68">
        <v>0.26</v>
      </c>
      <c r="AC106" s="68">
        <v>0.26</v>
      </c>
      <c r="AD106" s="68">
        <v>0.24</v>
      </c>
      <c r="AE106" s="68">
        <v>0.24</v>
      </c>
      <c r="AF106" s="68">
        <v>0.24</v>
      </c>
      <c r="AG106" s="68">
        <v>0.24</v>
      </c>
      <c r="AH106" s="68">
        <v>0.24</v>
      </c>
      <c r="AI106" s="68">
        <v>0.24</v>
      </c>
      <c r="AJ106" s="68">
        <v>0.24</v>
      </c>
      <c r="AK106" s="68">
        <v>0.24</v>
      </c>
      <c r="AL106" s="68">
        <v>0.24</v>
      </c>
      <c r="AM106" s="68">
        <v>0.24</v>
      </c>
      <c r="AN106" s="68">
        <v>0.24</v>
      </c>
      <c r="AO106" s="68">
        <v>0.24</v>
      </c>
      <c r="AP106" s="68">
        <v>0.24</v>
      </c>
      <c r="AQ106" s="68">
        <v>0.24</v>
      </c>
      <c r="AR106" s="68">
        <v>0.21</v>
      </c>
      <c r="AS106" s="68">
        <v>0.21</v>
      </c>
      <c r="AT106" s="68">
        <v>0.21</v>
      </c>
      <c r="AU106" s="68">
        <v>0.21</v>
      </c>
      <c r="AV106" s="68">
        <v>0.21</v>
      </c>
      <c r="AW106" s="68">
        <v>0.21</v>
      </c>
      <c r="AX106" s="68">
        <v>0.21</v>
      </c>
      <c r="AY106" s="68">
        <v>0.21</v>
      </c>
      <c r="AZ106" s="68">
        <v>0.21</v>
      </c>
      <c r="BA106" s="68">
        <v>0.21</v>
      </c>
      <c r="BB106" s="68">
        <v>0.21</v>
      </c>
      <c r="BC106" s="68">
        <v>0.21</v>
      </c>
      <c r="BD106" s="68">
        <v>0.21</v>
      </c>
    </row>
    <row r="107" spans="3:56" s="6" customFormat="1" ht="15" customHeight="1" x14ac:dyDescent="0.25">
      <c r="C107" s="110"/>
      <c r="D107" s="41" t="s">
        <v>33</v>
      </c>
      <c r="E107" s="83">
        <f>(E103*E104)/3600/40/E105/(1-E106)</f>
        <v>45.873677909512516</v>
      </c>
      <c r="F107" s="83">
        <f t="shared" ref="F107:BD107" si="73">(F103*F104)/3600/40/F105/(1-F106)</f>
        <v>40.085064467115572</v>
      </c>
      <c r="G107" s="83">
        <f t="shared" si="73"/>
        <v>29.370011732860664</v>
      </c>
      <c r="H107" s="83">
        <f t="shared" si="73"/>
        <v>26.272976776301029</v>
      </c>
      <c r="I107" s="83">
        <f t="shared" si="73"/>
        <v>25.221867367971043</v>
      </c>
      <c r="J107" s="83">
        <f t="shared" si="73"/>
        <v>22.697201904845418</v>
      </c>
      <c r="K107" s="83">
        <f t="shared" si="73"/>
        <v>16.61409905888231</v>
      </c>
      <c r="L107" s="83">
        <f t="shared" si="73"/>
        <v>21.517197044526366</v>
      </c>
      <c r="M107" s="83">
        <f t="shared" si="73"/>
        <v>21.237242476851854</v>
      </c>
      <c r="N107" s="83">
        <f t="shared" si="73"/>
        <v>23.741704358552624</v>
      </c>
      <c r="O107" s="83">
        <f t="shared" si="73"/>
        <v>27.65025102542236</v>
      </c>
      <c r="P107" s="83">
        <f t="shared" si="73"/>
        <v>27.870974548972356</v>
      </c>
      <c r="Q107" s="83">
        <f t="shared" si="73"/>
        <v>22.31247809669307</v>
      </c>
      <c r="R107" s="83">
        <f t="shared" si="73"/>
        <v>21.754597707801231</v>
      </c>
      <c r="S107" s="83">
        <f t="shared" si="73"/>
        <v>21.72258213531514</v>
      </c>
      <c r="T107" s="83">
        <f t="shared" si="73"/>
        <v>23.477836238273635</v>
      </c>
      <c r="U107" s="83">
        <f t="shared" si="73"/>
        <v>23.26597272985704</v>
      </c>
      <c r="V107" s="83">
        <f t="shared" si="73"/>
        <v>26.387995315119078</v>
      </c>
      <c r="W107" s="83">
        <f t="shared" si="73"/>
        <v>25.543884650138068</v>
      </c>
      <c r="X107" s="83">
        <f t="shared" si="73"/>
        <v>15.950055055055056</v>
      </c>
      <c r="Y107" s="83">
        <f t="shared" si="73"/>
        <v>14.542178928928926</v>
      </c>
      <c r="Z107" s="83">
        <f t="shared" si="73"/>
        <v>13.394977477477477</v>
      </c>
      <c r="AA107" s="83">
        <f t="shared" si="73"/>
        <v>16.59527277277277</v>
      </c>
      <c r="AB107" s="83">
        <f t="shared" si="73"/>
        <v>15.659474474474477</v>
      </c>
      <c r="AC107" s="83">
        <f t="shared" si="73"/>
        <v>14.804139139139139</v>
      </c>
      <c r="AD107" s="83">
        <f t="shared" si="73"/>
        <v>12.424371345029238</v>
      </c>
      <c r="AE107" s="83">
        <f t="shared" si="73"/>
        <v>10.833820662768034</v>
      </c>
      <c r="AF107" s="83">
        <f t="shared" si="73"/>
        <v>12.124900097465888</v>
      </c>
      <c r="AG107" s="83">
        <f t="shared" si="73"/>
        <v>10.891903021442493</v>
      </c>
      <c r="AH107" s="83">
        <f t="shared" si="73"/>
        <v>12.966276803118911</v>
      </c>
      <c r="AI107" s="83">
        <f t="shared" si="73"/>
        <v>13.387755847953215</v>
      </c>
      <c r="AJ107" s="83">
        <f t="shared" si="73"/>
        <v>15.057697368421051</v>
      </c>
      <c r="AK107" s="83">
        <f t="shared" si="73"/>
        <v>15.72855263157895</v>
      </c>
      <c r="AL107" s="83">
        <f t="shared" si="73"/>
        <v>15.555913742690063</v>
      </c>
      <c r="AM107" s="83">
        <f t="shared" si="73"/>
        <v>22.874914315604904</v>
      </c>
      <c r="AN107" s="83">
        <f t="shared" si="73"/>
        <v>20.236166431478289</v>
      </c>
      <c r="AO107" s="83">
        <f t="shared" si="73"/>
        <v>20.60218941111172</v>
      </c>
      <c r="AP107" s="83">
        <f t="shared" si="73"/>
        <v>21.591351957784418</v>
      </c>
      <c r="AQ107" s="83">
        <f t="shared" si="73"/>
        <v>23.491188118398771</v>
      </c>
      <c r="AR107" s="83">
        <f t="shared" si="73"/>
        <v>21.042154795901066</v>
      </c>
      <c r="AS107" s="83">
        <f t="shared" si="73"/>
        <v>22.217933862998127</v>
      </c>
      <c r="AT107" s="83">
        <f t="shared" si="73"/>
        <v>22.903993966192544</v>
      </c>
      <c r="AU107" s="83">
        <f t="shared" si="73"/>
        <v>24.279164228307479</v>
      </c>
      <c r="AV107" s="83">
        <f t="shared" si="73"/>
        <v>25.369505802672172</v>
      </c>
      <c r="AW107" s="83">
        <f t="shared" si="73"/>
        <v>27.124110504151631</v>
      </c>
      <c r="AX107" s="83">
        <f t="shared" si="73"/>
        <v>26.599297706773992</v>
      </c>
      <c r="AY107" s="83">
        <f t="shared" si="73"/>
        <v>63.339202139648386</v>
      </c>
      <c r="AZ107" s="83">
        <f t="shared" si="73"/>
        <v>88.418325286683768</v>
      </c>
      <c r="BA107" s="83">
        <f t="shared" si="73"/>
        <v>76.764024078849289</v>
      </c>
      <c r="BB107" s="83">
        <f t="shared" si="73"/>
        <v>72.592560242019033</v>
      </c>
      <c r="BC107" s="83">
        <f t="shared" si="73"/>
        <v>45.700100355201869</v>
      </c>
      <c r="BD107" s="83">
        <f t="shared" si="73"/>
        <v>36.15346332460684</v>
      </c>
    </row>
    <row r="108" spans="3:56" s="6" customFormat="1" x14ac:dyDescent="0.25">
      <c r="C108" s="110"/>
      <c r="D108" s="41"/>
      <c r="E108" s="91"/>
      <c r="F108" s="91"/>
      <c r="G108" s="91"/>
      <c r="H108" s="91"/>
      <c r="I108" s="91"/>
      <c r="J108" s="91"/>
      <c r="K108" s="91"/>
      <c r="L108" s="91"/>
      <c r="M108" s="91"/>
      <c r="N108" s="92"/>
      <c r="O108" s="92"/>
      <c r="P108" s="92"/>
      <c r="Q108" s="92"/>
      <c r="R108" s="92"/>
      <c r="S108" s="92"/>
      <c r="T108" s="92"/>
      <c r="U108" s="93"/>
      <c r="V108" s="92"/>
      <c r="W108" s="92"/>
      <c r="X108" s="92"/>
      <c r="Y108" s="92"/>
      <c r="Z108" s="92"/>
      <c r="AA108" s="92"/>
      <c r="AB108" s="92"/>
      <c r="AC108" s="92"/>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row>
    <row r="109" spans="3:56" s="6" customFormat="1" x14ac:dyDescent="0.25">
      <c r="C109" s="110"/>
      <c r="D109" s="49" t="s">
        <v>34</v>
      </c>
      <c r="E109" s="65">
        <v>0</v>
      </c>
      <c r="F109" s="65">
        <v>0</v>
      </c>
      <c r="G109" s="65">
        <v>0</v>
      </c>
      <c r="H109" s="65">
        <v>0</v>
      </c>
      <c r="I109" s="65">
        <v>0</v>
      </c>
      <c r="J109" s="65">
        <v>0</v>
      </c>
      <c r="K109" s="65">
        <v>0</v>
      </c>
      <c r="L109" s="65">
        <v>0</v>
      </c>
      <c r="M109" s="65">
        <v>0</v>
      </c>
      <c r="N109" s="65">
        <v>0</v>
      </c>
      <c r="O109" s="65">
        <v>0</v>
      </c>
      <c r="P109" s="65">
        <v>0</v>
      </c>
      <c r="Q109" s="65">
        <v>0</v>
      </c>
      <c r="R109" s="65">
        <v>0</v>
      </c>
      <c r="S109" s="65">
        <v>0</v>
      </c>
      <c r="T109" s="65">
        <v>0</v>
      </c>
      <c r="U109" s="65">
        <v>0</v>
      </c>
      <c r="V109" s="65">
        <v>0</v>
      </c>
      <c r="W109" s="65">
        <v>0</v>
      </c>
      <c r="X109" s="65">
        <v>0</v>
      </c>
      <c r="Y109" s="65">
        <v>0</v>
      </c>
      <c r="Z109" s="65">
        <v>0</v>
      </c>
      <c r="AA109" s="65">
        <v>0</v>
      </c>
      <c r="AB109" s="65">
        <v>0</v>
      </c>
      <c r="AC109" s="65">
        <v>0</v>
      </c>
      <c r="AD109" s="65">
        <v>0</v>
      </c>
      <c r="AE109" s="65">
        <v>0</v>
      </c>
      <c r="AF109" s="65">
        <v>0</v>
      </c>
      <c r="AG109" s="65">
        <v>0</v>
      </c>
      <c r="AH109" s="65">
        <v>0</v>
      </c>
      <c r="AI109" s="65">
        <v>0</v>
      </c>
      <c r="AJ109" s="65">
        <v>0</v>
      </c>
      <c r="AK109" s="65">
        <v>0</v>
      </c>
      <c r="AL109" s="65">
        <v>0</v>
      </c>
      <c r="AM109" s="65">
        <v>0</v>
      </c>
      <c r="AN109" s="65">
        <v>0</v>
      </c>
      <c r="AO109" s="65">
        <v>0</v>
      </c>
      <c r="AP109" s="65">
        <v>0</v>
      </c>
      <c r="AQ109" s="65">
        <v>0</v>
      </c>
      <c r="AR109" s="65">
        <v>0</v>
      </c>
      <c r="AS109" s="65">
        <v>0</v>
      </c>
      <c r="AT109" s="65">
        <v>0</v>
      </c>
      <c r="AU109" s="65">
        <v>0</v>
      </c>
      <c r="AV109" s="65">
        <v>0</v>
      </c>
      <c r="AW109" s="65">
        <v>0</v>
      </c>
      <c r="AX109" s="65">
        <v>0</v>
      </c>
      <c r="AY109" s="65">
        <v>0</v>
      </c>
      <c r="AZ109" s="65">
        <v>0</v>
      </c>
      <c r="BA109" s="65">
        <v>0</v>
      </c>
      <c r="BB109" s="65">
        <v>0</v>
      </c>
      <c r="BC109" s="65">
        <v>0</v>
      </c>
      <c r="BD109" s="65">
        <v>0</v>
      </c>
    </row>
    <row r="110" spans="3:56" s="6" customFormat="1" x14ac:dyDescent="0.25">
      <c r="C110" s="110"/>
      <c r="D110" s="49" t="s">
        <v>35</v>
      </c>
      <c r="E110" s="65">
        <v>0</v>
      </c>
      <c r="F110" s="65">
        <v>0</v>
      </c>
      <c r="G110" s="65">
        <v>0</v>
      </c>
      <c r="H110" s="65">
        <v>0</v>
      </c>
      <c r="I110" s="65">
        <v>0</v>
      </c>
      <c r="J110" s="65">
        <v>0</v>
      </c>
      <c r="K110" s="65">
        <v>0</v>
      </c>
      <c r="L110" s="65">
        <v>0</v>
      </c>
      <c r="M110" s="65">
        <v>0</v>
      </c>
      <c r="N110" s="65">
        <v>0</v>
      </c>
      <c r="O110" s="65">
        <v>0</v>
      </c>
      <c r="P110" s="65">
        <v>0</v>
      </c>
      <c r="Q110" s="65">
        <v>0</v>
      </c>
      <c r="R110" s="65">
        <v>0</v>
      </c>
      <c r="S110" s="65">
        <v>0</v>
      </c>
      <c r="T110" s="65">
        <v>0</v>
      </c>
      <c r="U110" s="65">
        <v>0</v>
      </c>
      <c r="V110" s="65">
        <v>0</v>
      </c>
      <c r="W110" s="65">
        <v>0</v>
      </c>
      <c r="X110" s="65">
        <v>0</v>
      </c>
      <c r="Y110" s="65">
        <v>0</v>
      </c>
      <c r="Z110" s="65">
        <v>0</v>
      </c>
      <c r="AA110" s="65">
        <v>0</v>
      </c>
      <c r="AB110" s="65">
        <v>0</v>
      </c>
      <c r="AC110" s="65">
        <v>0</v>
      </c>
      <c r="AD110" s="65">
        <v>0</v>
      </c>
      <c r="AE110" s="65">
        <v>0</v>
      </c>
      <c r="AF110" s="65">
        <v>0</v>
      </c>
      <c r="AG110" s="65">
        <v>0</v>
      </c>
      <c r="AH110" s="65">
        <v>0</v>
      </c>
      <c r="AI110" s="65">
        <v>0</v>
      </c>
      <c r="AJ110" s="65">
        <v>0</v>
      </c>
      <c r="AK110" s="65">
        <v>0</v>
      </c>
      <c r="AL110" s="65">
        <v>0</v>
      </c>
      <c r="AM110" s="65">
        <v>0</v>
      </c>
      <c r="AN110" s="65">
        <v>0</v>
      </c>
      <c r="AO110" s="65">
        <v>0</v>
      </c>
      <c r="AP110" s="65">
        <v>0</v>
      </c>
      <c r="AQ110" s="65">
        <v>0</v>
      </c>
      <c r="AR110" s="65">
        <v>0</v>
      </c>
      <c r="AS110" s="65">
        <v>0</v>
      </c>
      <c r="AT110" s="65">
        <v>0</v>
      </c>
      <c r="AU110" s="65">
        <v>0</v>
      </c>
      <c r="AV110" s="65">
        <v>0</v>
      </c>
      <c r="AW110" s="65">
        <v>0</v>
      </c>
      <c r="AX110" s="65">
        <v>0</v>
      </c>
      <c r="AY110" s="65">
        <v>0</v>
      </c>
      <c r="AZ110" s="65">
        <v>0</v>
      </c>
      <c r="BA110" s="65">
        <v>0</v>
      </c>
      <c r="BB110" s="65">
        <v>0</v>
      </c>
      <c r="BC110" s="65">
        <v>0</v>
      </c>
      <c r="BD110" s="65">
        <v>0</v>
      </c>
    </row>
    <row r="111" spans="3:56" s="6" customFormat="1" x14ac:dyDescent="0.25">
      <c r="C111" s="110"/>
      <c r="D111" s="49" t="s">
        <v>36</v>
      </c>
      <c r="E111" s="65">
        <v>0</v>
      </c>
      <c r="F111" s="65">
        <v>0</v>
      </c>
      <c r="G111" s="65">
        <v>0</v>
      </c>
      <c r="H111" s="65">
        <v>0</v>
      </c>
      <c r="I111" s="65">
        <v>0</v>
      </c>
      <c r="J111" s="65">
        <v>0</v>
      </c>
      <c r="K111" s="65">
        <v>0</v>
      </c>
      <c r="L111" s="65">
        <v>0</v>
      </c>
      <c r="M111" s="65">
        <v>0</v>
      </c>
      <c r="N111" s="65">
        <v>0</v>
      </c>
      <c r="O111" s="65">
        <v>0</v>
      </c>
      <c r="P111" s="65">
        <v>0</v>
      </c>
      <c r="Q111" s="65">
        <v>0</v>
      </c>
      <c r="R111" s="65">
        <v>0</v>
      </c>
      <c r="S111" s="65">
        <v>0</v>
      </c>
      <c r="T111" s="65">
        <v>0</v>
      </c>
      <c r="U111" s="65">
        <v>0</v>
      </c>
      <c r="V111" s="65">
        <v>0</v>
      </c>
      <c r="W111" s="65">
        <v>0</v>
      </c>
      <c r="X111" s="65">
        <v>0</v>
      </c>
      <c r="Y111" s="65">
        <v>0</v>
      </c>
      <c r="Z111" s="65">
        <v>0</v>
      </c>
      <c r="AA111" s="65">
        <v>0</v>
      </c>
      <c r="AB111" s="65">
        <v>0</v>
      </c>
      <c r="AC111" s="65">
        <v>0</v>
      </c>
      <c r="AD111" s="65">
        <v>0</v>
      </c>
      <c r="AE111" s="65">
        <v>0</v>
      </c>
      <c r="AF111" s="65">
        <v>0</v>
      </c>
      <c r="AG111" s="65">
        <v>0</v>
      </c>
      <c r="AH111" s="65">
        <v>0</v>
      </c>
      <c r="AI111" s="65">
        <v>0</v>
      </c>
      <c r="AJ111" s="65">
        <v>0</v>
      </c>
      <c r="AK111" s="65">
        <v>0</v>
      </c>
      <c r="AL111" s="65">
        <v>0</v>
      </c>
      <c r="AM111" s="65">
        <v>0</v>
      </c>
      <c r="AN111" s="65">
        <v>0</v>
      </c>
      <c r="AO111" s="65">
        <v>0</v>
      </c>
      <c r="AP111" s="65">
        <v>0</v>
      </c>
      <c r="AQ111" s="65">
        <v>0</v>
      </c>
      <c r="AR111" s="65">
        <v>0</v>
      </c>
      <c r="AS111" s="65">
        <v>0</v>
      </c>
      <c r="AT111" s="65">
        <v>0</v>
      </c>
      <c r="AU111" s="65">
        <v>0</v>
      </c>
      <c r="AV111" s="65">
        <v>0</v>
      </c>
      <c r="AW111" s="65">
        <v>0</v>
      </c>
      <c r="AX111" s="65">
        <v>0</v>
      </c>
      <c r="AY111" s="65">
        <v>0</v>
      </c>
      <c r="AZ111" s="65">
        <v>0</v>
      </c>
      <c r="BA111" s="65">
        <v>0</v>
      </c>
      <c r="BB111" s="65">
        <v>0</v>
      </c>
      <c r="BC111" s="65">
        <v>0</v>
      </c>
      <c r="BD111" s="65">
        <v>0</v>
      </c>
    </row>
    <row r="112" spans="3:56" s="6" customFormat="1" x14ac:dyDescent="0.25">
      <c r="C112" s="110"/>
      <c r="D112" s="49" t="s">
        <v>37</v>
      </c>
      <c r="E112" s="65">
        <v>0</v>
      </c>
      <c r="F112" s="65">
        <v>0</v>
      </c>
      <c r="G112" s="65">
        <v>0</v>
      </c>
      <c r="H112" s="65">
        <v>0</v>
      </c>
      <c r="I112" s="65">
        <v>0</v>
      </c>
      <c r="J112" s="65">
        <v>0</v>
      </c>
      <c r="K112" s="65">
        <v>0</v>
      </c>
      <c r="L112" s="65">
        <v>0</v>
      </c>
      <c r="M112" s="65">
        <v>0</v>
      </c>
      <c r="N112" s="65">
        <v>0</v>
      </c>
      <c r="O112" s="65">
        <v>0</v>
      </c>
      <c r="P112" s="65">
        <v>0</v>
      </c>
      <c r="Q112" s="65">
        <v>0</v>
      </c>
      <c r="R112" s="65">
        <v>0</v>
      </c>
      <c r="S112" s="65">
        <v>0</v>
      </c>
      <c r="T112" s="65">
        <v>0</v>
      </c>
      <c r="U112" s="65">
        <v>0</v>
      </c>
      <c r="V112" s="65">
        <v>0</v>
      </c>
      <c r="W112" s="65">
        <v>0</v>
      </c>
      <c r="X112" s="65">
        <v>0</v>
      </c>
      <c r="Y112" s="65">
        <v>0</v>
      </c>
      <c r="Z112" s="65">
        <v>0</v>
      </c>
      <c r="AA112" s="65">
        <v>0</v>
      </c>
      <c r="AB112" s="65">
        <v>0</v>
      </c>
      <c r="AC112" s="65">
        <v>0</v>
      </c>
      <c r="AD112" s="65">
        <v>0</v>
      </c>
      <c r="AE112" s="65">
        <v>0</v>
      </c>
      <c r="AF112" s="65">
        <v>0</v>
      </c>
      <c r="AG112" s="65">
        <v>0</v>
      </c>
      <c r="AH112" s="65">
        <v>0</v>
      </c>
      <c r="AI112" s="65">
        <v>0</v>
      </c>
      <c r="AJ112" s="65">
        <v>0</v>
      </c>
      <c r="AK112" s="65">
        <v>0</v>
      </c>
      <c r="AL112" s="65">
        <v>0</v>
      </c>
      <c r="AM112" s="65">
        <v>0</v>
      </c>
      <c r="AN112" s="65">
        <v>0</v>
      </c>
      <c r="AO112" s="65">
        <v>0</v>
      </c>
      <c r="AP112" s="65">
        <v>0</v>
      </c>
      <c r="AQ112" s="65">
        <v>0</v>
      </c>
      <c r="AR112" s="65">
        <v>0</v>
      </c>
      <c r="AS112" s="65">
        <v>0</v>
      </c>
      <c r="AT112" s="65">
        <v>0</v>
      </c>
      <c r="AU112" s="65">
        <v>0</v>
      </c>
      <c r="AV112" s="65">
        <v>0</v>
      </c>
      <c r="AW112" s="65">
        <v>0</v>
      </c>
      <c r="AX112" s="65">
        <v>0</v>
      </c>
      <c r="AY112" s="65">
        <v>0</v>
      </c>
      <c r="AZ112" s="65">
        <v>0</v>
      </c>
      <c r="BA112" s="65">
        <v>0</v>
      </c>
      <c r="BB112" s="65">
        <v>0</v>
      </c>
      <c r="BC112" s="65">
        <v>0</v>
      </c>
      <c r="BD112" s="65">
        <v>0</v>
      </c>
    </row>
    <row r="113" spans="2:56" s="6" customFormat="1" x14ac:dyDescent="0.25">
      <c r="C113" s="110"/>
      <c r="D113" s="49" t="s">
        <v>38</v>
      </c>
      <c r="E113" s="65">
        <v>0</v>
      </c>
      <c r="F113" s="65">
        <v>0</v>
      </c>
      <c r="G113" s="65">
        <v>0</v>
      </c>
      <c r="H113" s="65">
        <v>0</v>
      </c>
      <c r="I113" s="65">
        <v>0</v>
      </c>
      <c r="J113" s="65">
        <v>0</v>
      </c>
      <c r="K113" s="65">
        <v>0</v>
      </c>
      <c r="L113" s="65">
        <v>0</v>
      </c>
      <c r="M113" s="65">
        <v>0</v>
      </c>
      <c r="N113" s="65">
        <v>0</v>
      </c>
      <c r="O113" s="65">
        <v>0</v>
      </c>
      <c r="P113" s="65">
        <v>0</v>
      </c>
      <c r="Q113" s="65">
        <v>0</v>
      </c>
      <c r="R113" s="65">
        <v>0</v>
      </c>
      <c r="S113" s="65">
        <v>0</v>
      </c>
      <c r="T113" s="65">
        <v>0</v>
      </c>
      <c r="U113" s="65">
        <v>0</v>
      </c>
      <c r="V113" s="65">
        <v>0</v>
      </c>
      <c r="W113" s="65">
        <v>0</v>
      </c>
      <c r="X113" s="65">
        <v>0</v>
      </c>
      <c r="Y113" s="65">
        <v>0</v>
      </c>
      <c r="Z113" s="65">
        <v>0</v>
      </c>
      <c r="AA113" s="65">
        <v>0</v>
      </c>
      <c r="AB113" s="65">
        <v>0</v>
      </c>
      <c r="AC113" s="65">
        <v>0</v>
      </c>
      <c r="AD113" s="65">
        <v>0</v>
      </c>
      <c r="AE113" s="65">
        <v>0</v>
      </c>
      <c r="AF113" s="65">
        <v>0</v>
      </c>
      <c r="AG113" s="65">
        <v>0</v>
      </c>
      <c r="AH113" s="65">
        <v>0</v>
      </c>
      <c r="AI113" s="65">
        <v>0</v>
      </c>
      <c r="AJ113" s="65">
        <v>0</v>
      </c>
      <c r="AK113" s="65">
        <v>0</v>
      </c>
      <c r="AL113" s="65">
        <v>0</v>
      </c>
      <c r="AM113" s="65">
        <v>0</v>
      </c>
      <c r="AN113" s="65">
        <v>0</v>
      </c>
      <c r="AO113" s="65">
        <v>0</v>
      </c>
      <c r="AP113" s="65">
        <v>0</v>
      </c>
      <c r="AQ113" s="65">
        <v>0</v>
      </c>
      <c r="AR113" s="65">
        <v>0</v>
      </c>
      <c r="AS113" s="65">
        <v>0</v>
      </c>
      <c r="AT113" s="65">
        <v>0</v>
      </c>
      <c r="AU113" s="65">
        <v>0</v>
      </c>
      <c r="AV113" s="65">
        <v>0</v>
      </c>
      <c r="AW113" s="65">
        <v>0</v>
      </c>
      <c r="AX113" s="65">
        <v>0</v>
      </c>
      <c r="AY113" s="65">
        <v>0</v>
      </c>
      <c r="AZ113" s="65">
        <v>0</v>
      </c>
      <c r="BA113" s="65">
        <v>0</v>
      </c>
      <c r="BB113" s="65">
        <v>0</v>
      </c>
      <c r="BC113" s="65">
        <v>0</v>
      </c>
      <c r="BD113" s="65">
        <v>0</v>
      </c>
    </row>
    <row r="114" spans="2:56" s="6" customFormat="1" x14ac:dyDescent="0.25">
      <c r="C114" s="110"/>
      <c r="D114" s="49" t="s">
        <v>39</v>
      </c>
      <c r="E114" s="65">
        <v>0</v>
      </c>
      <c r="F114" s="65">
        <v>0</v>
      </c>
      <c r="G114" s="65">
        <v>0</v>
      </c>
      <c r="H114" s="65">
        <v>27</v>
      </c>
      <c r="I114" s="65">
        <v>27</v>
      </c>
      <c r="J114" s="65">
        <v>27</v>
      </c>
      <c r="K114" s="65">
        <v>27</v>
      </c>
      <c r="L114" s="65">
        <v>27</v>
      </c>
      <c r="M114" s="65">
        <v>25</v>
      </c>
      <c r="N114" s="65">
        <v>24</v>
      </c>
      <c r="O114" s="65">
        <v>17</v>
      </c>
      <c r="P114" s="65">
        <v>16</v>
      </c>
      <c r="Q114" s="65">
        <v>15</v>
      </c>
      <c r="R114" s="65">
        <v>15</v>
      </c>
      <c r="S114" s="65">
        <v>14</v>
      </c>
      <c r="T114" s="65">
        <v>13</v>
      </c>
      <c r="U114" s="65">
        <v>11</v>
      </c>
      <c r="V114" s="65">
        <v>11</v>
      </c>
      <c r="W114" s="65">
        <v>10</v>
      </c>
      <c r="X114" s="65">
        <v>10</v>
      </c>
      <c r="Y114" s="65">
        <v>9.85</v>
      </c>
      <c r="Z114" s="65">
        <v>9.7022499999999994</v>
      </c>
      <c r="AA114" s="65">
        <v>11.556716249999999</v>
      </c>
      <c r="AB114" s="65">
        <v>11.38336550625</v>
      </c>
      <c r="AC114" s="65">
        <v>9.2126150236562498</v>
      </c>
      <c r="AD114" s="65">
        <v>9.0744257983014069</v>
      </c>
      <c r="AE114" s="65">
        <v>8.9383094113268857</v>
      </c>
      <c r="AF114" s="65">
        <v>8.8042347701569827</v>
      </c>
      <c r="AG114" s="65">
        <v>8.6721712486046272</v>
      </c>
      <c r="AH114" s="65">
        <v>8.5420886798755582</v>
      </c>
      <c r="AI114" s="65">
        <v>8.4139573496774247</v>
      </c>
      <c r="AJ114" s="65">
        <v>8.2877479894322637</v>
      </c>
      <c r="AK114" s="65">
        <v>8.1634317695907797</v>
      </c>
      <c r="AL114" s="65">
        <v>8.0409802930469176</v>
      </c>
      <c r="AM114" s="65">
        <v>7.9203655886512134</v>
      </c>
      <c r="AN114" s="65">
        <v>8.8015601048214442</v>
      </c>
      <c r="AO114" s="65">
        <v>8.669536703249122</v>
      </c>
      <c r="AP114" s="65">
        <v>8.5394936527003846</v>
      </c>
      <c r="AQ114" s="65">
        <v>8.411401247909879</v>
      </c>
      <c r="AR114" s="65">
        <v>9.2852302291912316</v>
      </c>
      <c r="AS114" s="65">
        <v>11.062384703690642</v>
      </c>
      <c r="AT114" s="65">
        <v>10.796887470802066</v>
      </c>
      <c r="AU114" s="65">
        <v>12.537762171502816</v>
      </c>
      <c r="AV114" s="65">
        <v>22.236855879386749</v>
      </c>
      <c r="AW114" s="65">
        <v>31.703171338281468</v>
      </c>
      <c r="AX114" s="65">
        <v>47.942295226162713</v>
      </c>
      <c r="AY114" s="65">
        <v>46.791680140734805</v>
      </c>
      <c r="AZ114" s="65">
        <v>45.668679817357166</v>
      </c>
      <c r="BA114" s="65">
        <v>44.572631501740595</v>
      </c>
      <c r="BB114" s="65">
        <v>39.502888345698821</v>
      </c>
      <c r="BC114" s="65">
        <v>24.554819025402047</v>
      </c>
      <c r="BD114" s="65">
        <v>23.965503368792398</v>
      </c>
    </row>
    <row r="115" spans="2:56" s="6" customFormat="1" x14ac:dyDescent="0.25">
      <c r="C115" s="110"/>
      <c r="D115" s="49" t="s">
        <v>40</v>
      </c>
      <c r="E115" s="65">
        <v>0</v>
      </c>
      <c r="F115" s="65">
        <v>0</v>
      </c>
      <c r="G115" s="65">
        <v>0</v>
      </c>
      <c r="H115" s="65">
        <v>0</v>
      </c>
      <c r="I115" s="65">
        <v>0</v>
      </c>
      <c r="J115" s="65">
        <v>0</v>
      </c>
      <c r="K115" s="65">
        <v>0</v>
      </c>
      <c r="L115" s="65">
        <v>0</v>
      </c>
      <c r="M115" s="65">
        <v>0</v>
      </c>
      <c r="N115" s="65">
        <v>0</v>
      </c>
      <c r="O115" s="65">
        <v>0</v>
      </c>
      <c r="P115" s="65">
        <v>0</v>
      </c>
      <c r="Q115" s="65">
        <v>0</v>
      </c>
      <c r="R115" s="65">
        <v>0</v>
      </c>
      <c r="S115" s="65">
        <v>0</v>
      </c>
      <c r="T115" s="65">
        <v>0</v>
      </c>
      <c r="U115" s="65">
        <v>0</v>
      </c>
      <c r="V115" s="65">
        <v>0</v>
      </c>
      <c r="W115" s="65">
        <v>0</v>
      </c>
      <c r="X115" s="65">
        <v>0</v>
      </c>
      <c r="Y115" s="65">
        <v>0</v>
      </c>
      <c r="Z115" s="65">
        <v>0</v>
      </c>
      <c r="AA115" s="65">
        <v>0</v>
      </c>
      <c r="AB115" s="65">
        <v>0</v>
      </c>
      <c r="AC115" s="65">
        <v>0</v>
      </c>
      <c r="AD115" s="65">
        <v>0</v>
      </c>
      <c r="AE115" s="65">
        <v>0</v>
      </c>
      <c r="AF115" s="65">
        <v>0</v>
      </c>
      <c r="AG115" s="65">
        <v>0</v>
      </c>
      <c r="AH115" s="65">
        <v>0</v>
      </c>
      <c r="AI115" s="65">
        <v>0</v>
      </c>
      <c r="AJ115" s="65">
        <v>0</v>
      </c>
      <c r="AK115" s="65">
        <v>0</v>
      </c>
      <c r="AL115" s="65">
        <v>0</v>
      </c>
      <c r="AM115" s="65">
        <v>0</v>
      </c>
      <c r="AN115" s="65">
        <v>0</v>
      </c>
      <c r="AO115" s="65">
        <v>0</v>
      </c>
      <c r="AP115" s="65">
        <v>0</v>
      </c>
      <c r="AQ115" s="65">
        <v>0</v>
      </c>
      <c r="AR115" s="65">
        <v>0</v>
      </c>
      <c r="AS115" s="65">
        <v>0</v>
      </c>
      <c r="AT115" s="65">
        <v>0</v>
      </c>
      <c r="AU115" s="65">
        <v>0</v>
      </c>
      <c r="AV115" s="65">
        <v>0</v>
      </c>
      <c r="AW115" s="65">
        <v>0</v>
      </c>
      <c r="AX115" s="65">
        <v>0</v>
      </c>
      <c r="AY115" s="65">
        <v>0</v>
      </c>
      <c r="AZ115" s="65">
        <v>0</v>
      </c>
      <c r="BA115" s="65">
        <v>0</v>
      </c>
      <c r="BB115" s="65">
        <v>0</v>
      </c>
      <c r="BC115" s="65">
        <v>0</v>
      </c>
      <c r="BD115" s="65">
        <v>0</v>
      </c>
    </row>
    <row r="116" spans="2:56" s="6" customFormat="1" x14ac:dyDescent="0.25">
      <c r="C116" s="110"/>
      <c r="D116" s="50" t="s">
        <v>41</v>
      </c>
      <c r="E116" s="54">
        <f t="shared" ref="E116:BD116" si="74">(SUM(E109:E115)*E118)/((40*(1-E117)+40))</f>
        <v>0</v>
      </c>
      <c r="F116" s="54">
        <f t="shared" si="74"/>
        <v>0</v>
      </c>
      <c r="G116" s="54">
        <f t="shared" si="74"/>
        <v>0</v>
      </c>
      <c r="H116" s="54">
        <f>(SUM(H109:H115)*H118)/((40*(1-H117)+40))</f>
        <v>0</v>
      </c>
      <c r="I116" s="54">
        <f t="shared" si="74"/>
        <v>0</v>
      </c>
      <c r="J116" s="54">
        <f t="shared" si="74"/>
        <v>0</v>
      </c>
      <c r="K116" s="54">
        <f t="shared" si="74"/>
        <v>-4.6956521739130439</v>
      </c>
      <c r="L116" s="54">
        <f t="shared" si="74"/>
        <v>-2.347826086956522</v>
      </c>
      <c r="M116" s="54">
        <f t="shared" si="74"/>
        <v>-4.3478260869565215</v>
      </c>
      <c r="N116" s="54">
        <f t="shared" si="74"/>
        <v>-1.0434782608695652</v>
      </c>
      <c r="O116" s="54">
        <f t="shared" si="74"/>
        <v>0</v>
      </c>
      <c r="P116" s="54">
        <f t="shared" si="74"/>
        <v>0</v>
      </c>
      <c r="Q116" s="54">
        <f t="shared" si="74"/>
        <v>0</v>
      </c>
      <c r="R116" s="54">
        <f t="shared" si="74"/>
        <v>0</v>
      </c>
      <c r="S116" s="54">
        <f t="shared" si="74"/>
        <v>0</v>
      </c>
      <c r="T116" s="54">
        <f t="shared" si="74"/>
        <v>0</v>
      </c>
      <c r="U116" s="54">
        <f t="shared" si="74"/>
        <v>1.9130434782608696</v>
      </c>
      <c r="V116" s="54">
        <f t="shared" si="74"/>
        <v>1.9130434782608696</v>
      </c>
      <c r="W116" s="54">
        <f t="shared" si="74"/>
        <v>1.7391304347826086</v>
      </c>
      <c r="X116" s="54">
        <f t="shared" si="74"/>
        <v>0</v>
      </c>
      <c r="Y116" s="54">
        <f t="shared" si="74"/>
        <v>0</v>
      </c>
      <c r="Z116" s="54">
        <f t="shared" si="74"/>
        <v>0</v>
      </c>
      <c r="AA116" s="54">
        <f t="shared" si="74"/>
        <v>0</v>
      </c>
      <c r="AB116" s="54">
        <f t="shared" si="74"/>
        <v>0</v>
      </c>
      <c r="AC116" s="54">
        <f t="shared" si="74"/>
        <v>0</v>
      </c>
      <c r="AD116" s="54">
        <f t="shared" si="74"/>
        <v>0</v>
      </c>
      <c r="AE116" s="54">
        <f t="shared" si="74"/>
        <v>0</v>
      </c>
      <c r="AF116" s="54">
        <f t="shared" si="74"/>
        <v>0</v>
      </c>
      <c r="AG116" s="54">
        <f t="shared" si="74"/>
        <v>0</v>
      </c>
      <c r="AH116" s="54">
        <f t="shared" si="74"/>
        <v>0</v>
      </c>
      <c r="AI116" s="54">
        <f t="shared" si="74"/>
        <v>0</v>
      </c>
      <c r="AJ116" s="54">
        <f t="shared" si="74"/>
        <v>0</v>
      </c>
      <c r="AK116" s="54">
        <f t="shared" si="74"/>
        <v>0</v>
      </c>
      <c r="AL116" s="54">
        <f t="shared" si="74"/>
        <v>0</v>
      </c>
      <c r="AM116" s="54">
        <f t="shared" si="74"/>
        <v>0</v>
      </c>
      <c r="AN116" s="54">
        <f t="shared" si="74"/>
        <v>0</v>
      </c>
      <c r="AO116" s="54">
        <f t="shared" si="74"/>
        <v>0</v>
      </c>
      <c r="AP116" s="54">
        <f t="shared" si="74"/>
        <v>0</v>
      </c>
      <c r="AQ116" s="54">
        <f t="shared" si="74"/>
        <v>0</v>
      </c>
      <c r="AR116" s="54">
        <f t="shared" si="74"/>
        <v>0</v>
      </c>
      <c r="AS116" s="54">
        <f t="shared" si="74"/>
        <v>0</v>
      </c>
      <c r="AT116" s="54">
        <f t="shared" si="74"/>
        <v>0</v>
      </c>
      <c r="AU116" s="54">
        <f t="shared" si="74"/>
        <v>0</v>
      </c>
      <c r="AV116" s="54">
        <f t="shared" si="74"/>
        <v>0</v>
      </c>
      <c r="AW116" s="54">
        <f t="shared" si="74"/>
        <v>0</v>
      </c>
      <c r="AX116" s="54">
        <f t="shared" si="74"/>
        <v>0</v>
      </c>
      <c r="AY116" s="54">
        <f t="shared" si="74"/>
        <v>0</v>
      </c>
      <c r="AZ116" s="54">
        <f t="shared" si="74"/>
        <v>7.9423790986708118</v>
      </c>
      <c r="BA116" s="54">
        <f t="shared" si="74"/>
        <v>5.8138215002270339</v>
      </c>
      <c r="BB116" s="54">
        <f t="shared" si="74"/>
        <v>0</v>
      </c>
      <c r="BC116" s="54">
        <f t="shared" si="74"/>
        <v>0</v>
      </c>
      <c r="BD116" s="54">
        <f t="shared" si="74"/>
        <v>0</v>
      </c>
    </row>
    <row r="117" spans="2:56" s="6" customFormat="1" x14ac:dyDescent="0.25">
      <c r="C117" s="110"/>
      <c r="D117" s="50" t="s">
        <v>42</v>
      </c>
      <c r="E117" s="67">
        <v>0.85</v>
      </c>
      <c r="F117" s="67">
        <v>0.85</v>
      </c>
      <c r="G117" s="67">
        <v>0.85</v>
      </c>
      <c r="H117" s="67">
        <v>0.85</v>
      </c>
      <c r="I117" s="67">
        <v>0.85</v>
      </c>
      <c r="J117" s="67">
        <v>0.85</v>
      </c>
      <c r="K117" s="67">
        <v>0.85</v>
      </c>
      <c r="L117" s="67">
        <v>0.85</v>
      </c>
      <c r="M117" s="67">
        <v>0.85</v>
      </c>
      <c r="N117" s="67">
        <v>0.85</v>
      </c>
      <c r="O117" s="67">
        <v>0.85</v>
      </c>
      <c r="P117" s="67">
        <v>0.85</v>
      </c>
      <c r="Q117" s="67">
        <v>0.85</v>
      </c>
      <c r="R117" s="67">
        <v>0.85</v>
      </c>
      <c r="S117" s="67">
        <v>0.85</v>
      </c>
      <c r="T117" s="67">
        <v>0.85</v>
      </c>
      <c r="U117" s="67">
        <v>0.85</v>
      </c>
      <c r="V117" s="67">
        <v>0.85</v>
      </c>
      <c r="W117" s="67">
        <v>0.85</v>
      </c>
      <c r="X117" s="67">
        <v>0.85</v>
      </c>
      <c r="Y117" s="67">
        <v>0.85</v>
      </c>
      <c r="Z117" s="67">
        <v>0.85</v>
      </c>
      <c r="AA117" s="67">
        <v>0.85</v>
      </c>
      <c r="AB117" s="67">
        <v>0.85</v>
      </c>
      <c r="AC117" s="67">
        <v>0.85</v>
      </c>
      <c r="AD117" s="67">
        <v>0.85</v>
      </c>
      <c r="AE117" s="67">
        <v>0.85</v>
      </c>
      <c r="AF117" s="67">
        <v>0.85</v>
      </c>
      <c r="AG117" s="67">
        <v>0.85</v>
      </c>
      <c r="AH117" s="67">
        <v>0.85</v>
      </c>
      <c r="AI117" s="67">
        <v>0.85</v>
      </c>
      <c r="AJ117" s="67">
        <v>0.85</v>
      </c>
      <c r="AK117" s="67">
        <v>0.85</v>
      </c>
      <c r="AL117" s="67">
        <v>0.85</v>
      </c>
      <c r="AM117" s="67">
        <v>0.85</v>
      </c>
      <c r="AN117" s="67">
        <v>0.85</v>
      </c>
      <c r="AO117" s="67">
        <v>0.85</v>
      </c>
      <c r="AP117" s="67">
        <v>0.85</v>
      </c>
      <c r="AQ117" s="67">
        <v>0.85</v>
      </c>
      <c r="AR117" s="67">
        <v>0.85</v>
      </c>
      <c r="AS117" s="67">
        <v>0.85</v>
      </c>
      <c r="AT117" s="67">
        <v>0.85</v>
      </c>
      <c r="AU117" s="67">
        <v>0.85</v>
      </c>
      <c r="AV117" s="67">
        <v>0.85</v>
      </c>
      <c r="AW117" s="67">
        <v>0.85</v>
      </c>
      <c r="AX117" s="67">
        <v>0.85</v>
      </c>
      <c r="AY117" s="67">
        <v>0.85</v>
      </c>
      <c r="AZ117" s="67">
        <v>0.85</v>
      </c>
      <c r="BA117" s="67">
        <v>0.85</v>
      </c>
      <c r="BB117" s="67">
        <v>0.85</v>
      </c>
      <c r="BC117" s="67">
        <v>0.85</v>
      </c>
      <c r="BD117" s="67">
        <v>0.85</v>
      </c>
    </row>
    <row r="118" spans="2:56" s="6" customFormat="1" x14ac:dyDescent="0.25">
      <c r="C118" s="110"/>
      <c r="D118" s="50" t="s">
        <v>43</v>
      </c>
      <c r="E118" s="65"/>
      <c r="F118" s="65"/>
      <c r="G118" s="65"/>
      <c r="H118" s="65"/>
      <c r="I118" s="65"/>
      <c r="J118" s="65"/>
      <c r="K118" s="65">
        <v>-8</v>
      </c>
      <c r="L118" s="65">
        <v>-4</v>
      </c>
      <c r="M118" s="65">
        <v>-8</v>
      </c>
      <c r="N118" s="65">
        <v>-2</v>
      </c>
      <c r="O118" s="65"/>
      <c r="P118" s="65"/>
      <c r="Q118" s="65"/>
      <c r="R118" s="65"/>
      <c r="S118" s="65"/>
      <c r="T118" s="65"/>
      <c r="U118" s="65">
        <v>8</v>
      </c>
      <c r="V118" s="65">
        <v>8</v>
      </c>
      <c r="W118" s="65">
        <v>8</v>
      </c>
      <c r="X118" s="65"/>
      <c r="Y118" s="65"/>
      <c r="Z118" s="65"/>
      <c r="AA118" s="65"/>
      <c r="AB118" s="65"/>
      <c r="AC118" s="65"/>
      <c r="AD118" s="65"/>
      <c r="AE118" s="65"/>
      <c r="AF118" s="65"/>
      <c r="AG118" s="65"/>
      <c r="AH118" s="65"/>
      <c r="AI118" s="65"/>
      <c r="AJ118" s="65"/>
      <c r="AK118" s="65"/>
      <c r="AL118" s="65"/>
      <c r="AM118" s="65"/>
      <c r="AN118" s="65"/>
      <c r="AO118" s="65"/>
      <c r="AP118" s="65"/>
      <c r="AQ118" s="65"/>
      <c r="AR118" s="65"/>
      <c r="AS118" s="65"/>
      <c r="AT118" s="65"/>
      <c r="AU118" s="65"/>
      <c r="AV118" s="65"/>
      <c r="AW118" s="65"/>
      <c r="AX118" s="65"/>
      <c r="AY118" s="65"/>
      <c r="AZ118" s="65">
        <v>8</v>
      </c>
      <c r="BA118" s="65">
        <v>6</v>
      </c>
      <c r="BB118" s="65"/>
      <c r="BC118" s="65"/>
      <c r="BD118" s="65"/>
    </row>
    <row r="119" spans="2:56" s="6" customFormat="1" x14ac:dyDescent="0.25">
      <c r="C119" s="110"/>
      <c r="D119" s="51" t="s">
        <v>44</v>
      </c>
      <c r="E119" s="61">
        <f t="shared" ref="E119" si="75">SUM(E109:E116)</f>
        <v>0</v>
      </c>
      <c r="F119" s="61">
        <f t="shared" ref="F119:BD119" si="76">SUM(F109:F116)</f>
        <v>0</v>
      </c>
      <c r="G119" s="61">
        <f t="shared" si="76"/>
        <v>0</v>
      </c>
      <c r="H119" s="61">
        <f t="shared" si="76"/>
        <v>27</v>
      </c>
      <c r="I119" s="61">
        <f t="shared" si="76"/>
        <v>27</v>
      </c>
      <c r="J119" s="61">
        <f t="shared" si="76"/>
        <v>27</v>
      </c>
      <c r="K119" s="61">
        <f t="shared" si="76"/>
        <v>22.304347826086957</v>
      </c>
      <c r="L119" s="61">
        <f t="shared" si="76"/>
        <v>24.652173913043477</v>
      </c>
      <c r="M119" s="61">
        <f t="shared" si="76"/>
        <v>20.652173913043477</v>
      </c>
      <c r="N119" s="61">
        <f t="shared" si="76"/>
        <v>22.956521739130434</v>
      </c>
      <c r="O119" s="61">
        <f t="shared" si="76"/>
        <v>17</v>
      </c>
      <c r="P119" s="61">
        <f t="shared" si="76"/>
        <v>16</v>
      </c>
      <c r="Q119" s="61">
        <f t="shared" si="76"/>
        <v>15</v>
      </c>
      <c r="R119" s="61">
        <f t="shared" si="76"/>
        <v>15</v>
      </c>
      <c r="S119" s="61">
        <f t="shared" si="76"/>
        <v>14</v>
      </c>
      <c r="T119" s="61">
        <f t="shared" si="76"/>
        <v>13</v>
      </c>
      <c r="U119" s="61">
        <f t="shared" si="76"/>
        <v>12.913043478260869</v>
      </c>
      <c r="V119" s="61">
        <f t="shared" si="76"/>
        <v>12.913043478260869</v>
      </c>
      <c r="W119" s="61">
        <f t="shared" si="76"/>
        <v>11.739130434782609</v>
      </c>
      <c r="X119" s="61">
        <f t="shared" si="76"/>
        <v>10</v>
      </c>
      <c r="Y119" s="61">
        <f t="shared" si="76"/>
        <v>9.85</v>
      </c>
      <c r="Z119" s="61">
        <f t="shared" si="76"/>
        <v>9.7022499999999994</v>
      </c>
      <c r="AA119" s="61">
        <f t="shared" si="76"/>
        <v>11.556716249999999</v>
      </c>
      <c r="AB119" s="61">
        <f t="shared" si="76"/>
        <v>11.38336550625</v>
      </c>
      <c r="AC119" s="61">
        <f t="shared" si="76"/>
        <v>9.2126150236562498</v>
      </c>
      <c r="AD119" s="61">
        <f t="shared" si="76"/>
        <v>9.0744257983014069</v>
      </c>
      <c r="AE119" s="61">
        <f t="shared" si="76"/>
        <v>8.9383094113268857</v>
      </c>
      <c r="AF119" s="61">
        <f t="shared" si="76"/>
        <v>8.8042347701569827</v>
      </c>
      <c r="AG119" s="61">
        <f t="shared" si="76"/>
        <v>8.6721712486046272</v>
      </c>
      <c r="AH119" s="61">
        <f t="shared" si="76"/>
        <v>8.5420886798755582</v>
      </c>
      <c r="AI119" s="61">
        <f t="shared" si="76"/>
        <v>8.4139573496774247</v>
      </c>
      <c r="AJ119" s="61">
        <f t="shared" si="76"/>
        <v>8.2877479894322637</v>
      </c>
      <c r="AK119" s="61">
        <f t="shared" si="76"/>
        <v>8.1634317695907797</v>
      </c>
      <c r="AL119" s="61">
        <f t="shared" si="76"/>
        <v>8.0409802930469176</v>
      </c>
      <c r="AM119" s="61">
        <f t="shared" si="76"/>
        <v>7.9203655886512134</v>
      </c>
      <c r="AN119" s="61">
        <f t="shared" si="76"/>
        <v>8.8015601048214442</v>
      </c>
      <c r="AO119" s="61">
        <f t="shared" si="76"/>
        <v>8.669536703249122</v>
      </c>
      <c r="AP119" s="61">
        <f t="shared" si="76"/>
        <v>8.5394936527003846</v>
      </c>
      <c r="AQ119" s="61">
        <f t="shared" si="76"/>
        <v>8.411401247909879</v>
      </c>
      <c r="AR119" s="61">
        <f t="shared" si="76"/>
        <v>9.2852302291912316</v>
      </c>
      <c r="AS119" s="61">
        <f t="shared" si="76"/>
        <v>11.062384703690642</v>
      </c>
      <c r="AT119" s="61">
        <f t="shared" si="76"/>
        <v>10.796887470802066</v>
      </c>
      <c r="AU119" s="61">
        <f t="shared" si="76"/>
        <v>12.537762171502816</v>
      </c>
      <c r="AV119" s="61">
        <f t="shared" si="76"/>
        <v>22.236855879386749</v>
      </c>
      <c r="AW119" s="61">
        <f t="shared" si="76"/>
        <v>31.703171338281468</v>
      </c>
      <c r="AX119" s="61">
        <f t="shared" si="76"/>
        <v>47.942295226162713</v>
      </c>
      <c r="AY119" s="61">
        <f t="shared" si="76"/>
        <v>46.791680140734805</v>
      </c>
      <c r="AZ119" s="61">
        <f t="shared" si="76"/>
        <v>53.611058916027979</v>
      </c>
      <c r="BA119" s="61">
        <f t="shared" si="76"/>
        <v>50.386453001967631</v>
      </c>
      <c r="BB119" s="61">
        <f t="shared" si="76"/>
        <v>39.502888345698821</v>
      </c>
      <c r="BC119" s="61">
        <f t="shared" si="76"/>
        <v>24.554819025402047</v>
      </c>
      <c r="BD119" s="61">
        <f t="shared" si="76"/>
        <v>23.965503368792398</v>
      </c>
    </row>
    <row r="120" spans="2:56" s="6" customFormat="1" x14ac:dyDescent="0.25">
      <c r="C120" s="110"/>
      <c r="D120" s="52" t="s">
        <v>45</v>
      </c>
      <c r="E120" s="56">
        <f>E119-E107</f>
        <v>-45.873677909512516</v>
      </c>
      <c r="F120" s="56">
        <f t="shared" ref="F120:BD120" si="77">F119-F107</f>
        <v>-40.085064467115572</v>
      </c>
      <c r="G120" s="56">
        <f t="shared" si="77"/>
        <v>-29.370011732860664</v>
      </c>
      <c r="H120" s="56">
        <f t="shared" si="77"/>
        <v>0.72702322369897132</v>
      </c>
      <c r="I120" s="56">
        <f t="shared" si="77"/>
        <v>1.7781326320289566</v>
      </c>
      <c r="J120" s="56">
        <f t="shared" si="77"/>
        <v>4.3027980951545821</v>
      </c>
      <c r="K120" s="56">
        <f t="shared" si="77"/>
        <v>5.6902487672046469</v>
      </c>
      <c r="L120" s="56">
        <f t="shared" si="77"/>
        <v>3.1349768685171107</v>
      </c>
      <c r="M120" s="56">
        <f t="shared" si="77"/>
        <v>-0.58506856380837746</v>
      </c>
      <c r="N120" s="56">
        <f t="shared" si="77"/>
        <v>-0.7851826194221907</v>
      </c>
      <c r="O120" s="56">
        <f t="shared" si="77"/>
        <v>-10.65025102542236</v>
      </c>
      <c r="P120" s="56">
        <f t="shared" si="77"/>
        <v>-11.870974548972356</v>
      </c>
      <c r="Q120" s="56">
        <f t="shared" si="77"/>
        <v>-7.31247809669307</v>
      </c>
      <c r="R120" s="56">
        <f t="shared" si="77"/>
        <v>-6.7545977078012314</v>
      </c>
      <c r="S120" s="56">
        <f t="shared" si="77"/>
        <v>-7.7225821353151396</v>
      </c>
      <c r="T120" s="56">
        <f t="shared" si="77"/>
        <v>-10.477836238273635</v>
      </c>
      <c r="U120" s="56">
        <f t="shared" si="77"/>
        <v>-10.352929251596171</v>
      </c>
      <c r="V120" s="56">
        <f t="shared" si="77"/>
        <v>-13.474951836858208</v>
      </c>
      <c r="W120" s="56">
        <f t="shared" si="77"/>
        <v>-13.804754215355459</v>
      </c>
      <c r="X120" s="56">
        <f t="shared" si="77"/>
        <v>-5.9500550550550564</v>
      </c>
      <c r="Y120" s="56">
        <f t="shared" si="77"/>
        <v>-4.6921789289289269</v>
      </c>
      <c r="Z120" s="56">
        <f t="shared" si="77"/>
        <v>-3.6927274774774776</v>
      </c>
      <c r="AA120" s="56">
        <f t="shared" si="77"/>
        <v>-5.0385565227727707</v>
      </c>
      <c r="AB120" s="56">
        <f t="shared" si="77"/>
        <v>-4.2761089682244773</v>
      </c>
      <c r="AC120" s="56">
        <f t="shared" si="77"/>
        <v>-5.5915241154828887</v>
      </c>
      <c r="AD120" s="56">
        <f t="shared" si="77"/>
        <v>-3.349945546727831</v>
      </c>
      <c r="AE120" s="56">
        <f t="shared" si="77"/>
        <v>-1.8955112514411478</v>
      </c>
      <c r="AF120" s="56">
        <f t="shared" si="77"/>
        <v>-3.3206653273089053</v>
      </c>
      <c r="AG120" s="56">
        <f t="shared" si="77"/>
        <v>-2.219731772837866</v>
      </c>
      <c r="AH120" s="56">
        <f t="shared" si="77"/>
        <v>-4.4241881232433524</v>
      </c>
      <c r="AI120" s="56">
        <f t="shared" si="77"/>
        <v>-4.9737984982757908</v>
      </c>
      <c r="AJ120" s="56">
        <f t="shared" si="77"/>
        <v>-6.7699493789887875</v>
      </c>
      <c r="AK120" s="56">
        <f t="shared" si="77"/>
        <v>-7.56512086198817</v>
      </c>
      <c r="AL120" s="56">
        <f t="shared" si="77"/>
        <v>-7.514933449643145</v>
      </c>
      <c r="AM120" s="56">
        <f t="shared" si="77"/>
        <v>-14.954548726953691</v>
      </c>
      <c r="AN120" s="56">
        <f t="shared" si="77"/>
        <v>-11.434606326656844</v>
      </c>
      <c r="AO120" s="56">
        <f t="shared" si="77"/>
        <v>-11.932652707862598</v>
      </c>
      <c r="AP120" s="56">
        <f t="shared" si="77"/>
        <v>-13.051858305084034</v>
      </c>
      <c r="AQ120" s="56">
        <f t="shared" si="77"/>
        <v>-15.079786870488892</v>
      </c>
      <c r="AR120" s="56">
        <f t="shared" si="77"/>
        <v>-11.756924566709834</v>
      </c>
      <c r="AS120" s="56">
        <f t="shared" si="77"/>
        <v>-11.155549159307485</v>
      </c>
      <c r="AT120" s="56">
        <f t="shared" si="77"/>
        <v>-12.107106495390479</v>
      </c>
      <c r="AU120" s="56">
        <f t="shared" si="77"/>
        <v>-11.741402056804663</v>
      </c>
      <c r="AV120" s="56">
        <f t="shared" si="77"/>
        <v>-3.1326499232854239</v>
      </c>
      <c r="AW120" s="56">
        <f t="shared" si="77"/>
        <v>4.5790608341298373</v>
      </c>
      <c r="AX120" s="56">
        <f t="shared" si="77"/>
        <v>21.342997519388721</v>
      </c>
      <c r="AY120" s="56">
        <f t="shared" si="77"/>
        <v>-16.547521998913581</v>
      </c>
      <c r="AZ120" s="56">
        <f t="shared" si="77"/>
        <v>-34.807266370655789</v>
      </c>
      <c r="BA120" s="56">
        <f t="shared" si="77"/>
        <v>-26.377571076881658</v>
      </c>
      <c r="BB120" s="56">
        <f t="shared" si="77"/>
        <v>-33.089671896320212</v>
      </c>
      <c r="BC120" s="56">
        <f t="shared" si="77"/>
        <v>-21.145281329799822</v>
      </c>
      <c r="BD120" s="56">
        <f t="shared" si="77"/>
        <v>-12.187959955814442</v>
      </c>
    </row>
    <row r="121" spans="2:56" s="6" customFormat="1" x14ac:dyDescent="0.25">
      <c r="C121" s="48"/>
      <c r="D121" s="41"/>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row>
    <row r="122" spans="2:56" s="6" customFormat="1" x14ac:dyDescent="0.25">
      <c r="C122" s="48"/>
      <c r="D122" s="41"/>
      <c r="E122" s="56"/>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row>
    <row r="123" spans="2:56" x14ac:dyDescent="0.25">
      <c r="E123" s="82">
        <f t="shared" ref="E123:AJ123" si="78">E2</f>
        <v>44569</v>
      </c>
      <c r="F123" s="82">
        <f t="shared" si="78"/>
        <v>44576</v>
      </c>
      <c r="G123" s="82">
        <f t="shared" si="78"/>
        <v>44583</v>
      </c>
      <c r="H123" s="82">
        <f t="shared" si="78"/>
        <v>44590</v>
      </c>
      <c r="I123" s="82">
        <f t="shared" si="78"/>
        <v>44597</v>
      </c>
      <c r="J123" s="82">
        <f t="shared" si="78"/>
        <v>44604</v>
      </c>
      <c r="K123" s="82">
        <f t="shared" si="78"/>
        <v>44611</v>
      </c>
      <c r="L123" s="82">
        <f t="shared" si="78"/>
        <v>44618</v>
      </c>
      <c r="M123" s="82">
        <f t="shared" si="78"/>
        <v>44625</v>
      </c>
      <c r="N123" s="82">
        <f t="shared" si="78"/>
        <v>44632</v>
      </c>
      <c r="O123" s="82">
        <f t="shared" si="78"/>
        <v>44639</v>
      </c>
      <c r="P123" s="82">
        <f t="shared" si="78"/>
        <v>44646</v>
      </c>
      <c r="Q123" s="82">
        <f t="shared" si="78"/>
        <v>44653</v>
      </c>
      <c r="R123" s="82">
        <f t="shared" si="78"/>
        <v>44660</v>
      </c>
      <c r="S123" s="82">
        <f t="shared" si="78"/>
        <v>44667</v>
      </c>
      <c r="T123" s="82">
        <f t="shared" si="78"/>
        <v>44674</v>
      </c>
      <c r="U123" s="82">
        <f t="shared" si="78"/>
        <v>44681</v>
      </c>
      <c r="V123" s="82">
        <f t="shared" si="78"/>
        <v>44688</v>
      </c>
      <c r="W123" s="82">
        <f t="shared" si="78"/>
        <v>44695</v>
      </c>
      <c r="X123" s="82">
        <f t="shared" si="78"/>
        <v>44702</v>
      </c>
      <c r="Y123" s="82">
        <f t="shared" si="78"/>
        <v>44709</v>
      </c>
      <c r="Z123" s="82">
        <f t="shared" si="78"/>
        <v>44716</v>
      </c>
      <c r="AA123" s="82">
        <f t="shared" si="78"/>
        <v>44723</v>
      </c>
      <c r="AB123" s="82">
        <f t="shared" si="78"/>
        <v>44730</v>
      </c>
      <c r="AC123" s="82">
        <f t="shared" si="78"/>
        <v>44737</v>
      </c>
      <c r="AD123" s="82">
        <f t="shared" si="78"/>
        <v>44744</v>
      </c>
      <c r="AE123" s="82">
        <f t="shared" si="78"/>
        <v>44751</v>
      </c>
      <c r="AF123" s="82">
        <f t="shared" si="78"/>
        <v>44758</v>
      </c>
      <c r="AG123" s="82">
        <f t="shared" si="78"/>
        <v>44765</v>
      </c>
      <c r="AH123" s="82">
        <f t="shared" si="78"/>
        <v>44772</v>
      </c>
      <c r="AI123" s="82">
        <f t="shared" si="78"/>
        <v>44779</v>
      </c>
      <c r="AJ123" s="82">
        <f t="shared" si="78"/>
        <v>44786</v>
      </c>
      <c r="AK123" s="82">
        <f t="shared" ref="AK123:BD123" si="79">AK2</f>
        <v>44793</v>
      </c>
      <c r="AL123" s="82">
        <f t="shared" si="79"/>
        <v>44800</v>
      </c>
      <c r="AM123" s="82">
        <f t="shared" si="79"/>
        <v>44807</v>
      </c>
      <c r="AN123" s="82">
        <f t="shared" si="79"/>
        <v>44814</v>
      </c>
      <c r="AO123" s="82">
        <f t="shared" si="79"/>
        <v>44821</v>
      </c>
      <c r="AP123" s="82">
        <f t="shared" si="79"/>
        <v>44828</v>
      </c>
      <c r="AQ123" s="82">
        <f t="shared" si="79"/>
        <v>44835</v>
      </c>
      <c r="AR123" s="82">
        <f t="shared" si="79"/>
        <v>44842</v>
      </c>
      <c r="AS123" s="82">
        <f t="shared" si="79"/>
        <v>44849</v>
      </c>
      <c r="AT123" s="82">
        <f t="shared" si="79"/>
        <v>44856</v>
      </c>
      <c r="AU123" s="82">
        <f t="shared" si="79"/>
        <v>44863</v>
      </c>
      <c r="AV123" s="82">
        <f t="shared" si="79"/>
        <v>44870</v>
      </c>
      <c r="AW123" s="82">
        <f t="shared" si="79"/>
        <v>44877</v>
      </c>
      <c r="AX123" s="82">
        <f t="shared" si="79"/>
        <v>44884</v>
      </c>
      <c r="AY123" s="82">
        <f t="shared" si="79"/>
        <v>44891</v>
      </c>
      <c r="AZ123" s="82">
        <f t="shared" si="79"/>
        <v>44898</v>
      </c>
      <c r="BA123" s="82">
        <f t="shared" si="79"/>
        <v>44905</v>
      </c>
      <c r="BB123" s="82">
        <f t="shared" si="79"/>
        <v>44912</v>
      </c>
      <c r="BC123" s="82">
        <f t="shared" si="79"/>
        <v>44919</v>
      </c>
      <c r="BD123" s="82">
        <f t="shared" si="79"/>
        <v>44926</v>
      </c>
    </row>
    <row r="124" spans="2:56" x14ac:dyDescent="0.25">
      <c r="C124" s="43"/>
      <c r="D124" s="79" t="s">
        <v>33</v>
      </c>
      <c r="E124" s="44">
        <f>SUM(E7,E40,E62,E85,E107)</f>
        <v>249.87427980826627</v>
      </c>
      <c r="F124" s="44">
        <f t="shared" ref="F124:BD124" si="80">SUM(F7,F40,F62,F85,F107)</f>
        <v>201.62188021282458</v>
      </c>
      <c r="G124" s="44">
        <f t="shared" si="80"/>
        <v>155.46952938763744</v>
      </c>
      <c r="H124" s="44">
        <f t="shared" si="80"/>
        <v>144.33803630258038</v>
      </c>
      <c r="I124" s="44">
        <f t="shared" si="80"/>
        <v>140.24692578653088</v>
      </c>
      <c r="J124" s="44">
        <f t="shared" si="80"/>
        <v>126.79178972963622</v>
      </c>
      <c r="K124" s="44">
        <f t="shared" si="80"/>
        <v>106.13914047926204</v>
      </c>
      <c r="L124" s="44">
        <f t="shared" si="80"/>
        <v>108.04928678209595</v>
      </c>
      <c r="M124" s="44">
        <f t="shared" si="80"/>
        <v>105.9595652187401</v>
      </c>
      <c r="N124" s="44">
        <f t="shared" si="80"/>
        <v>119.8533373436849</v>
      </c>
      <c r="O124" s="44">
        <f t="shared" si="80"/>
        <v>137.0115823231628</v>
      </c>
      <c r="P124" s="44">
        <f t="shared" si="80"/>
        <v>135.20353767463632</v>
      </c>
      <c r="Q124" s="44">
        <f t="shared" si="80"/>
        <v>109.19592874846334</v>
      </c>
      <c r="R124" s="44">
        <f t="shared" si="80"/>
        <v>108.54796033034026</v>
      </c>
      <c r="S124" s="44">
        <f t="shared" si="80"/>
        <v>110.62473215238691</v>
      </c>
      <c r="T124" s="44">
        <f t="shared" si="80"/>
        <v>117.15182614647193</v>
      </c>
      <c r="U124" s="44">
        <f t="shared" si="80"/>
        <v>119.09950234361399</v>
      </c>
      <c r="V124" s="44">
        <f t="shared" si="80"/>
        <v>132.88963537492486</v>
      </c>
      <c r="W124" s="44">
        <f t="shared" si="80"/>
        <v>129.50520628507985</v>
      </c>
      <c r="X124" s="44">
        <f t="shared" si="80"/>
        <v>125.39405672982889</v>
      </c>
      <c r="Y124" s="44">
        <f t="shared" si="80"/>
        <v>115.30115800558292</v>
      </c>
      <c r="Z124" s="44">
        <f t="shared" si="80"/>
        <v>108.48277268008147</v>
      </c>
      <c r="AA124" s="44">
        <f t="shared" si="80"/>
        <v>122.86879912650537</v>
      </c>
      <c r="AB124" s="44">
        <f t="shared" si="80"/>
        <v>116.58497062303621</v>
      </c>
      <c r="AC124" s="44">
        <f t="shared" si="80"/>
        <v>109.17896167043004</v>
      </c>
      <c r="AD124" s="44">
        <f t="shared" si="80"/>
        <v>98.283482783351161</v>
      </c>
      <c r="AE124" s="44">
        <f t="shared" si="80"/>
        <v>88.902252036035335</v>
      </c>
      <c r="AF124" s="44">
        <f t="shared" si="80"/>
        <v>98.313448150056587</v>
      </c>
      <c r="AG124" s="44">
        <f t="shared" si="80"/>
        <v>88.421181321601921</v>
      </c>
      <c r="AH124" s="44">
        <f t="shared" si="80"/>
        <v>105.06704628713175</v>
      </c>
      <c r="AI124" s="44">
        <f t="shared" si="80"/>
        <v>107.5435984981457</v>
      </c>
      <c r="AJ124" s="44">
        <f t="shared" si="80"/>
        <v>120.07002632559352</v>
      </c>
      <c r="AK124" s="44">
        <f t="shared" si="80"/>
        <v>123.52024626738829</v>
      </c>
      <c r="AL124" s="44">
        <f t="shared" si="80"/>
        <v>122.19362939985659</v>
      </c>
      <c r="AM124" s="44">
        <f t="shared" si="80"/>
        <v>119.8388776617407</v>
      </c>
      <c r="AN124" s="44">
        <f t="shared" si="80"/>
        <v>106.06564971073982</v>
      </c>
      <c r="AO124" s="44">
        <f t="shared" si="80"/>
        <v>107.87311840636296</v>
      </c>
      <c r="AP124" s="44">
        <f t="shared" si="80"/>
        <v>113.66889010142197</v>
      </c>
      <c r="AQ124" s="44">
        <f t="shared" si="80"/>
        <v>124.07234655411494</v>
      </c>
      <c r="AR124" s="44">
        <f t="shared" si="80"/>
        <v>122.30813145818615</v>
      </c>
      <c r="AS124" s="44">
        <f t="shared" si="80"/>
        <v>128.46477442636728</v>
      </c>
      <c r="AT124" s="44">
        <f t="shared" si="80"/>
        <v>131.69029967624681</v>
      </c>
      <c r="AU124" s="44">
        <f t="shared" si="80"/>
        <v>143.07045109069435</v>
      </c>
      <c r="AV124" s="44">
        <f t="shared" si="80"/>
        <v>169.42938608838841</v>
      </c>
      <c r="AW124" s="44">
        <f t="shared" si="80"/>
        <v>193.87844468306861</v>
      </c>
      <c r="AX124" s="44">
        <f t="shared" si="80"/>
        <v>194.69629198562754</v>
      </c>
      <c r="AY124" s="44">
        <f t="shared" si="80"/>
        <v>365.53476582566282</v>
      </c>
      <c r="AZ124" s="44">
        <f t="shared" si="80"/>
        <v>484.2813691989254</v>
      </c>
      <c r="BA124" s="44">
        <f t="shared" si="80"/>
        <v>443.85058800388163</v>
      </c>
      <c r="BB124" s="44">
        <f t="shared" si="80"/>
        <v>383.56304163807181</v>
      </c>
      <c r="BC124" s="44">
        <f t="shared" si="80"/>
        <v>233.16722144957401</v>
      </c>
      <c r="BD124" s="44">
        <f t="shared" si="80"/>
        <v>205.39800031216487</v>
      </c>
    </row>
    <row r="125" spans="2:56" x14ac:dyDescent="0.25">
      <c r="B125" s="73"/>
      <c r="C125" s="103" t="s">
        <v>33</v>
      </c>
      <c r="D125" s="73" t="str">
        <f t="shared" ref="D125:D131" si="81">D18&amp;" VERTICAL REQ"</f>
        <v>Melbourne VERTICAL REQ</v>
      </c>
      <c r="E125" s="76">
        <f>IFERROR(E$124*SUM(E136/SUM(E$136:E$142)),0)</f>
        <v>65.479519320625698</v>
      </c>
      <c r="F125" s="76">
        <f t="shared" ref="F125:BD126" si="82">IFERROR(F$124*SUM(F136/SUM(F$136:F$142)),0)</f>
        <v>54.655183934129113</v>
      </c>
      <c r="G125" s="76">
        <f t="shared" si="82"/>
        <v>45.60273926382601</v>
      </c>
      <c r="H125" s="76">
        <f t="shared" si="82"/>
        <v>27.199977275247658</v>
      </c>
      <c r="I125" s="76">
        <f t="shared" si="82"/>
        <v>25.298946467578642</v>
      </c>
      <c r="J125" s="76">
        <f t="shared" si="82"/>
        <v>23.010969064798967</v>
      </c>
      <c r="K125" s="76">
        <f t="shared" si="82"/>
        <v>21.056635933789082</v>
      </c>
      <c r="L125" s="76">
        <f t="shared" si="82"/>
        <v>21.996084100801571</v>
      </c>
      <c r="M125" s="76">
        <f t="shared" si="82"/>
        <v>24.905108104803578</v>
      </c>
      <c r="N125" s="76">
        <f t="shared" si="82"/>
        <v>28.677634898961696</v>
      </c>
      <c r="O125" s="76">
        <f t="shared" si="82"/>
        <v>34.515594861163088</v>
      </c>
      <c r="P125" s="76">
        <f t="shared" si="82"/>
        <v>35.183541350044024</v>
      </c>
      <c r="Q125" s="76">
        <f t="shared" si="82"/>
        <v>28.886567405360086</v>
      </c>
      <c r="R125" s="76">
        <f t="shared" si="82"/>
        <v>28.94183824872502</v>
      </c>
      <c r="S125" s="76">
        <f t="shared" si="82"/>
        <v>28.769555946232664</v>
      </c>
      <c r="T125" s="76">
        <f t="shared" si="82"/>
        <v>30.375380665452809</v>
      </c>
      <c r="U125" s="76">
        <f t="shared" si="82"/>
        <v>33.466281704632294</v>
      </c>
      <c r="V125" s="76">
        <f t="shared" si="82"/>
        <v>35.676817649156781</v>
      </c>
      <c r="W125" s="76">
        <f t="shared" si="82"/>
        <v>33.855687773273004</v>
      </c>
      <c r="X125" s="76">
        <f t="shared" si="82"/>
        <v>32.859594522951483</v>
      </c>
      <c r="Y125" s="76">
        <f t="shared" si="82"/>
        <v>29.196362467243265</v>
      </c>
      <c r="Z125" s="76">
        <f t="shared" si="82"/>
        <v>27.607756432586132</v>
      </c>
      <c r="AA125" s="76">
        <f t="shared" si="82"/>
        <v>32.908052895632864</v>
      </c>
      <c r="AB125" s="76">
        <f t="shared" si="82"/>
        <v>31.19605738318689</v>
      </c>
      <c r="AC125" s="76">
        <f t="shared" si="82"/>
        <v>29.187691923176057</v>
      </c>
      <c r="AD125" s="76">
        <f t="shared" si="82"/>
        <v>25.539782244642645</v>
      </c>
      <c r="AE125" s="76">
        <f t="shared" si="82"/>
        <v>23.08194800680231</v>
      </c>
      <c r="AF125" s="76">
        <f t="shared" si="82"/>
        <v>25.268585137686188</v>
      </c>
      <c r="AG125" s="76">
        <f t="shared" si="82"/>
        <v>22.707255211500755</v>
      </c>
      <c r="AH125" s="76">
        <f t="shared" si="82"/>
        <v>25.168323169622763</v>
      </c>
      <c r="AI125" s="76">
        <f t="shared" si="82"/>
        <v>24.432141204005642</v>
      </c>
      <c r="AJ125" s="76">
        <f t="shared" si="82"/>
        <v>24.845853079231322</v>
      </c>
      <c r="AK125" s="76">
        <f t="shared" si="82"/>
        <v>25.558270196237434</v>
      </c>
      <c r="AL125" s="76">
        <f t="shared" si="82"/>
        <v>24.677347619046053</v>
      </c>
      <c r="AM125" s="76">
        <f t="shared" si="82"/>
        <v>24.195498944935515</v>
      </c>
      <c r="AN125" s="76">
        <f t="shared" si="82"/>
        <v>21.293891873879325</v>
      </c>
      <c r="AO125" s="76">
        <f t="shared" si="82"/>
        <v>21.536143617396267</v>
      </c>
      <c r="AP125" s="76">
        <f t="shared" si="82"/>
        <v>22.568527525465289</v>
      </c>
      <c r="AQ125" s="76">
        <f t="shared" si="82"/>
        <v>19.391018310159311</v>
      </c>
      <c r="AR125" s="76">
        <f t="shared" si="82"/>
        <v>19.042024757541743</v>
      </c>
      <c r="AS125" s="76">
        <f t="shared" si="82"/>
        <v>17.123052259577097</v>
      </c>
      <c r="AT125" s="76">
        <f t="shared" si="82"/>
        <v>16.729618400203865</v>
      </c>
      <c r="AU125" s="76">
        <f t="shared" si="82"/>
        <v>14.199394359192302</v>
      </c>
      <c r="AV125" s="76">
        <f t="shared" si="82"/>
        <v>14.259597648820181</v>
      </c>
      <c r="AW125" s="76">
        <f t="shared" si="82"/>
        <v>13.23156350290256</v>
      </c>
      <c r="AX125" s="76">
        <f t="shared" si="82"/>
        <v>9.7002612999673037</v>
      </c>
      <c r="AY125" s="76">
        <f t="shared" si="82"/>
        <v>33.882713335856842</v>
      </c>
      <c r="AZ125" s="76">
        <f t="shared" si="82"/>
        <v>44.110891787776382</v>
      </c>
      <c r="BA125" s="76">
        <f t="shared" si="82"/>
        <v>38.899578948119135</v>
      </c>
      <c r="BB125" s="76">
        <f t="shared" si="82"/>
        <v>32.911085485638175</v>
      </c>
      <c r="BC125" s="76">
        <f t="shared" si="82"/>
        <v>19.622282873069597</v>
      </c>
      <c r="BD125" s="76">
        <f t="shared" si="82"/>
        <v>17.051396268160641</v>
      </c>
    </row>
    <row r="126" spans="2:56" x14ac:dyDescent="0.25">
      <c r="B126" s="73"/>
      <c r="C126" s="103"/>
      <c r="D126" s="73" t="str">
        <f t="shared" si="81"/>
        <v>Virtual VERTICAL REQ</v>
      </c>
      <c r="E126" s="76">
        <f>IFERROR(E$124*SUM(E137/SUM(E$136:E$142)),0)</f>
        <v>77.815922223137164</v>
      </c>
      <c r="F126" s="76">
        <f t="shared" si="82"/>
        <v>55.07735707206357</v>
      </c>
      <c r="G126" s="76">
        <f t="shared" si="82"/>
        <v>34.093377924430982</v>
      </c>
      <c r="H126" s="76">
        <f t="shared" si="82"/>
        <v>31.633179969004697</v>
      </c>
      <c r="I126" s="76">
        <f t="shared" si="82"/>
        <v>32.911957181627869</v>
      </c>
      <c r="J126" s="76">
        <f t="shared" si="82"/>
        <v>29.935476939285827</v>
      </c>
      <c r="K126" s="76">
        <f t="shared" si="82"/>
        <v>18.108326476031802</v>
      </c>
      <c r="L126" s="76">
        <f t="shared" si="82"/>
        <v>17.201220371761742</v>
      </c>
      <c r="M126" s="76">
        <f t="shared" si="82"/>
        <v>29.765109917773341</v>
      </c>
      <c r="N126" s="76">
        <f t="shared" si="82"/>
        <v>33.7550580991578</v>
      </c>
      <c r="O126" s="76">
        <f t="shared" si="82"/>
        <v>40.31352250797022</v>
      </c>
      <c r="P126" s="76">
        <f t="shared" si="82"/>
        <v>36.610464134222845</v>
      </c>
      <c r="Q126" s="76">
        <f t="shared" si="82"/>
        <v>30.062556455911388</v>
      </c>
      <c r="R126" s="76">
        <f t="shared" si="82"/>
        <v>29.263176201153506</v>
      </c>
      <c r="S126" s="76">
        <f t="shared" si="82"/>
        <v>30.417347850273863</v>
      </c>
      <c r="T126" s="76">
        <f t="shared" si="82"/>
        <v>33.00936355529717</v>
      </c>
      <c r="U126" s="76">
        <f t="shared" si="82"/>
        <v>32.713814626127842</v>
      </c>
      <c r="V126" s="76">
        <f t="shared" si="82"/>
        <v>33.020587430022481</v>
      </c>
      <c r="W126" s="76">
        <f t="shared" si="82"/>
        <v>32.153739045304903</v>
      </c>
      <c r="X126" s="76">
        <f t="shared" si="82"/>
        <v>30.426499059443771</v>
      </c>
      <c r="Y126" s="76">
        <f t="shared" si="82"/>
        <v>27.015532706602286</v>
      </c>
      <c r="Z126" s="76">
        <f t="shared" si="82"/>
        <v>25.527444865952084</v>
      </c>
      <c r="AA126" s="76">
        <f t="shared" si="82"/>
        <v>30.415330983584699</v>
      </c>
      <c r="AB126" s="76">
        <f t="shared" si="82"/>
        <v>28.8205956416531</v>
      </c>
      <c r="AC126" s="76">
        <f t="shared" si="82"/>
        <v>26.953467218972339</v>
      </c>
      <c r="AD126" s="76">
        <f t="shared" si="82"/>
        <v>23.574500117353466</v>
      </c>
      <c r="AE126" s="76">
        <f t="shared" si="82"/>
        <v>21.296437483838837</v>
      </c>
      <c r="AF126" s="76">
        <f t="shared" si="82"/>
        <v>23.303621517022286</v>
      </c>
      <c r="AG126" s="76">
        <f t="shared" si="82"/>
        <v>20.932154389454759</v>
      </c>
      <c r="AH126" s="76">
        <f t="shared" si="82"/>
        <v>30.173598563553892</v>
      </c>
      <c r="AI126" s="76">
        <f t="shared" si="82"/>
        <v>29.248176772266831</v>
      </c>
      <c r="AJ126" s="76">
        <f t="shared" si="82"/>
        <v>38.466772521952144</v>
      </c>
      <c r="AK126" s="76">
        <f t="shared" si="82"/>
        <v>39.480046804874469</v>
      </c>
      <c r="AL126" s="76">
        <f t="shared" si="82"/>
        <v>38.046769211560076</v>
      </c>
      <c r="AM126" s="76">
        <f t="shared" si="82"/>
        <v>37.246898912112322</v>
      </c>
      <c r="AN126" s="76">
        <f t="shared" si="82"/>
        <v>32.667890659265524</v>
      </c>
      <c r="AO126" s="76">
        <f t="shared" si="82"/>
        <v>32.924805284035813</v>
      </c>
      <c r="AP126" s="76">
        <f t="shared" si="82"/>
        <v>34.38166104015427</v>
      </c>
      <c r="AQ126" s="76">
        <f t="shared" si="82"/>
        <v>48.842073042789671</v>
      </c>
      <c r="AR126" s="76">
        <f t="shared" si="82"/>
        <v>47.738378571144942</v>
      </c>
      <c r="AS126" s="76">
        <f t="shared" si="82"/>
        <v>60.793102292934243</v>
      </c>
      <c r="AT126" s="76">
        <f t="shared" si="82"/>
        <v>54.907929928965842</v>
      </c>
      <c r="AU126" s="76">
        <f t="shared" si="82"/>
        <v>77.57969428205071</v>
      </c>
      <c r="AV126" s="76">
        <f t="shared" si="82"/>
        <v>66.022735829851598</v>
      </c>
      <c r="AW126" s="76">
        <f t="shared" si="82"/>
        <v>90.652610771300743</v>
      </c>
      <c r="AX126" s="76">
        <f t="shared" si="82"/>
        <v>77.249444228725253</v>
      </c>
      <c r="AY126" s="76">
        <f t="shared" si="82"/>
        <v>164.47368269156169</v>
      </c>
      <c r="AZ126" s="76">
        <f t="shared" si="82"/>
        <v>213.7235615126724</v>
      </c>
      <c r="BA126" s="76">
        <f t="shared" si="82"/>
        <v>188.10236011953222</v>
      </c>
      <c r="BB126" s="76">
        <f t="shared" si="82"/>
        <v>158.21445104894602</v>
      </c>
      <c r="BC126" s="76">
        <f t="shared" si="82"/>
        <v>93.497240543118849</v>
      </c>
      <c r="BD126" s="76">
        <f t="shared" si="82"/>
        <v>79.645408092482029</v>
      </c>
    </row>
    <row r="127" spans="2:56" x14ac:dyDescent="0.25">
      <c r="B127" s="73"/>
      <c r="C127" s="103"/>
      <c r="D127" s="73" t="str">
        <f t="shared" si="81"/>
        <v>Brunswick VERTICAL REQ</v>
      </c>
      <c r="E127" s="76">
        <f t="shared" ref="E127:BD127" si="83">IFERROR(E$124*SUM(E138/SUM(E$136:E$142)),0)</f>
        <v>0</v>
      </c>
      <c r="F127" s="76">
        <f t="shared" si="83"/>
        <v>0</v>
      </c>
      <c r="G127" s="76">
        <f t="shared" si="83"/>
        <v>0</v>
      </c>
      <c r="H127" s="76">
        <f t="shared" si="83"/>
        <v>0</v>
      </c>
      <c r="I127" s="76">
        <f t="shared" si="83"/>
        <v>0</v>
      </c>
      <c r="J127" s="76">
        <f t="shared" si="83"/>
        <v>0</v>
      </c>
      <c r="K127" s="76">
        <f t="shared" si="83"/>
        <v>0</v>
      </c>
      <c r="L127" s="76">
        <f t="shared" si="83"/>
        <v>0</v>
      </c>
      <c r="M127" s="76">
        <f t="shared" si="83"/>
        <v>0</v>
      </c>
      <c r="N127" s="76">
        <f t="shared" si="83"/>
        <v>0</v>
      </c>
      <c r="O127" s="76">
        <f t="shared" si="83"/>
        <v>0</v>
      </c>
      <c r="P127" s="76">
        <f t="shared" si="83"/>
        <v>0</v>
      </c>
      <c r="Q127" s="76">
        <f t="shared" si="83"/>
        <v>0</v>
      </c>
      <c r="R127" s="76">
        <f t="shared" si="83"/>
        <v>0</v>
      </c>
      <c r="S127" s="76">
        <f t="shared" si="83"/>
        <v>0</v>
      </c>
      <c r="T127" s="76">
        <f t="shared" si="83"/>
        <v>0</v>
      </c>
      <c r="U127" s="76">
        <f t="shared" si="83"/>
        <v>0</v>
      </c>
      <c r="V127" s="76">
        <f t="shared" si="83"/>
        <v>0</v>
      </c>
      <c r="W127" s="76">
        <f t="shared" si="83"/>
        <v>0</v>
      </c>
      <c r="X127" s="76">
        <f t="shared" si="83"/>
        <v>0</v>
      </c>
      <c r="Y127" s="76">
        <f t="shared" si="83"/>
        <v>0</v>
      </c>
      <c r="Z127" s="76">
        <f t="shared" si="83"/>
        <v>0</v>
      </c>
      <c r="AA127" s="76">
        <f t="shared" si="83"/>
        <v>0</v>
      </c>
      <c r="AB127" s="76">
        <f t="shared" si="83"/>
        <v>0</v>
      </c>
      <c r="AC127" s="76">
        <f t="shared" si="83"/>
        <v>0</v>
      </c>
      <c r="AD127" s="76">
        <f t="shared" si="83"/>
        <v>0</v>
      </c>
      <c r="AE127" s="76">
        <f t="shared" si="83"/>
        <v>0</v>
      </c>
      <c r="AF127" s="76">
        <f t="shared" si="83"/>
        <v>0</v>
      </c>
      <c r="AG127" s="76">
        <f t="shared" si="83"/>
        <v>0</v>
      </c>
      <c r="AH127" s="76">
        <f t="shared" si="83"/>
        <v>0</v>
      </c>
      <c r="AI127" s="76">
        <f t="shared" si="83"/>
        <v>0</v>
      </c>
      <c r="AJ127" s="76">
        <f t="shared" si="83"/>
        <v>0</v>
      </c>
      <c r="AK127" s="76">
        <f t="shared" si="83"/>
        <v>0</v>
      </c>
      <c r="AL127" s="76">
        <f t="shared" si="83"/>
        <v>0</v>
      </c>
      <c r="AM127" s="76">
        <f t="shared" si="83"/>
        <v>0</v>
      </c>
      <c r="AN127" s="76">
        <f t="shared" si="83"/>
        <v>0</v>
      </c>
      <c r="AO127" s="76">
        <f t="shared" si="83"/>
        <v>0</v>
      </c>
      <c r="AP127" s="76">
        <f t="shared" si="83"/>
        <v>0</v>
      </c>
      <c r="AQ127" s="76">
        <f t="shared" si="83"/>
        <v>0</v>
      </c>
      <c r="AR127" s="76">
        <f t="shared" si="83"/>
        <v>0</v>
      </c>
      <c r="AS127" s="76">
        <f t="shared" si="83"/>
        <v>0</v>
      </c>
      <c r="AT127" s="76">
        <f t="shared" si="83"/>
        <v>0</v>
      </c>
      <c r="AU127" s="76">
        <f t="shared" si="83"/>
        <v>0</v>
      </c>
      <c r="AV127" s="76">
        <f t="shared" si="83"/>
        <v>0</v>
      </c>
      <c r="AW127" s="76">
        <f t="shared" si="83"/>
        <v>0</v>
      </c>
      <c r="AX127" s="76">
        <f t="shared" si="83"/>
        <v>0</v>
      </c>
      <c r="AY127" s="76">
        <f t="shared" si="83"/>
        <v>0</v>
      </c>
      <c r="AZ127" s="76">
        <f t="shared" si="83"/>
        <v>0</v>
      </c>
      <c r="BA127" s="76">
        <f t="shared" si="83"/>
        <v>0</v>
      </c>
      <c r="BB127" s="76">
        <f t="shared" si="83"/>
        <v>0</v>
      </c>
      <c r="BC127" s="76">
        <f t="shared" si="83"/>
        <v>0</v>
      </c>
      <c r="BD127" s="76">
        <f t="shared" si="83"/>
        <v>0</v>
      </c>
    </row>
    <row r="128" spans="2:56" x14ac:dyDescent="0.25">
      <c r="B128" s="73"/>
      <c r="C128" s="103"/>
      <c r="D128" s="73" t="str">
        <f t="shared" si="81"/>
        <v>Melbourne North VERTICAL REQ</v>
      </c>
      <c r="E128" s="76">
        <f t="shared" ref="E128:BD128" si="84">IFERROR(E$124*SUM(E139/SUM(E$136:E$142)),0)</f>
        <v>0</v>
      </c>
      <c r="F128" s="76">
        <f t="shared" si="84"/>
        <v>0</v>
      </c>
      <c r="G128" s="76">
        <f t="shared" si="84"/>
        <v>0</v>
      </c>
      <c r="H128" s="76">
        <f t="shared" si="84"/>
        <v>0</v>
      </c>
      <c r="I128" s="76">
        <f t="shared" si="84"/>
        <v>0</v>
      </c>
      <c r="J128" s="76">
        <f t="shared" si="84"/>
        <v>0</v>
      </c>
      <c r="K128" s="76">
        <f t="shared" si="84"/>
        <v>0</v>
      </c>
      <c r="L128" s="76">
        <f t="shared" si="84"/>
        <v>0</v>
      </c>
      <c r="M128" s="76">
        <f t="shared" si="84"/>
        <v>0</v>
      </c>
      <c r="N128" s="76">
        <f t="shared" si="84"/>
        <v>0</v>
      </c>
      <c r="O128" s="76">
        <f t="shared" si="84"/>
        <v>0</v>
      </c>
      <c r="P128" s="76">
        <f t="shared" si="84"/>
        <v>0</v>
      </c>
      <c r="Q128" s="76">
        <f t="shared" si="84"/>
        <v>0</v>
      </c>
      <c r="R128" s="76">
        <f t="shared" si="84"/>
        <v>0</v>
      </c>
      <c r="S128" s="76">
        <f t="shared" si="84"/>
        <v>0</v>
      </c>
      <c r="T128" s="76">
        <f t="shared" si="84"/>
        <v>0</v>
      </c>
      <c r="U128" s="76">
        <f t="shared" si="84"/>
        <v>0</v>
      </c>
      <c r="V128" s="76">
        <f t="shared" si="84"/>
        <v>0</v>
      </c>
      <c r="W128" s="76">
        <f t="shared" si="84"/>
        <v>0</v>
      </c>
      <c r="X128" s="76">
        <f t="shared" si="84"/>
        <v>0</v>
      </c>
      <c r="Y128" s="76">
        <f t="shared" si="84"/>
        <v>0</v>
      </c>
      <c r="Z128" s="76">
        <f t="shared" si="84"/>
        <v>0</v>
      </c>
      <c r="AA128" s="76">
        <f t="shared" si="84"/>
        <v>0</v>
      </c>
      <c r="AB128" s="76">
        <f t="shared" si="84"/>
        <v>0</v>
      </c>
      <c r="AC128" s="76">
        <f t="shared" si="84"/>
        <v>0</v>
      </c>
      <c r="AD128" s="76">
        <f t="shared" si="84"/>
        <v>0</v>
      </c>
      <c r="AE128" s="76">
        <f t="shared" si="84"/>
        <v>0</v>
      </c>
      <c r="AF128" s="76">
        <f t="shared" si="84"/>
        <v>0</v>
      </c>
      <c r="AG128" s="76">
        <f t="shared" si="84"/>
        <v>0</v>
      </c>
      <c r="AH128" s="76">
        <f t="shared" si="84"/>
        <v>0</v>
      </c>
      <c r="AI128" s="76">
        <f t="shared" si="84"/>
        <v>0</v>
      </c>
      <c r="AJ128" s="76">
        <f t="shared" si="84"/>
        <v>0</v>
      </c>
      <c r="AK128" s="76">
        <f t="shared" si="84"/>
        <v>0</v>
      </c>
      <c r="AL128" s="76">
        <f t="shared" si="84"/>
        <v>0</v>
      </c>
      <c r="AM128" s="76">
        <f t="shared" si="84"/>
        <v>0</v>
      </c>
      <c r="AN128" s="76">
        <f t="shared" si="84"/>
        <v>0</v>
      </c>
      <c r="AO128" s="76">
        <f t="shared" si="84"/>
        <v>0</v>
      </c>
      <c r="AP128" s="76">
        <f t="shared" si="84"/>
        <v>0</v>
      </c>
      <c r="AQ128" s="76">
        <f t="shared" si="84"/>
        <v>0</v>
      </c>
      <c r="AR128" s="76">
        <f t="shared" si="84"/>
        <v>0</v>
      </c>
      <c r="AS128" s="76">
        <f t="shared" si="84"/>
        <v>0</v>
      </c>
      <c r="AT128" s="76">
        <f t="shared" si="84"/>
        <v>0</v>
      </c>
      <c r="AU128" s="76">
        <f t="shared" si="84"/>
        <v>0</v>
      </c>
      <c r="AV128" s="76">
        <f t="shared" si="84"/>
        <v>0</v>
      </c>
      <c r="AW128" s="76">
        <f t="shared" si="84"/>
        <v>0</v>
      </c>
      <c r="AX128" s="76">
        <f t="shared" si="84"/>
        <v>0</v>
      </c>
      <c r="AY128" s="76">
        <f t="shared" si="84"/>
        <v>0</v>
      </c>
      <c r="AZ128" s="76">
        <f t="shared" si="84"/>
        <v>0</v>
      </c>
      <c r="BA128" s="76">
        <f t="shared" si="84"/>
        <v>0</v>
      </c>
      <c r="BB128" s="76">
        <f t="shared" si="84"/>
        <v>0</v>
      </c>
      <c r="BC128" s="76">
        <f t="shared" si="84"/>
        <v>0</v>
      </c>
      <c r="BD128" s="76">
        <f t="shared" si="84"/>
        <v>0</v>
      </c>
    </row>
    <row r="129" spans="2:56" x14ac:dyDescent="0.25">
      <c r="B129" s="73"/>
      <c r="C129" s="103"/>
      <c r="D129" s="73" t="str">
        <f t="shared" si="81"/>
        <v>Pueblo VERTICAL REQ</v>
      </c>
      <c r="E129" s="76">
        <f t="shared" ref="E129:BD129" si="85">IFERROR(E$124*SUM(E140/SUM(E$136:E$142)),0)</f>
        <v>27.994634721814812</v>
      </c>
      <c r="F129" s="76">
        <f t="shared" si="85"/>
        <v>27.697372336086115</v>
      </c>
      <c r="G129" s="76">
        <f t="shared" si="85"/>
        <v>22.573666439946564</v>
      </c>
      <c r="H129" s="76">
        <f t="shared" si="85"/>
        <v>17.453146119113594</v>
      </c>
      <c r="I129" s="76">
        <f t="shared" si="85"/>
        <v>18.311517413876071</v>
      </c>
      <c r="J129" s="76">
        <f t="shared" si="85"/>
        <v>16.655466712031775</v>
      </c>
      <c r="K129" s="76">
        <f t="shared" si="85"/>
        <v>13.904607829810134</v>
      </c>
      <c r="L129" s="76">
        <f t="shared" si="85"/>
        <v>13.838221646285872</v>
      </c>
      <c r="M129" s="76">
        <f t="shared" si="85"/>
        <v>0</v>
      </c>
      <c r="N129" s="76">
        <f t="shared" si="85"/>
        <v>0</v>
      </c>
      <c r="O129" s="76">
        <f t="shared" si="85"/>
        <v>0</v>
      </c>
      <c r="P129" s="76">
        <f t="shared" si="85"/>
        <v>0</v>
      </c>
      <c r="Q129" s="76">
        <f t="shared" si="85"/>
        <v>0</v>
      </c>
      <c r="R129" s="76">
        <f t="shared" si="85"/>
        <v>0</v>
      </c>
      <c r="S129" s="76">
        <f t="shared" si="85"/>
        <v>0</v>
      </c>
      <c r="T129" s="76">
        <f t="shared" si="85"/>
        <v>0</v>
      </c>
      <c r="U129" s="76">
        <f t="shared" si="85"/>
        <v>0</v>
      </c>
      <c r="V129" s="76">
        <f t="shared" si="85"/>
        <v>0</v>
      </c>
      <c r="W129" s="76">
        <f t="shared" si="85"/>
        <v>0</v>
      </c>
      <c r="X129" s="76">
        <f t="shared" si="85"/>
        <v>0</v>
      </c>
      <c r="Y129" s="76">
        <f t="shared" si="85"/>
        <v>0</v>
      </c>
      <c r="Z129" s="76">
        <f t="shared" si="85"/>
        <v>0</v>
      </c>
      <c r="AA129" s="76">
        <f t="shared" si="85"/>
        <v>0</v>
      </c>
      <c r="AB129" s="76">
        <f t="shared" si="85"/>
        <v>0</v>
      </c>
      <c r="AC129" s="76">
        <f t="shared" si="85"/>
        <v>0</v>
      </c>
      <c r="AD129" s="76">
        <f t="shared" si="85"/>
        <v>0</v>
      </c>
      <c r="AE129" s="76">
        <f t="shared" si="85"/>
        <v>0</v>
      </c>
      <c r="AF129" s="76">
        <f t="shared" si="85"/>
        <v>0</v>
      </c>
      <c r="AG129" s="76">
        <f t="shared" si="85"/>
        <v>0</v>
      </c>
      <c r="AH129" s="76">
        <f t="shared" si="85"/>
        <v>0</v>
      </c>
      <c r="AI129" s="76">
        <f t="shared" si="85"/>
        <v>0</v>
      </c>
      <c r="AJ129" s="76">
        <f t="shared" si="85"/>
        <v>0</v>
      </c>
      <c r="AK129" s="76">
        <f t="shared" si="85"/>
        <v>0</v>
      </c>
      <c r="AL129" s="76">
        <f t="shared" si="85"/>
        <v>0</v>
      </c>
      <c r="AM129" s="76">
        <f t="shared" si="85"/>
        <v>0</v>
      </c>
      <c r="AN129" s="76">
        <f t="shared" si="85"/>
        <v>0</v>
      </c>
      <c r="AO129" s="76">
        <f t="shared" si="85"/>
        <v>0</v>
      </c>
      <c r="AP129" s="76">
        <f t="shared" si="85"/>
        <v>0</v>
      </c>
      <c r="AQ129" s="76">
        <f t="shared" si="85"/>
        <v>0</v>
      </c>
      <c r="AR129" s="76">
        <f t="shared" si="85"/>
        <v>0</v>
      </c>
      <c r="AS129" s="76">
        <f t="shared" si="85"/>
        <v>0</v>
      </c>
      <c r="AT129" s="76">
        <f t="shared" si="85"/>
        <v>0</v>
      </c>
      <c r="AU129" s="76">
        <f t="shared" si="85"/>
        <v>0</v>
      </c>
      <c r="AV129" s="76">
        <f t="shared" si="85"/>
        <v>0</v>
      </c>
      <c r="AW129" s="76">
        <f t="shared" si="85"/>
        <v>0</v>
      </c>
      <c r="AX129" s="76">
        <f t="shared" si="85"/>
        <v>0</v>
      </c>
      <c r="AY129" s="76">
        <f t="shared" si="85"/>
        <v>0</v>
      </c>
      <c r="AZ129" s="76">
        <f t="shared" si="85"/>
        <v>0</v>
      </c>
      <c r="BA129" s="76">
        <f t="shared" si="85"/>
        <v>0</v>
      </c>
      <c r="BB129" s="76">
        <f t="shared" si="85"/>
        <v>0</v>
      </c>
      <c r="BC129" s="76">
        <f t="shared" si="85"/>
        <v>0</v>
      </c>
      <c r="BD129" s="76">
        <f t="shared" si="85"/>
        <v>0</v>
      </c>
    </row>
    <row r="130" spans="2:56" x14ac:dyDescent="0.25">
      <c r="B130" s="73"/>
      <c r="C130" s="103"/>
      <c r="D130" s="73" t="str">
        <f t="shared" si="81"/>
        <v>Iloilo VERTICAL REQ</v>
      </c>
      <c r="E130" s="76">
        <f t="shared" ref="E130:BD130" si="86">IFERROR(E$124*SUM(E141/SUM(E$136:E$142)),0)</f>
        <v>50.926076038837294</v>
      </c>
      <c r="F130" s="76">
        <f t="shared" si="86"/>
        <v>39.835824297404464</v>
      </c>
      <c r="G130" s="76">
        <f t="shared" si="86"/>
        <v>36.432510714631775</v>
      </c>
      <c r="H130" s="76">
        <f t="shared" si="86"/>
        <v>52.204069104054909</v>
      </c>
      <c r="I130" s="76">
        <f t="shared" si="86"/>
        <v>47.501793870390735</v>
      </c>
      <c r="J130" s="76">
        <f t="shared" si="86"/>
        <v>42.434310094348469</v>
      </c>
      <c r="K130" s="76">
        <f t="shared" si="86"/>
        <v>41.086118895198204</v>
      </c>
      <c r="L130" s="76">
        <f t="shared" si="86"/>
        <v>41.448723787377695</v>
      </c>
      <c r="M130" s="76">
        <f t="shared" si="86"/>
        <v>39.187366397068487</v>
      </c>
      <c r="N130" s="76">
        <f t="shared" si="86"/>
        <v>42.711371126113164</v>
      </c>
      <c r="O130" s="76">
        <f t="shared" si="86"/>
        <v>45.49333420095995</v>
      </c>
      <c r="P130" s="76">
        <f t="shared" si="86"/>
        <v>45.828177010122474</v>
      </c>
      <c r="Q130" s="76">
        <f t="shared" si="86"/>
        <v>36.776384853604256</v>
      </c>
      <c r="R130" s="76">
        <f t="shared" si="86"/>
        <v>36.846751878465611</v>
      </c>
      <c r="S130" s="76">
        <f t="shared" si="86"/>
        <v>37.409329713367555</v>
      </c>
      <c r="T130" s="76">
        <f t="shared" si="86"/>
        <v>39.630568250869217</v>
      </c>
      <c r="U130" s="76">
        <f t="shared" si="86"/>
        <v>38.486840736620991</v>
      </c>
      <c r="V130" s="76">
        <f t="shared" si="86"/>
        <v>48.957968744828285</v>
      </c>
      <c r="W130" s="76">
        <f t="shared" si="86"/>
        <v>48.178240914789107</v>
      </c>
      <c r="X130" s="76">
        <f t="shared" si="86"/>
        <v>47.125217398465104</v>
      </c>
      <c r="Y130" s="76">
        <f t="shared" si="86"/>
        <v>45.89859823850594</v>
      </c>
      <c r="Z130" s="76">
        <f t="shared" si="86"/>
        <v>42.987495716456699</v>
      </c>
      <c r="AA130" s="76">
        <f t="shared" si="86"/>
        <v>44.766393477025268</v>
      </c>
      <c r="AB130" s="76">
        <f t="shared" si="86"/>
        <v>42.514830304653103</v>
      </c>
      <c r="AC130" s="76">
        <f t="shared" si="86"/>
        <v>39.848787630920775</v>
      </c>
      <c r="AD130" s="76">
        <f t="shared" si="86"/>
        <v>37.593554416545921</v>
      </c>
      <c r="AE130" s="76">
        <f t="shared" si="86"/>
        <v>34.0307838937252</v>
      </c>
      <c r="AF130" s="76">
        <f t="shared" si="86"/>
        <v>38.219948764809793</v>
      </c>
      <c r="AG130" s="76">
        <f t="shared" si="86"/>
        <v>34.397846359765403</v>
      </c>
      <c r="AH130" s="76">
        <f t="shared" si="86"/>
        <v>38.182230019307035</v>
      </c>
      <c r="AI130" s="76">
        <f t="shared" si="86"/>
        <v>42.625712770489585</v>
      </c>
      <c r="AJ130" s="76">
        <f t="shared" si="86"/>
        <v>45.296947481990195</v>
      </c>
      <c r="AK130" s="76">
        <f t="shared" si="86"/>
        <v>46.65959899118851</v>
      </c>
      <c r="AL130" s="76">
        <f t="shared" si="86"/>
        <v>48.022808734735143</v>
      </c>
      <c r="AM130" s="76">
        <f t="shared" si="86"/>
        <v>47.142311680711451</v>
      </c>
      <c r="AN130" s="76">
        <f t="shared" si="86"/>
        <v>42.049828254151564</v>
      </c>
      <c r="AO130" s="76">
        <f t="shared" si="86"/>
        <v>43.092687262097172</v>
      </c>
      <c r="AP130" s="76">
        <f t="shared" si="86"/>
        <v>45.746487589871911</v>
      </c>
      <c r="AQ130" s="76">
        <f t="shared" si="86"/>
        <v>46.276384769029384</v>
      </c>
      <c r="AR130" s="76">
        <f t="shared" si="86"/>
        <v>46.004330935433501</v>
      </c>
      <c r="AS130" s="76">
        <f t="shared" si="86"/>
        <v>41.85491253926449</v>
      </c>
      <c r="AT130" s="76">
        <f t="shared" si="86"/>
        <v>51.43224745547635</v>
      </c>
      <c r="AU130" s="76">
        <f t="shared" si="86"/>
        <v>43.906146059720832</v>
      </c>
      <c r="AV130" s="76">
        <f t="shared" si="86"/>
        <v>60.469275515373511</v>
      </c>
      <c r="AW130" s="76">
        <f t="shared" si="86"/>
        <v>61.171051317033132</v>
      </c>
      <c r="AX130" s="76">
        <f t="shared" si="86"/>
        <v>70.251125995532107</v>
      </c>
      <c r="AY130" s="76">
        <f t="shared" si="86"/>
        <v>109.09646316388442</v>
      </c>
      <c r="AZ130" s="76">
        <f t="shared" si="86"/>
        <v>146.64841121163994</v>
      </c>
      <c r="BA130" s="76">
        <f t="shared" si="86"/>
        <v>143.44046595880118</v>
      </c>
      <c r="BB130" s="76">
        <f t="shared" si="86"/>
        <v>127.76375584090746</v>
      </c>
      <c r="BC130" s="76">
        <f t="shared" si="86"/>
        <v>79.968069491809075</v>
      </c>
      <c r="BD130" s="76">
        <f t="shared" si="86"/>
        <v>72.568983197995266</v>
      </c>
    </row>
    <row r="131" spans="2:56" x14ac:dyDescent="0.25">
      <c r="B131" s="73"/>
      <c r="C131" s="103"/>
      <c r="D131" s="73" t="str">
        <f t="shared" si="81"/>
        <v>Belize VERTICAL REQ</v>
      </c>
      <c r="E131" s="76">
        <f t="shared" ref="E131:BD131" si="87">IFERROR(E$124*SUM(E142/SUM(E$136:E$142)),0)</f>
        <v>27.658127503851286</v>
      </c>
      <c r="F131" s="76">
        <f t="shared" si="87"/>
        <v>24.356142573141316</v>
      </c>
      <c r="G131" s="76">
        <f t="shared" si="87"/>
        <v>16.767235044802121</v>
      </c>
      <c r="H131" s="76">
        <f t="shared" si="87"/>
        <v>15.847663835159524</v>
      </c>
      <c r="I131" s="76">
        <f t="shared" si="87"/>
        <v>16.222710853057553</v>
      </c>
      <c r="J131" s="76">
        <f t="shared" si="87"/>
        <v>14.755566919171173</v>
      </c>
      <c r="K131" s="76">
        <f t="shared" si="87"/>
        <v>11.98345134443281</v>
      </c>
      <c r="L131" s="76">
        <f t="shared" si="87"/>
        <v>13.565036875869064</v>
      </c>
      <c r="M131" s="76">
        <f t="shared" si="87"/>
        <v>12.101980799094681</v>
      </c>
      <c r="N131" s="76">
        <f t="shared" si="87"/>
        <v>14.709273219452237</v>
      </c>
      <c r="O131" s="76">
        <f t="shared" si="87"/>
        <v>16.689130753069545</v>
      </c>
      <c r="P131" s="76">
        <f t="shared" si="87"/>
        <v>17.581355180246987</v>
      </c>
      <c r="Q131" s="76">
        <f t="shared" si="87"/>
        <v>13.470420033587606</v>
      </c>
      <c r="R131" s="76">
        <f t="shared" si="87"/>
        <v>13.496194001996123</v>
      </c>
      <c r="S131" s="76">
        <f t="shared" si="87"/>
        <v>14.028498642512833</v>
      </c>
      <c r="T131" s="76">
        <f t="shared" si="87"/>
        <v>14.13651367485274</v>
      </c>
      <c r="U131" s="76">
        <f t="shared" si="87"/>
        <v>14.432565276232872</v>
      </c>
      <c r="V131" s="76">
        <f t="shared" si="87"/>
        <v>15.234261550917312</v>
      </c>
      <c r="W131" s="76">
        <f t="shared" si="87"/>
        <v>15.317538551712842</v>
      </c>
      <c r="X131" s="76">
        <f t="shared" si="87"/>
        <v>14.982745748968524</v>
      </c>
      <c r="Y131" s="76">
        <f t="shared" si="87"/>
        <v>13.190664593231439</v>
      </c>
      <c r="Z131" s="76">
        <f t="shared" si="87"/>
        <v>12.360075665086557</v>
      </c>
      <c r="AA131" s="76">
        <f t="shared" si="87"/>
        <v>14.779021770262542</v>
      </c>
      <c r="AB131" s="76">
        <f t="shared" si="87"/>
        <v>14.053487293543125</v>
      </c>
      <c r="AC131" s="76">
        <f t="shared" si="87"/>
        <v>13.189014897360881</v>
      </c>
      <c r="AD131" s="76">
        <f t="shared" si="87"/>
        <v>11.575646004809125</v>
      </c>
      <c r="AE131" s="76">
        <f t="shared" si="87"/>
        <v>10.493082651668985</v>
      </c>
      <c r="AF131" s="76">
        <f t="shared" si="87"/>
        <v>11.521292730538317</v>
      </c>
      <c r="AG131" s="76">
        <f t="shared" si="87"/>
        <v>10.38392536088099</v>
      </c>
      <c r="AH131" s="76">
        <f t="shared" si="87"/>
        <v>11.542894534648063</v>
      </c>
      <c r="AI131" s="76">
        <f t="shared" si="87"/>
        <v>11.237567751383647</v>
      </c>
      <c r="AJ131" s="76">
        <f t="shared" si="87"/>
        <v>11.460453242419845</v>
      </c>
      <c r="AK131" s="76">
        <f t="shared" si="87"/>
        <v>11.822330275087879</v>
      </c>
      <c r="AL131" s="76">
        <f t="shared" si="87"/>
        <v>11.446703834515306</v>
      </c>
      <c r="AM131" s="76">
        <f t="shared" si="87"/>
        <v>11.254168123981412</v>
      </c>
      <c r="AN131" s="76">
        <f t="shared" si="87"/>
        <v>10.054038923443406</v>
      </c>
      <c r="AO131" s="76">
        <f t="shared" si="87"/>
        <v>10.319482242833729</v>
      </c>
      <c r="AP131" s="76">
        <f t="shared" si="87"/>
        <v>10.972213945930497</v>
      </c>
      <c r="AQ131" s="76">
        <f t="shared" si="87"/>
        <v>9.5628704321365792</v>
      </c>
      <c r="AR131" s="76">
        <f t="shared" si="87"/>
        <v>9.5233971940659643</v>
      </c>
      <c r="AS131" s="76">
        <f t="shared" si="87"/>
        <v>8.6937073345914335</v>
      </c>
      <c r="AT131" s="76">
        <f t="shared" si="87"/>
        <v>8.6205038916007481</v>
      </c>
      <c r="AU131" s="76">
        <f t="shared" si="87"/>
        <v>7.3852163897304992</v>
      </c>
      <c r="AV131" s="76">
        <f t="shared" si="87"/>
        <v>28.677777094343128</v>
      </c>
      <c r="AW131" s="76">
        <f t="shared" si="87"/>
        <v>28.82321909183219</v>
      </c>
      <c r="AX131" s="76">
        <f t="shared" si="87"/>
        <v>37.495460461402878</v>
      </c>
      <c r="AY131" s="76">
        <f t="shared" si="87"/>
        <v>58.081906634359868</v>
      </c>
      <c r="AZ131" s="76">
        <f t="shared" si="87"/>
        <v>79.798504686836637</v>
      </c>
      <c r="BA131" s="76">
        <f t="shared" si="87"/>
        <v>73.408182977429107</v>
      </c>
      <c r="BB131" s="76">
        <f t="shared" si="87"/>
        <v>64.673749262580131</v>
      </c>
      <c r="BC131" s="76">
        <f t="shared" si="87"/>
        <v>40.079628541576504</v>
      </c>
      <c r="BD131" s="76">
        <f t="shared" si="87"/>
        <v>36.1322127535269</v>
      </c>
    </row>
    <row r="136" spans="2:56" ht="15" customHeight="1" x14ac:dyDescent="0.25">
      <c r="C136" s="103" t="s">
        <v>53</v>
      </c>
      <c r="D136" s="74" t="s">
        <v>34</v>
      </c>
      <c r="E136" s="44">
        <f>SUM(E18,E42,E64,E87,E109)</f>
        <v>74.574999999999989</v>
      </c>
      <c r="F136" s="44">
        <f t="shared" ref="F136:BD141" si="88">SUM(F18,F42,F64,F87,F109)</f>
        <v>63.112499999999997</v>
      </c>
      <c r="G136" s="44">
        <f t="shared" si="88"/>
        <v>55.074999999999996</v>
      </c>
      <c r="H136" s="44">
        <f t="shared" si="88"/>
        <v>32.825000000000003</v>
      </c>
      <c r="I136" s="44">
        <f t="shared" si="88"/>
        <v>29.824999999999999</v>
      </c>
      <c r="J136" s="44">
        <f t="shared" si="88"/>
        <v>29.824999999999999</v>
      </c>
      <c r="K136" s="44">
        <f t="shared" si="88"/>
        <v>27.675000000000001</v>
      </c>
      <c r="L136" s="44">
        <f t="shared" si="88"/>
        <v>29.1875</v>
      </c>
      <c r="M136" s="44">
        <f t="shared" si="88"/>
        <v>32.412500000000001</v>
      </c>
      <c r="N136" s="44">
        <f t="shared" si="88"/>
        <v>32.9</v>
      </c>
      <c r="O136" s="44">
        <f t="shared" si="88"/>
        <v>34.9</v>
      </c>
      <c r="P136" s="44">
        <f t="shared" si="88"/>
        <v>33.78</v>
      </c>
      <c r="Q136" s="44">
        <f t="shared" si="88"/>
        <v>33.774999999999999</v>
      </c>
      <c r="R136" s="44">
        <f t="shared" si="88"/>
        <v>33.774999999999999</v>
      </c>
      <c r="S136" s="44">
        <f t="shared" si="88"/>
        <v>32.299999999999997</v>
      </c>
      <c r="T136" s="44">
        <f t="shared" si="88"/>
        <v>31.425000000000001</v>
      </c>
      <c r="U136" s="44">
        <f t="shared" si="88"/>
        <v>33.912500000000001</v>
      </c>
      <c r="V136" s="44">
        <f t="shared" si="88"/>
        <v>34.25</v>
      </c>
      <c r="W136" s="44">
        <f t="shared" si="88"/>
        <v>32.325000000000003</v>
      </c>
      <c r="X136" s="44">
        <f t="shared" si="88"/>
        <v>32.075000000000003</v>
      </c>
      <c r="Y136" s="44">
        <f t="shared" si="88"/>
        <v>31.33775</v>
      </c>
      <c r="Z136" s="44">
        <f t="shared" si="88"/>
        <v>30.621492499999999</v>
      </c>
      <c r="AA136" s="44">
        <f t="shared" si="88"/>
        <v>30.142716024999999</v>
      </c>
      <c r="AB136" s="44">
        <f t="shared" si="88"/>
        <v>29.672846812625</v>
      </c>
      <c r="AC136" s="44">
        <f t="shared" si="88"/>
        <v>29.211710058956875</v>
      </c>
      <c r="AD136" s="44">
        <f t="shared" si="88"/>
        <v>28.759134439449191</v>
      </c>
      <c r="AE136" s="44">
        <f t="shared" si="88"/>
        <v>28.314952039423304</v>
      </c>
      <c r="AF136" s="44">
        <f t="shared" si="88"/>
        <v>27.878998285954118</v>
      </c>
      <c r="AG136" s="44">
        <f t="shared" si="88"/>
        <v>27.451111881117718</v>
      </c>
      <c r="AH136" s="44">
        <f t="shared" si="88"/>
        <v>27.031134736573634</v>
      </c>
      <c r="AI136" s="44">
        <f t="shared" si="88"/>
        <v>26.61891190945504</v>
      </c>
      <c r="AJ136" s="44">
        <f t="shared" si="88"/>
        <v>26.214291539540753</v>
      </c>
      <c r="AK136" s="44">
        <f t="shared" si="88"/>
        <v>25.817124787683383</v>
      </c>
      <c r="AL136" s="44">
        <f t="shared" si="88"/>
        <v>25.427265775468488</v>
      </c>
      <c r="AM136" s="44">
        <f t="shared" si="88"/>
        <v>25.044571526080198</v>
      </c>
      <c r="AN136" s="44">
        <f t="shared" si="88"/>
        <v>24.368365791828193</v>
      </c>
      <c r="AO136" s="44">
        <f t="shared" si="88"/>
        <v>23.716478435559068</v>
      </c>
      <c r="AP136" s="44">
        <f t="shared" si="88"/>
        <v>23.087992246109074</v>
      </c>
      <c r="AQ136" s="44">
        <f t="shared" si="88"/>
        <v>22.482024831902667</v>
      </c>
      <c r="AR136" s="44">
        <f t="shared" si="88"/>
        <v>21.897727297980378</v>
      </c>
      <c r="AS136" s="44">
        <f t="shared" si="88"/>
        <v>21.306770507347668</v>
      </c>
      <c r="AT136" s="44">
        <f t="shared" si="88"/>
        <v>20.738027226833832</v>
      </c>
      <c r="AU136" s="44">
        <f t="shared" si="88"/>
        <v>20.295616039841651</v>
      </c>
      <c r="AV136" s="44">
        <f t="shared" si="88"/>
        <v>19.868965750818752</v>
      </c>
      <c r="AW136" s="44">
        <f t="shared" si="88"/>
        <v>18.922315052215495</v>
      </c>
      <c r="AX136" s="44">
        <f t="shared" si="88"/>
        <v>18.065128194090171</v>
      </c>
      <c r="AY136" s="44">
        <f t="shared" si="88"/>
        <v>39.788484798541894</v>
      </c>
      <c r="AZ136" s="44">
        <f t="shared" si="88"/>
        <v>36.834356395429147</v>
      </c>
      <c r="BA136" s="44">
        <f t="shared" si="88"/>
        <v>33.802173668289669</v>
      </c>
      <c r="BB136" s="44">
        <f t="shared" si="88"/>
        <v>31.088237093990173</v>
      </c>
      <c r="BC136" s="44">
        <f t="shared" si="88"/>
        <v>28.657769004925434</v>
      </c>
      <c r="BD136" s="44">
        <f t="shared" si="88"/>
        <v>26.479813835788708</v>
      </c>
    </row>
    <row r="137" spans="2:56" ht="15" customHeight="1" x14ac:dyDescent="0.25">
      <c r="C137" s="103"/>
      <c r="D137" s="74" t="s">
        <v>35</v>
      </c>
      <c r="E137" s="44">
        <f t="shared" ref="E137:T143" si="89">SUM(E19,E43,E65,E88,E110)</f>
        <v>88.625</v>
      </c>
      <c r="F137" s="44">
        <f t="shared" si="89"/>
        <v>63.6</v>
      </c>
      <c r="G137" s="44">
        <f t="shared" si="89"/>
        <v>41.174999999999997</v>
      </c>
      <c r="H137" s="44">
        <f t="shared" si="89"/>
        <v>38.174999999999997</v>
      </c>
      <c r="I137" s="44">
        <f t="shared" si="89"/>
        <v>38.799999999999997</v>
      </c>
      <c r="J137" s="44">
        <f t="shared" si="89"/>
        <v>38.799999999999997</v>
      </c>
      <c r="K137" s="44">
        <f t="shared" si="89"/>
        <v>23.8</v>
      </c>
      <c r="L137" s="44">
        <f t="shared" si="89"/>
        <v>22.824999999999999</v>
      </c>
      <c r="M137" s="44">
        <f t="shared" si="89"/>
        <v>38.737499999999997</v>
      </c>
      <c r="N137" s="44">
        <f t="shared" si="89"/>
        <v>38.725000000000001</v>
      </c>
      <c r="O137" s="44">
        <f t="shared" si="89"/>
        <v>40.762500000000003</v>
      </c>
      <c r="P137" s="44">
        <f t="shared" si="89"/>
        <v>35.150000000000006</v>
      </c>
      <c r="Q137" s="44">
        <f t="shared" si="89"/>
        <v>35.150000000000006</v>
      </c>
      <c r="R137" s="44">
        <f t="shared" si="89"/>
        <v>34.150000000000006</v>
      </c>
      <c r="S137" s="44">
        <f t="shared" si="89"/>
        <v>34.150000000000006</v>
      </c>
      <c r="T137" s="44">
        <f t="shared" si="89"/>
        <v>34.150000000000006</v>
      </c>
      <c r="U137" s="44">
        <f t="shared" si="88"/>
        <v>33.150000000000006</v>
      </c>
      <c r="V137" s="44">
        <f t="shared" si="88"/>
        <v>31.7</v>
      </c>
      <c r="W137" s="44">
        <f t="shared" si="88"/>
        <v>30.7</v>
      </c>
      <c r="X137" s="44">
        <f t="shared" si="88"/>
        <v>29.7</v>
      </c>
      <c r="Y137" s="44">
        <f t="shared" si="88"/>
        <v>28.996968750000001</v>
      </c>
      <c r="Z137" s="44">
        <f t="shared" si="88"/>
        <v>28.31408859375</v>
      </c>
      <c r="AA137" s="44">
        <f t="shared" si="88"/>
        <v>27.859463078906249</v>
      </c>
      <c r="AB137" s="44">
        <f t="shared" si="88"/>
        <v>27.413371793074216</v>
      </c>
      <c r="AC137" s="44">
        <f t="shared" si="88"/>
        <v>26.975646843080096</v>
      </c>
      <c r="AD137" s="44">
        <f t="shared" si="88"/>
        <v>26.546123679656517</v>
      </c>
      <c r="AE137" s="44">
        <f t="shared" si="88"/>
        <v>26.124641030634223</v>
      </c>
      <c r="AF137" s="44">
        <f t="shared" si="88"/>
        <v>25.711040835469525</v>
      </c>
      <c r="AG137" s="44">
        <f t="shared" si="88"/>
        <v>25.305168181080877</v>
      </c>
      <c r="AH137" s="44">
        <f t="shared" si="88"/>
        <v>32.406871238968399</v>
      </c>
      <c r="AI137" s="44">
        <f t="shared" si="88"/>
        <v>31.866001203590621</v>
      </c>
      <c r="AJ137" s="44">
        <f t="shared" si="88"/>
        <v>40.585412231973393</v>
      </c>
      <c r="AK137" s="44">
        <f t="shared" si="88"/>
        <v>39.879901384526235</v>
      </c>
      <c r="AL137" s="44">
        <f t="shared" si="88"/>
        <v>39.202969767042056</v>
      </c>
      <c r="AM137" s="44">
        <f t="shared" si="88"/>
        <v>38.553973449856535</v>
      </c>
      <c r="AN137" s="44">
        <f t="shared" si="88"/>
        <v>37.384575536843982</v>
      </c>
      <c r="AO137" s="44">
        <f t="shared" si="88"/>
        <v>36.258136479135494</v>
      </c>
      <c r="AP137" s="44">
        <f t="shared" si="88"/>
        <v>35.173031231556465</v>
      </c>
      <c r="AQ137" s="44">
        <f t="shared" si="88"/>
        <v>56.627696463692303</v>
      </c>
      <c r="AR137" s="44">
        <f t="shared" si="88"/>
        <v>54.897628214912302</v>
      </c>
      <c r="AS137" s="44">
        <f t="shared" si="88"/>
        <v>75.646833248481386</v>
      </c>
      <c r="AT137" s="44">
        <f t="shared" si="88"/>
        <v>68.063844529896869</v>
      </c>
      <c r="AU137" s="44">
        <f t="shared" si="88"/>
        <v>110.88696093699895</v>
      </c>
      <c r="AV137" s="44">
        <f t="shared" si="88"/>
        <v>91.994424336875468</v>
      </c>
      <c r="AW137" s="44">
        <f t="shared" si="88"/>
        <v>129.64131267964854</v>
      </c>
      <c r="AX137" s="44">
        <f t="shared" si="88"/>
        <v>143.86428053426198</v>
      </c>
      <c r="AY137" s="44">
        <f t="shared" si="88"/>
        <v>193.14151610780118</v>
      </c>
      <c r="AZ137" s="44">
        <f t="shared" si="88"/>
        <v>178.46770980585165</v>
      </c>
      <c r="BA137" s="44">
        <f t="shared" si="88"/>
        <v>163.4534053094944</v>
      </c>
      <c r="BB137" s="44">
        <f t="shared" si="88"/>
        <v>149.45141715400214</v>
      </c>
      <c r="BC137" s="44">
        <f t="shared" si="88"/>
        <v>136.54997939918576</v>
      </c>
      <c r="BD137" s="44">
        <f t="shared" si="88"/>
        <v>123.68462652541731</v>
      </c>
    </row>
    <row r="138" spans="2:56" x14ac:dyDescent="0.25">
      <c r="C138" s="103"/>
      <c r="D138" s="74" t="s">
        <v>36</v>
      </c>
      <c r="E138" s="44">
        <f t="shared" si="89"/>
        <v>0</v>
      </c>
      <c r="F138" s="44">
        <f t="shared" si="88"/>
        <v>0</v>
      </c>
      <c r="G138" s="44">
        <f t="shared" si="88"/>
        <v>0</v>
      </c>
      <c r="H138" s="44">
        <f t="shared" si="88"/>
        <v>0</v>
      </c>
      <c r="I138" s="44">
        <f t="shared" si="88"/>
        <v>0</v>
      </c>
      <c r="J138" s="44">
        <f t="shared" si="88"/>
        <v>0</v>
      </c>
      <c r="K138" s="44">
        <f t="shared" si="88"/>
        <v>0</v>
      </c>
      <c r="L138" s="44">
        <f t="shared" si="88"/>
        <v>0</v>
      </c>
      <c r="M138" s="44">
        <f t="shared" si="88"/>
        <v>0</v>
      </c>
      <c r="N138" s="44">
        <f t="shared" si="88"/>
        <v>0</v>
      </c>
      <c r="O138" s="44">
        <f t="shared" si="88"/>
        <v>0</v>
      </c>
      <c r="P138" s="44">
        <f t="shared" si="88"/>
        <v>0</v>
      </c>
      <c r="Q138" s="44">
        <f t="shared" si="88"/>
        <v>0</v>
      </c>
      <c r="R138" s="44">
        <f t="shared" si="88"/>
        <v>0</v>
      </c>
      <c r="S138" s="44">
        <f t="shared" si="88"/>
        <v>0</v>
      </c>
      <c r="T138" s="44">
        <f t="shared" si="88"/>
        <v>0</v>
      </c>
      <c r="U138" s="44">
        <f t="shared" si="88"/>
        <v>0</v>
      </c>
      <c r="V138" s="44">
        <f t="shared" si="88"/>
        <v>0</v>
      </c>
      <c r="W138" s="44">
        <f t="shared" si="88"/>
        <v>0</v>
      </c>
      <c r="X138" s="44">
        <f t="shared" si="88"/>
        <v>0</v>
      </c>
      <c r="Y138" s="44">
        <f t="shared" si="88"/>
        <v>0</v>
      </c>
      <c r="Z138" s="44">
        <f t="shared" si="88"/>
        <v>0</v>
      </c>
      <c r="AA138" s="44">
        <f t="shared" si="88"/>
        <v>0</v>
      </c>
      <c r="AB138" s="44">
        <f t="shared" si="88"/>
        <v>0</v>
      </c>
      <c r="AC138" s="44">
        <f t="shared" si="88"/>
        <v>0</v>
      </c>
      <c r="AD138" s="44">
        <f t="shared" si="88"/>
        <v>0</v>
      </c>
      <c r="AE138" s="44">
        <f t="shared" si="88"/>
        <v>0</v>
      </c>
      <c r="AF138" s="44">
        <f t="shared" si="88"/>
        <v>0</v>
      </c>
      <c r="AG138" s="44">
        <f t="shared" si="88"/>
        <v>0</v>
      </c>
      <c r="AH138" s="44">
        <f t="shared" si="88"/>
        <v>0</v>
      </c>
      <c r="AI138" s="44">
        <f t="shared" si="88"/>
        <v>0</v>
      </c>
      <c r="AJ138" s="44">
        <f t="shared" si="88"/>
        <v>0</v>
      </c>
      <c r="AK138" s="44">
        <f t="shared" si="88"/>
        <v>0</v>
      </c>
      <c r="AL138" s="44">
        <f t="shared" si="88"/>
        <v>0</v>
      </c>
      <c r="AM138" s="44">
        <f t="shared" si="88"/>
        <v>0</v>
      </c>
      <c r="AN138" s="44">
        <f t="shared" si="88"/>
        <v>0</v>
      </c>
      <c r="AO138" s="44">
        <f t="shared" si="88"/>
        <v>0</v>
      </c>
      <c r="AP138" s="44">
        <f t="shared" si="88"/>
        <v>0</v>
      </c>
      <c r="AQ138" s="44">
        <f t="shared" si="88"/>
        <v>0</v>
      </c>
      <c r="AR138" s="44">
        <f t="shared" si="88"/>
        <v>0</v>
      </c>
      <c r="AS138" s="44">
        <f t="shared" si="88"/>
        <v>0</v>
      </c>
      <c r="AT138" s="44">
        <f t="shared" si="88"/>
        <v>0</v>
      </c>
      <c r="AU138" s="44">
        <f t="shared" si="88"/>
        <v>0</v>
      </c>
      <c r="AV138" s="44">
        <f t="shared" si="88"/>
        <v>0</v>
      </c>
      <c r="AW138" s="44">
        <f t="shared" si="88"/>
        <v>0</v>
      </c>
      <c r="AX138" s="44">
        <f t="shared" si="88"/>
        <v>0</v>
      </c>
      <c r="AY138" s="44">
        <f t="shared" si="88"/>
        <v>0</v>
      </c>
      <c r="AZ138" s="44">
        <f t="shared" si="88"/>
        <v>0</v>
      </c>
      <c r="BA138" s="44">
        <f t="shared" si="88"/>
        <v>0</v>
      </c>
      <c r="BB138" s="44">
        <f t="shared" si="88"/>
        <v>0</v>
      </c>
      <c r="BC138" s="44">
        <f t="shared" si="88"/>
        <v>0</v>
      </c>
      <c r="BD138" s="44">
        <f t="shared" si="88"/>
        <v>0</v>
      </c>
    </row>
    <row r="139" spans="2:56" x14ac:dyDescent="0.25">
      <c r="C139" s="103"/>
      <c r="D139" s="74" t="s">
        <v>37</v>
      </c>
      <c r="E139" s="44">
        <f t="shared" si="89"/>
        <v>0</v>
      </c>
      <c r="F139" s="44">
        <f t="shared" si="88"/>
        <v>0</v>
      </c>
      <c r="G139" s="44">
        <f t="shared" si="88"/>
        <v>0</v>
      </c>
      <c r="H139" s="44">
        <f t="shared" si="88"/>
        <v>0</v>
      </c>
      <c r="I139" s="44">
        <f t="shared" si="88"/>
        <v>0</v>
      </c>
      <c r="J139" s="44">
        <f t="shared" si="88"/>
        <v>0</v>
      </c>
      <c r="K139" s="44">
        <f t="shared" si="88"/>
        <v>0</v>
      </c>
      <c r="L139" s="44">
        <f t="shared" si="88"/>
        <v>0</v>
      </c>
      <c r="M139" s="44">
        <f t="shared" si="88"/>
        <v>0</v>
      </c>
      <c r="N139" s="44">
        <f t="shared" si="88"/>
        <v>0</v>
      </c>
      <c r="O139" s="44">
        <f t="shared" si="88"/>
        <v>0</v>
      </c>
      <c r="P139" s="44">
        <f t="shared" si="88"/>
        <v>0</v>
      </c>
      <c r="Q139" s="44">
        <f t="shared" si="88"/>
        <v>0</v>
      </c>
      <c r="R139" s="44">
        <f t="shared" si="88"/>
        <v>0</v>
      </c>
      <c r="S139" s="44">
        <f t="shared" si="88"/>
        <v>0</v>
      </c>
      <c r="T139" s="44">
        <f t="shared" si="88"/>
        <v>0</v>
      </c>
      <c r="U139" s="44">
        <f t="shared" si="88"/>
        <v>0</v>
      </c>
      <c r="V139" s="44">
        <f t="shared" si="88"/>
        <v>0</v>
      </c>
      <c r="W139" s="44">
        <f t="shared" si="88"/>
        <v>0</v>
      </c>
      <c r="X139" s="44">
        <f t="shared" si="88"/>
        <v>0</v>
      </c>
      <c r="Y139" s="44">
        <f t="shared" si="88"/>
        <v>0</v>
      </c>
      <c r="Z139" s="44">
        <f t="shared" si="88"/>
        <v>0</v>
      </c>
      <c r="AA139" s="44">
        <f t="shared" si="88"/>
        <v>0</v>
      </c>
      <c r="AB139" s="44">
        <f t="shared" si="88"/>
        <v>0</v>
      </c>
      <c r="AC139" s="44">
        <f t="shared" si="88"/>
        <v>0</v>
      </c>
      <c r="AD139" s="44">
        <f t="shared" si="88"/>
        <v>0</v>
      </c>
      <c r="AE139" s="44">
        <f t="shared" si="88"/>
        <v>0</v>
      </c>
      <c r="AF139" s="44">
        <f t="shared" si="88"/>
        <v>0</v>
      </c>
      <c r="AG139" s="44">
        <f t="shared" si="88"/>
        <v>0</v>
      </c>
      <c r="AH139" s="44">
        <f t="shared" si="88"/>
        <v>0</v>
      </c>
      <c r="AI139" s="44">
        <f t="shared" si="88"/>
        <v>0</v>
      </c>
      <c r="AJ139" s="44">
        <f t="shared" si="88"/>
        <v>0</v>
      </c>
      <c r="AK139" s="44">
        <f t="shared" si="88"/>
        <v>0</v>
      </c>
      <c r="AL139" s="44">
        <f t="shared" si="88"/>
        <v>0</v>
      </c>
      <c r="AM139" s="44">
        <f t="shared" si="88"/>
        <v>0</v>
      </c>
      <c r="AN139" s="44">
        <f t="shared" si="88"/>
        <v>0</v>
      </c>
      <c r="AO139" s="44">
        <f t="shared" si="88"/>
        <v>0</v>
      </c>
      <c r="AP139" s="44">
        <f t="shared" si="88"/>
        <v>0</v>
      </c>
      <c r="AQ139" s="44">
        <f t="shared" si="88"/>
        <v>0</v>
      </c>
      <c r="AR139" s="44">
        <f t="shared" si="88"/>
        <v>0</v>
      </c>
      <c r="AS139" s="44">
        <f t="shared" si="88"/>
        <v>0</v>
      </c>
      <c r="AT139" s="44">
        <f t="shared" si="88"/>
        <v>0</v>
      </c>
      <c r="AU139" s="44">
        <f t="shared" si="88"/>
        <v>0</v>
      </c>
      <c r="AV139" s="44">
        <f t="shared" si="88"/>
        <v>0</v>
      </c>
      <c r="AW139" s="44">
        <f t="shared" si="88"/>
        <v>0</v>
      </c>
      <c r="AX139" s="44">
        <f t="shared" si="88"/>
        <v>0</v>
      </c>
      <c r="AY139" s="44">
        <f t="shared" si="88"/>
        <v>0</v>
      </c>
      <c r="AZ139" s="44">
        <f t="shared" si="88"/>
        <v>0</v>
      </c>
      <c r="BA139" s="44">
        <f t="shared" si="88"/>
        <v>0</v>
      </c>
      <c r="BB139" s="44">
        <f t="shared" si="88"/>
        <v>0</v>
      </c>
      <c r="BC139" s="44">
        <f t="shared" si="88"/>
        <v>0</v>
      </c>
      <c r="BD139" s="44">
        <f t="shared" si="88"/>
        <v>0</v>
      </c>
    </row>
    <row r="140" spans="2:56" x14ac:dyDescent="0.25">
      <c r="C140" s="103"/>
      <c r="D140" s="74" t="s">
        <v>38</v>
      </c>
      <c r="E140" s="44">
        <f t="shared" si="89"/>
        <v>31.88325</v>
      </c>
      <c r="F140" s="44">
        <f t="shared" si="88"/>
        <v>31.983249999999998</v>
      </c>
      <c r="G140" s="44">
        <f t="shared" si="88"/>
        <v>27.262500000000003</v>
      </c>
      <c r="H140" s="44">
        <f t="shared" si="88"/>
        <v>21.0625</v>
      </c>
      <c r="I140" s="44">
        <f t="shared" si="88"/>
        <v>21.587499999999999</v>
      </c>
      <c r="J140" s="44">
        <f t="shared" si="88"/>
        <v>21.587499999999999</v>
      </c>
      <c r="K140" s="44">
        <f t="shared" si="88"/>
        <v>18.274999999999999</v>
      </c>
      <c r="L140" s="44">
        <f t="shared" si="88"/>
        <v>18.362500000000001</v>
      </c>
      <c r="M140" s="44">
        <f t="shared" si="88"/>
        <v>0</v>
      </c>
      <c r="N140" s="44">
        <f t="shared" si="88"/>
        <v>0</v>
      </c>
      <c r="O140" s="44">
        <f t="shared" si="88"/>
        <v>0</v>
      </c>
      <c r="P140" s="44">
        <f t="shared" si="88"/>
        <v>0</v>
      </c>
      <c r="Q140" s="44">
        <f t="shared" si="88"/>
        <v>0</v>
      </c>
      <c r="R140" s="44">
        <f t="shared" si="88"/>
        <v>0</v>
      </c>
      <c r="S140" s="44">
        <f t="shared" si="88"/>
        <v>0</v>
      </c>
      <c r="T140" s="44">
        <f t="shared" si="88"/>
        <v>0</v>
      </c>
      <c r="U140" s="44">
        <f t="shared" si="88"/>
        <v>0</v>
      </c>
      <c r="V140" s="44">
        <f t="shared" si="88"/>
        <v>0</v>
      </c>
      <c r="W140" s="44">
        <f t="shared" si="88"/>
        <v>0</v>
      </c>
      <c r="X140" s="44">
        <f t="shared" si="88"/>
        <v>0</v>
      </c>
      <c r="Y140" s="44">
        <f t="shared" si="88"/>
        <v>0</v>
      </c>
      <c r="Z140" s="44">
        <f t="shared" si="88"/>
        <v>0</v>
      </c>
      <c r="AA140" s="44">
        <f t="shared" si="88"/>
        <v>0</v>
      </c>
      <c r="AB140" s="44">
        <f t="shared" si="88"/>
        <v>0</v>
      </c>
      <c r="AC140" s="44">
        <f t="shared" si="88"/>
        <v>0</v>
      </c>
      <c r="AD140" s="44">
        <f t="shared" si="88"/>
        <v>0</v>
      </c>
      <c r="AE140" s="44">
        <f t="shared" si="88"/>
        <v>0</v>
      </c>
      <c r="AF140" s="44">
        <f t="shared" si="88"/>
        <v>0</v>
      </c>
      <c r="AG140" s="44">
        <f t="shared" si="88"/>
        <v>0</v>
      </c>
      <c r="AH140" s="44">
        <f t="shared" si="88"/>
        <v>0</v>
      </c>
      <c r="AI140" s="44">
        <f t="shared" si="88"/>
        <v>0</v>
      </c>
      <c r="AJ140" s="44">
        <f t="shared" si="88"/>
        <v>0</v>
      </c>
      <c r="AK140" s="44">
        <f t="shared" si="88"/>
        <v>0</v>
      </c>
      <c r="AL140" s="44">
        <f t="shared" si="88"/>
        <v>0</v>
      </c>
      <c r="AM140" s="44">
        <f t="shared" si="88"/>
        <v>0</v>
      </c>
      <c r="AN140" s="44">
        <f t="shared" si="88"/>
        <v>0</v>
      </c>
      <c r="AO140" s="44">
        <f t="shared" si="88"/>
        <v>0</v>
      </c>
      <c r="AP140" s="44">
        <f t="shared" si="88"/>
        <v>0</v>
      </c>
      <c r="AQ140" s="44">
        <f t="shared" si="88"/>
        <v>0</v>
      </c>
      <c r="AR140" s="44">
        <f t="shared" si="88"/>
        <v>0</v>
      </c>
      <c r="AS140" s="44">
        <f t="shared" si="88"/>
        <v>0</v>
      </c>
      <c r="AT140" s="44">
        <f t="shared" si="88"/>
        <v>0</v>
      </c>
      <c r="AU140" s="44">
        <f t="shared" si="88"/>
        <v>0</v>
      </c>
      <c r="AV140" s="44">
        <f t="shared" si="88"/>
        <v>0</v>
      </c>
      <c r="AW140" s="44">
        <f t="shared" si="88"/>
        <v>0</v>
      </c>
      <c r="AX140" s="44">
        <f t="shared" si="88"/>
        <v>0</v>
      </c>
      <c r="AY140" s="44">
        <f t="shared" si="88"/>
        <v>0</v>
      </c>
      <c r="AZ140" s="44">
        <f t="shared" si="88"/>
        <v>0</v>
      </c>
      <c r="BA140" s="44">
        <f t="shared" si="88"/>
        <v>0</v>
      </c>
      <c r="BB140" s="44">
        <f t="shared" si="88"/>
        <v>0</v>
      </c>
      <c r="BC140" s="44">
        <f t="shared" si="88"/>
        <v>0</v>
      </c>
      <c r="BD140" s="44">
        <f t="shared" si="88"/>
        <v>0</v>
      </c>
    </row>
    <row r="141" spans="2:56" x14ac:dyDescent="0.25">
      <c r="C141" s="103"/>
      <c r="D141" s="74" t="s">
        <v>39</v>
      </c>
      <c r="E141" s="44">
        <f t="shared" si="89"/>
        <v>58</v>
      </c>
      <c r="F141" s="44">
        <f t="shared" si="88"/>
        <v>46</v>
      </c>
      <c r="G141" s="44">
        <f t="shared" si="88"/>
        <v>44</v>
      </c>
      <c r="H141" s="44">
        <f t="shared" si="88"/>
        <v>63</v>
      </c>
      <c r="I141" s="44">
        <f t="shared" si="88"/>
        <v>56</v>
      </c>
      <c r="J141" s="44">
        <f t="shared" si="88"/>
        <v>55</v>
      </c>
      <c r="K141" s="44">
        <f t="shared" si="88"/>
        <v>54</v>
      </c>
      <c r="L141" s="44">
        <f t="shared" si="88"/>
        <v>55</v>
      </c>
      <c r="M141" s="44">
        <f t="shared" si="88"/>
        <v>51</v>
      </c>
      <c r="N141" s="44">
        <f t="shared" si="88"/>
        <v>49</v>
      </c>
      <c r="O141" s="44">
        <f t="shared" si="88"/>
        <v>46</v>
      </c>
      <c r="P141" s="44">
        <f t="shared" si="88"/>
        <v>44</v>
      </c>
      <c r="Q141" s="44">
        <f t="shared" si="88"/>
        <v>43</v>
      </c>
      <c r="R141" s="44">
        <f t="shared" si="88"/>
        <v>43</v>
      </c>
      <c r="S141" s="44">
        <f t="shared" si="88"/>
        <v>42</v>
      </c>
      <c r="T141" s="44">
        <f t="shared" si="88"/>
        <v>41</v>
      </c>
      <c r="U141" s="44">
        <f t="shared" ref="F141:BD143" si="90">SUM(U23,U47,U69,U92,U114)</f>
        <v>39</v>
      </c>
      <c r="V141" s="44">
        <f t="shared" si="90"/>
        <v>47</v>
      </c>
      <c r="W141" s="44">
        <f t="shared" si="90"/>
        <v>46</v>
      </c>
      <c r="X141" s="44">
        <f t="shared" si="90"/>
        <v>46</v>
      </c>
      <c r="Y141" s="44">
        <f t="shared" si="90"/>
        <v>49.265000000000001</v>
      </c>
      <c r="Z141" s="44">
        <f t="shared" si="90"/>
        <v>47.680124999999997</v>
      </c>
      <c r="AA141" s="44">
        <f t="shared" si="90"/>
        <v>41.004573874999991</v>
      </c>
      <c r="AB141" s="44">
        <f t="shared" si="90"/>
        <v>40.438957763124996</v>
      </c>
      <c r="AC141" s="44">
        <f t="shared" si="90"/>
        <v>39.881578630446867</v>
      </c>
      <c r="AD141" s="44">
        <f t="shared" si="90"/>
        <v>42.332314158590073</v>
      </c>
      <c r="AE141" s="44">
        <f t="shared" si="90"/>
        <v>41.746043857773124</v>
      </c>
      <c r="AF141" s="44">
        <f t="shared" si="90"/>
        <v>42.168324039410628</v>
      </c>
      <c r="AG141" s="44">
        <f t="shared" si="90"/>
        <v>41.584027664126047</v>
      </c>
      <c r="AH141" s="44">
        <f t="shared" si="90"/>
        <v>41.008254592044196</v>
      </c>
      <c r="AI141" s="44">
        <f t="shared" si="90"/>
        <v>46.440878179329182</v>
      </c>
      <c r="AJ141" s="44">
        <f t="shared" si="90"/>
        <v>47.79177367577406</v>
      </c>
      <c r="AK141" s="44">
        <f t="shared" si="90"/>
        <v>47.132168196426591</v>
      </c>
      <c r="AL141" s="44">
        <f t="shared" si="90"/>
        <v>49.482170443640385</v>
      </c>
      <c r="AM141" s="44">
        <f t="shared" si="90"/>
        <v>48.796637733295178</v>
      </c>
      <c r="AN141" s="44">
        <f t="shared" si="90"/>
        <v>48.121104514373599</v>
      </c>
      <c r="AO141" s="44">
        <f t="shared" si="90"/>
        <v>47.455422212000443</v>
      </c>
      <c r="AP141" s="44">
        <f t="shared" si="90"/>
        <v>46.799444472836186</v>
      </c>
      <c r="AQ141" s="44">
        <f t="shared" si="90"/>
        <v>53.653027131789315</v>
      </c>
      <c r="AR141" s="44">
        <f t="shared" si="90"/>
        <v>52.903528179227919</v>
      </c>
      <c r="AS141" s="44">
        <f t="shared" si="90"/>
        <v>52.081428156620134</v>
      </c>
      <c r="AT141" s="44">
        <f t="shared" si="90"/>
        <v>63.755390144220272</v>
      </c>
      <c r="AU141" s="44">
        <f t="shared" si="90"/>
        <v>62.756358452740983</v>
      </c>
      <c r="AV141" s="44">
        <f t="shared" si="90"/>
        <v>84.256372008587959</v>
      </c>
      <c r="AW141" s="44">
        <f t="shared" si="90"/>
        <v>87.480055160694079</v>
      </c>
      <c r="AX141" s="44">
        <f t="shared" si="90"/>
        <v>130.83107327147422</v>
      </c>
      <c r="AY141" s="44">
        <f t="shared" si="90"/>
        <v>128.11202347178047</v>
      </c>
      <c r="AZ141" s="44">
        <f t="shared" si="90"/>
        <v>122.45728037830929</v>
      </c>
      <c r="BA141" s="44">
        <f t="shared" si="90"/>
        <v>124.64401087390763</v>
      </c>
      <c r="BB141" s="44">
        <f t="shared" si="90"/>
        <v>120.68729654432374</v>
      </c>
      <c r="BC141" s="44">
        <f t="shared" si="90"/>
        <v>116.79102162018663</v>
      </c>
      <c r="BD141" s="44">
        <f t="shared" si="90"/>
        <v>112.6953555658982</v>
      </c>
    </row>
    <row r="142" spans="2:56" x14ac:dyDescent="0.25">
      <c r="C142" s="103"/>
      <c r="D142" s="74" t="s">
        <v>40</v>
      </c>
      <c r="E142" s="44">
        <f t="shared" si="89"/>
        <v>31.5</v>
      </c>
      <c r="F142" s="44">
        <f t="shared" si="90"/>
        <v>28.125</v>
      </c>
      <c r="G142" s="44">
        <f t="shared" si="90"/>
        <v>20.25</v>
      </c>
      <c r="H142" s="44">
        <f t="shared" si="90"/>
        <v>19.125</v>
      </c>
      <c r="I142" s="44">
        <f t="shared" si="90"/>
        <v>19.125</v>
      </c>
      <c r="J142" s="44">
        <f t="shared" si="90"/>
        <v>19.125</v>
      </c>
      <c r="K142" s="44">
        <f t="shared" si="90"/>
        <v>15.75</v>
      </c>
      <c r="L142" s="44">
        <f t="shared" si="90"/>
        <v>18</v>
      </c>
      <c r="M142" s="44">
        <f t="shared" si="90"/>
        <v>15.75</v>
      </c>
      <c r="N142" s="44">
        <f t="shared" si="90"/>
        <v>16.875</v>
      </c>
      <c r="O142" s="44">
        <f t="shared" si="90"/>
        <v>16.875</v>
      </c>
      <c r="P142" s="44">
        <f t="shared" si="90"/>
        <v>16.880000000000003</v>
      </c>
      <c r="Q142" s="44">
        <f t="shared" si="90"/>
        <v>15.75</v>
      </c>
      <c r="R142" s="44">
        <f t="shared" si="90"/>
        <v>15.75</v>
      </c>
      <c r="S142" s="44">
        <f t="shared" si="90"/>
        <v>15.75</v>
      </c>
      <c r="T142" s="44">
        <f t="shared" si="90"/>
        <v>14.625</v>
      </c>
      <c r="U142" s="44">
        <f t="shared" si="90"/>
        <v>14.625</v>
      </c>
      <c r="V142" s="44">
        <f t="shared" si="90"/>
        <v>14.625</v>
      </c>
      <c r="W142" s="44">
        <f t="shared" si="90"/>
        <v>14.625</v>
      </c>
      <c r="X142" s="44">
        <f t="shared" si="90"/>
        <v>14.625</v>
      </c>
      <c r="Y142" s="44">
        <f t="shared" si="90"/>
        <v>14.158125</v>
      </c>
      <c r="Z142" s="44">
        <f t="shared" si="90"/>
        <v>13.709334375000001</v>
      </c>
      <c r="AA142" s="44">
        <f t="shared" si="90"/>
        <v>13.537107703125001</v>
      </c>
      <c r="AB142" s="44">
        <f t="shared" si="90"/>
        <v>13.367297364609376</v>
      </c>
      <c r="AC142" s="44">
        <f t="shared" si="90"/>
        <v>13.199867949786329</v>
      </c>
      <c r="AD142" s="44">
        <f t="shared" si="90"/>
        <v>13.034784575957397</v>
      </c>
      <c r="AE142" s="44">
        <f t="shared" si="90"/>
        <v>12.872012879508809</v>
      </c>
      <c r="AF142" s="44">
        <f t="shared" si="90"/>
        <v>12.711519008145997</v>
      </c>
      <c r="AG142" s="44">
        <f t="shared" si="90"/>
        <v>12.553269613244478</v>
      </c>
      <c r="AH142" s="44">
        <f t="shared" si="90"/>
        <v>12.397231842315378</v>
      </c>
      <c r="AI142" s="44">
        <f t="shared" si="90"/>
        <v>12.243373331583868</v>
      </c>
      <c r="AJ142" s="44">
        <f t="shared" si="90"/>
        <v>12.091662198678812</v>
      </c>
      <c r="AK142" s="44">
        <f t="shared" si="90"/>
        <v>11.942067035431991</v>
      </c>
      <c r="AL142" s="44">
        <f t="shared" si="90"/>
        <v>11.794556900785205</v>
      </c>
      <c r="AM142" s="44">
        <f t="shared" si="90"/>
        <v>11.649101313803698</v>
      </c>
      <c r="AN142" s="44">
        <f t="shared" si="90"/>
        <v>11.50567024679426</v>
      </c>
      <c r="AO142" s="44">
        <f t="shared" si="90"/>
        <v>11.364234118526475</v>
      </c>
      <c r="AP142" s="44">
        <f t="shared" si="90"/>
        <v>11.224763787555538</v>
      </c>
      <c r="AQ142" s="44">
        <f t="shared" si="90"/>
        <v>11.087230545645131</v>
      </c>
      <c r="AR142" s="44">
        <f t="shared" si="90"/>
        <v>10.951606111288864</v>
      </c>
      <c r="AS142" s="44">
        <f t="shared" si="90"/>
        <v>10.8178626233288</v>
      </c>
      <c r="AT142" s="44">
        <f t="shared" si="90"/>
        <v>10.685972634669589</v>
      </c>
      <c r="AU142" s="44">
        <f t="shared" si="90"/>
        <v>10.555909106086814</v>
      </c>
      <c r="AV142" s="44">
        <f t="shared" si="90"/>
        <v>39.958895400128092</v>
      </c>
      <c r="AW142" s="44">
        <f t="shared" si="90"/>
        <v>41.219772127083729</v>
      </c>
      <c r="AX142" s="44">
        <f t="shared" si="90"/>
        <v>69.829077690305681</v>
      </c>
      <c r="AY142" s="44">
        <f t="shared" si="90"/>
        <v>68.205607865115084</v>
      </c>
      <c r="AZ142" s="44">
        <f t="shared" si="90"/>
        <v>66.634938499968925</v>
      </c>
      <c r="BA142" s="44">
        <f t="shared" si="90"/>
        <v>63.788766273950166</v>
      </c>
      <c r="BB142" s="44">
        <f t="shared" si="90"/>
        <v>61.091660185737446</v>
      </c>
      <c r="BC142" s="44">
        <f t="shared" si="90"/>
        <v>58.535122746807936</v>
      </c>
      <c r="BD142" s="44">
        <f t="shared" si="90"/>
        <v>56.111197707313117</v>
      </c>
    </row>
    <row r="143" spans="2:56" x14ac:dyDescent="0.25">
      <c r="D143" s="75" t="s">
        <v>41</v>
      </c>
      <c r="E143" s="44">
        <f t="shared" si="89"/>
        <v>0</v>
      </c>
      <c r="F143" s="44">
        <f t="shared" si="90"/>
        <v>0</v>
      </c>
      <c r="G143" s="44">
        <f t="shared" si="90"/>
        <v>0</v>
      </c>
      <c r="H143" s="44">
        <f t="shared" si="90"/>
        <v>-11.174456521739129</v>
      </c>
      <c r="I143" s="44">
        <f t="shared" si="90"/>
        <v>-5.9690217391304348</v>
      </c>
      <c r="J143" s="44">
        <f t="shared" si="90"/>
        <v>0</v>
      </c>
      <c r="K143" s="44">
        <f t="shared" si="90"/>
        <v>-21.910054347826087</v>
      </c>
      <c r="L143" s="44">
        <f t="shared" si="90"/>
        <v>-13.114130434782608</v>
      </c>
      <c r="M143" s="44">
        <f t="shared" si="90"/>
        <v>-13.447826086956523</v>
      </c>
      <c r="N143" s="44">
        <f t="shared" si="90"/>
        <v>-6.4904891304347831</v>
      </c>
      <c r="O143" s="44">
        <f t="shared" si="90"/>
        <v>-0.67554347826086891</v>
      </c>
      <c r="P143" s="44">
        <f t="shared" si="90"/>
        <v>0</v>
      </c>
      <c r="Q143" s="44">
        <f t="shared" si="90"/>
        <v>-5.9934782608695656</v>
      </c>
      <c r="R143" s="44">
        <f t="shared" si="90"/>
        <v>0</v>
      </c>
      <c r="S143" s="44">
        <f t="shared" si="90"/>
        <v>-0.93559782608695652</v>
      </c>
      <c r="T143" s="44">
        <f t="shared" si="90"/>
        <v>-7.6176630434782622</v>
      </c>
      <c r="U143" s="44">
        <f t="shared" si="90"/>
        <v>5.6486413043478265</v>
      </c>
      <c r="V143" s="44">
        <f t="shared" si="90"/>
        <v>10.717391304347826</v>
      </c>
      <c r="W143" s="44">
        <f t="shared" si="90"/>
        <v>10.543478260869566</v>
      </c>
      <c r="X143" s="44">
        <f t="shared" si="90"/>
        <v>8.5709239130434778</v>
      </c>
      <c r="Y143" s="44">
        <f t="shared" si="90"/>
        <v>-8.0400000000000009</v>
      </c>
      <c r="Z143" s="44">
        <f t="shared" si="90"/>
        <v>-4.494539945652174</v>
      </c>
      <c r="AA143" s="44">
        <f t="shared" si="90"/>
        <v>7.2573866978260861</v>
      </c>
      <c r="AB143" s="44">
        <f t="shared" si="90"/>
        <v>5.3341792229021738</v>
      </c>
      <c r="AC143" s="44">
        <f t="shared" si="90"/>
        <v>2.7093134780613042</v>
      </c>
      <c r="AD143" s="44">
        <f t="shared" si="90"/>
        <v>-4.4216596055859485</v>
      </c>
      <c r="AE143" s="44">
        <f t="shared" si="90"/>
        <v>-7.319143148828557</v>
      </c>
      <c r="AF143" s="44">
        <f t="shared" si="90"/>
        <v>0</v>
      </c>
      <c r="AG143" s="44">
        <f t="shared" si="90"/>
        <v>-3.2144503556264916</v>
      </c>
      <c r="AH143" s="44">
        <f t="shared" si="90"/>
        <v>4.8102600583823065</v>
      </c>
      <c r="AI143" s="44">
        <f t="shared" si="90"/>
        <v>0</v>
      </c>
      <c r="AJ143" s="44">
        <f t="shared" si="90"/>
        <v>7.4244518839600806</v>
      </c>
      <c r="AK143" s="44">
        <f t="shared" si="90"/>
        <v>7.3130851057006794</v>
      </c>
      <c r="AL143" s="44">
        <f t="shared" si="90"/>
        <v>1.931281989887488</v>
      </c>
      <c r="AM143" s="44">
        <f t="shared" si="90"/>
        <v>0</v>
      </c>
      <c r="AN143" s="44">
        <f t="shared" si="90"/>
        <v>0</v>
      </c>
      <c r="AO143" s="44">
        <f t="shared" si="90"/>
        <v>0</v>
      </c>
      <c r="AP143" s="44">
        <f t="shared" si="90"/>
        <v>0</v>
      </c>
      <c r="AQ143" s="44">
        <f t="shared" si="90"/>
        <v>0</v>
      </c>
      <c r="AR143" s="44">
        <f t="shared" si="90"/>
        <v>0</v>
      </c>
      <c r="AS143" s="44">
        <f t="shared" si="90"/>
        <v>0</v>
      </c>
      <c r="AT143" s="44">
        <f t="shared" si="90"/>
        <v>0</v>
      </c>
      <c r="AU143" s="44">
        <f t="shared" si="90"/>
        <v>0</v>
      </c>
      <c r="AV143" s="44">
        <f t="shared" si="90"/>
        <v>0</v>
      </c>
      <c r="AW143" s="44">
        <f t="shared" si="90"/>
        <v>0</v>
      </c>
      <c r="AX143" s="44">
        <f t="shared" si="90"/>
        <v>0</v>
      </c>
      <c r="AY143" s="44">
        <f t="shared" si="90"/>
        <v>0</v>
      </c>
      <c r="AZ143" s="44">
        <f t="shared" si="90"/>
        <v>55.475986991630656</v>
      </c>
      <c r="BA143" s="44">
        <f t="shared" si="90"/>
        <v>36.793459331912445</v>
      </c>
      <c r="BB143" s="44">
        <f t="shared" si="90"/>
        <v>0</v>
      </c>
      <c r="BC143" s="44">
        <f t="shared" si="90"/>
        <v>0</v>
      </c>
      <c r="BD143" s="44">
        <f t="shared" si="90"/>
        <v>0</v>
      </c>
    </row>
    <row r="144" spans="2:56" x14ac:dyDescent="0.25">
      <c r="D144" s="75" t="s">
        <v>42</v>
      </c>
      <c r="E144" s="71">
        <v>0.85</v>
      </c>
      <c r="F144" s="71">
        <v>0.85</v>
      </c>
      <c r="G144" s="71">
        <v>0.85</v>
      </c>
      <c r="H144" s="71">
        <v>0.85</v>
      </c>
      <c r="I144" s="71">
        <v>0.85</v>
      </c>
      <c r="J144" s="71">
        <v>0.85</v>
      </c>
      <c r="K144" s="71">
        <v>0.85</v>
      </c>
      <c r="L144" s="71">
        <v>0.85</v>
      </c>
      <c r="M144" s="71">
        <v>0.85</v>
      </c>
      <c r="N144" s="71">
        <v>0.85</v>
      </c>
      <c r="O144" s="71">
        <v>0.85</v>
      </c>
      <c r="P144" s="71">
        <v>0.85</v>
      </c>
      <c r="Q144" s="71">
        <v>0.85</v>
      </c>
      <c r="R144" s="71">
        <v>0.85</v>
      </c>
      <c r="S144" s="71">
        <v>0.85</v>
      </c>
      <c r="T144" s="71">
        <v>0.85</v>
      </c>
      <c r="U144" s="71">
        <v>0.85</v>
      </c>
      <c r="V144" s="71">
        <v>0.85</v>
      </c>
      <c r="W144" s="71">
        <v>0.85</v>
      </c>
      <c r="X144" s="71">
        <v>0.85</v>
      </c>
      <c r="Y144" s="71">
        <v>0.85</v>
      </c>
      <c r="Z144" s="71">
        <v>0.85</v>
      </c>
      <c r="AA144" s="71">
        <v>0.85</v>
      </c>
      <c r="AB144" s="71">
        <v>0.85</v>
      </c>
      <c r="AC144" s="71">
        <v>0.85</v>
      </c>
      <c r="AD144" s="71">
        <v>0.85</v>
      </c>
      <c r="AE144" s="71">
        <v>0.85</v>
      </c>
      <c r="AF144" s="71">
        <v>0.85</v>
      </c>
      <c r="AG144" s="71">
        <v>0.85</v>
      </c>
      <c r="AH144" s="71">
        <v>0.85</v>
      </c>
      <c r="AI144" s="71">
        <v>0.85</v>
      </c>
      <c r="AJ144" s="71">
        <v>0.85</v>
      </c>
      <c r="AK144" s="71">
        <v>0.85</v>
      </c>
      <c r="AL144" s="71">
        <v>0.85</v>
      </c>
      <c r="AM144" s="71">
        <v>0.85</v>
      </c>
      <c r="AN144" s="71">
        <v>0.85</v>
      </c>
      <c r="AO144" s="71">
        <v>0.85</v>
      </c>
      <c r="AP144" s="71">
        <v>0.85</v>
      </c>
      <c r="AQ144" s="71">
        <v>0.85</v>
      </c>
      <c r="AR144" s="71">
        <v>0.85</v>
      </c>
      <c r="AS144" s="71">
        <v>0.85</v>
      </c>
      <c r="AT144" s="71">
        <v>0.85</v>
      </c>
      <c r="AU144" s="71">
        <v>0.85</v>
      </c>
      <c r="AV144" s="71">
        <v>0.85</v>
      </c>
      <c r="AW144" s="71">
        <v>0.85</v>
      </c>
      <c r="AX144" s="71">
        <v>0.85</v>
      </c>
      <c r="AY144" s="71">
        <v>0.85</v>
      </c>
      <c r="AZ144" s="71">
        <v>0.85</v>
      </c>
      <c r="BA144" s="71">
        <v>0.85</v>
      </c>
      <c r="BB144" s="71">
        <v>0.85</v>
      </c>
      <c r="BC144" s="71">
        <v>0.85</v>
      </c>
      <c r="BD144" s="71">
        <v>0.85</v>
      </c>
    </row>
    <row r="145" spans="4:56" x14ac:dyDescent="0.25">
      <c r="D145" s="75" t="s">
        <v>43</v>
      </c>
      <c r="E145" s="63">
        <f t="shared" ref="E145:BD145" si="91">(E143*(40*(1-E144)+40))/SUM(E136:E142)</f>
        <v>0</v>
      </c>
      <c r="F145" s="63">
        <f t="shared" si="91"/>
        <v>0</v>
      </c>
      <c r="G145" s="63">
        <f t="shared" si="91"/>
        <v>0</v>
      </c>
      <c r="H145" s="63">
        <f t="shared" si="91"/>
        <v>-2.9509867240760674</v>
      </c>
      <c r="I145" s="63">
        <f t="shared" si="91"/>
        <v>-1.6606940349285551</v>
      </c>
      <c r="J145" s="63">
        <f t="shared" si="91"/>
        <v>0</v>
      </c>
      <c r="K145" s="63">
        <f t="shared" si="91"/>
        <v>-7.2248207885304661</v>
      </c>
      <c r="L145" s="63">
        <f t="shared" si="91"/>
        <v>-4.2074978204010458</v>
      </c>
      <c r="M145" s="63">
        <f t="shared" si="91"/>
        <v>-4.4858593183466278</v>
      </c>
      <c r="N145" s="63">
        <f t="shared" si="91"/>
        <v>-2.1713636363636364</v>
      </c>
      <c r="O145" s="63">
        <f t="shared" si="91"/>
        <v>-0.22430749796986355</v>
      </c>
      <c r="P145" s="63">
        <f t="shared" si="91"/>
        <v>0</v>
      </c>
      <c r="Q145" s="63">
        <f t="shared" si="91"/>
        <v>-2.1593890738202468</v>
      </c>
      <c r="R145" s="63">
        <f t="shared" si="91"/>
        <v>0</v>
      </c>
      <c r="S145" s="63">
        <f t="shared" si="91"/>
        <v>-0.34651771336553944</v>
      </c>
      <c r="T145" s="63">
        <f t="shared" si="91"/>
        <v>-2.8911922442244231</v>
      </c>
      <c r="U145" s="63">
        <f t="shared" si="91"/>
        <v>2.1529777317452101</v>
      </c>
      <c r="V145" s="63">
        <f t="shared" si="91"/>
        <v>3.8643934940231235</v>
      </c>
      <c r="W145" s="63">
        <f t="shared" si="91"/>
        <v>3.9223615042458557</v>
      </c>
      <c r="X145" s="63">
        <f t="shared" si="91"/>
        <v>3.2210988562091503</v>
      </c>
      <c r="Y145" s="63">
        <f t="shared" si="91"/>
        <v>-2.9884166432885193</v>
      </c>
      <c r="Z145" s="63">
        <f t="shared" si="91"/>
        <v>-1.7182527983748772</v>
      </c>
      <c r="AA145" s="63">
        <f t="shared" si="91"/>
        <v>2.9663083003984849</v>
      </c>
      <c r="AB145" s="63">
        <f t="shared" si="91"/>
        <v>2.2127042169095499</v>
      </c>
      <c r="AC145" s="63">
        <f t="shared" si="91"/>
        <v>1.1405672618264011</v>
      </c>
      <c r="AD145" s="63">
        <f t="shared" si="91"/>
        <v>-1.8378242556622639</v>
      </c>
      <c r="AE145" s="63">
        <f t="shared" si="91"/>
        <v>-3.0871799038480234</v>
      </c>
      <c r="AF145" s="63">
        <f t="shared" si="91"/>
        <v>0</v>
      </c>
      <c r="AG145" s="63">
        <f t="shared" si="91"/>
        <v>-1.3832890622520411</v>
      </c>
      <c r="AH145" s="63">
        <f t="shared" si="91"/>
        <v>1.9608748183884663</v>
      </c>
      <c r="AI145" s="63">
        <f t="shared" si="91"/>
        <v>0</v>
      </c>
      <c r="AJ145" s="63">
        <f t="shared" si="91"/>
        <v>2.6958977146966863</v>
      </c>
      <c r="AK145" s="63">
        <f t="shared" si="91"/>
        <v>2.696149025638229</v>
      </c>
      <c r="AL145" s="63">
        <f t="shared" si="91"/>
        <v>0.70559220473455009</v>
      </c>
      <c r="AM145" s="63">
        <f t="shared" si="91"/>
        <v>0</v>
      </c>
      <c r="AN145" s="63">
        <f t="shared" si="91"/>
        <v>0</v>
      </c>
      <c r="AO145" s="63">
        <f t="shared" si="91"/>
        <v>0</v>
      </c>
      <c r="AP145" s="63">
        <f t="shared" si="91"/>
        <v>0</v>
      </c>
      <c r="AQ145" s="63">
        <f t="shared" si="91"/>
        <v>0</v>
      </c>
      <c r="AR145" s="63">
        <f t="shared" si="91"/>
        <v>0</v>
      </c>
      <c r="AS145" s="63">
        <f t="shared" si="91"/>
        <v>0</v>
      </c>
      <c r="AT145" s="63">
        <f t="shared" si="91"/>
        <v>0</v>
      </c>
      <c r="AU145" s="63">
        <f t="shared" si="91"/>
        <v>0</v>
      </c>
      <c r="AV145" s="63">
        <f t="shared" si="91"/>
        <v>0</v>
      </c>
      <c r="AW145" s="63">
        <f t="shared" si="91"/>
        <v>0</v>
      </c>
      <c r="AX145" s="63">
        <f t="shared" si="91"/>
        <v>0</v>
      </c>
      <c r="AY145" s="63">
        <f t="shared" si="91"/>
        <v>0</v>
      </c>
      <c r="AZ145" s="63">
        <f t="shared" si="91"/>
        <v>6.3104141076399225</v>
      </c>
      <c r="BA145" s="63">
        <f t="shared" si="91"/>
        <v>4.3882557053825701</v>
      </c>
      <c r="BB145" s="63">
        <f t="shared" si="91"/>
        <v>0</v>
      </c>
      <c r="BC145" s="63">
        <f t="shared" si="91"/>
        <v>0</v>
      </c>
      <c r="BD145" s="63">
        <f t="shared" si="91"/>
        <v>0</v>
      </c>
    </row>
    <row r="146" spans="4:56" x14ac:dyDescent="0.25">
      <c r="D146" s="77" t="s">
        <v>44</v>
      </c>
      <c r="E146" s="61">
        <f t="shared" ref="E146:K146" si="92">SUM(E136:E143)</f>
        <v>284.58325000000002</v>
      </c>
      <c r="F146" s="61">
        <f t="shared" si="92"/>
        <v>232.82075</v>
      </c>
      <c r="G146" s="61">
        <f t="shared" si="92"/>
        <v>187.76249999999999</v>
      </c>
      <c r="H146" s="61">
        <f t="shared" si="92"/>
        <v>163.01304347826087</v>
      </c>
      <c r="I146" s="61">
        <f t="shared" si="92"/>
        <v>159.36847826086958</v>
      </c>
      <c r="J146" s="61">
        <f t="shared" si="92"/>
        <v>164.33750000000001</v>
      </c>
      <c r="K146" s="61">
        <f t="shared" si="92"/>
        <v>117.58994565217391</v>
      </c>
      <c r="L146" s="61">
        <f t="shared" ref="L146:BD146" si="93">SUM(L136:L143)</f>
        <v>130.2608695652174</v>
      </c>
      <c r="M146" s="61">
        <f t="shared" si="93"/>
        <v>124.45217391304348</v>
      </c>
      <c r="N146" s="61">
        <f t="shared" si="93"/>
        <v>131.00951086956522</v>
      </c>
      <c r="O146" s="61">
        <f t="shared" si="93"/>
        <v>137.86195652173913</v>
      </c>
      <c r="P146" s="61">
        <f t="shared" si="93"/>
        <v>129.81</v>
      </c>
      <c r="Q146" s="61">
        <f t="shared" si="93"/>
        <v>121.68152173913045</v>
      </c>
      <c r="R146" s="61">
        <f t="shared" si="93"/>
        <v>126.67500000000001</v>
      </c>
      <c r="S146" s="61">
        <f t="shared" si="93"/>
        <v>123.26440217391304</v>
      </c>
      <c r="T146" s="61">
        <f t="shared" si="93"/>
        <v>113.58233695652174</v>
      </c>
      <c r="U146" s="61">
        <f t="shared" si="93"/>
        <v>126.33614130434782</v>
      </c>
      <c r="V146" s="61">
        <f t="shared" si="93"/>
        <v>138.29239130434783</v>
      </c>
      <c r="W146" s="61">
        <f t="shared" si="93"/>
        <v>134.19347826086957</v>
      </c>
      <c r="X146" s="61">
        <f t="shared" si="93"/>
        <v>130.97092391304349</v>
      </c>
      <c r="Y146" s="61">
        <f t="shared" si="93"/>
        <v>115.71784374999999</v>
      </c>
      <c r="Z146" s="61">
        <f t="shared" si="93"/>
        <v>115.83050052309781</v>
      </c>
      <c r="AA146" s="61">
        <f t="shared" si="93"/>
        <v>119.80124737985733</v>
      </c>
      <c r="AB146" s="61">
        <f t="shared" si="93"/>
        <v>116.22665295633577</v>
      </c>
      <c r="AC146" s="61">
        <f t="shared" si="93"/>
        <v>111.97811696033146</v>
      </c>
      <c r="AD146" s="61">
        <f t="shared" si="93"/>
        <v>106.25069724806724</v>
      </c>
      <c r="AE146" s="61">
        <f t="shared" si="93"/>
        <v>101.7385066585109</v>
      </c>
      <c r="AF146" s="61">
        <f t="shared" si="93"/>
        <v>108.46988216898028</v>
      </c>
      <c r="AG146" s="61">
        <f t="shared" si="93"/>
        <v>103.67912698394264</v>
      </c>
      <c r="AH146" s="61">
        <f t="shared" si="93"/>
        <v>117.65375246828391</v>
      </c>
      <c r="AI146" s="61">
        <f t="shared" si="93"/>
        <v>117.16916462395871</v>
      </c>
      <c r="AJ146" s="61">
        <f t="shared" si="93"/>
        <v>134.10759152992711</v>
      </c>
      <c r="AK146" s="61">
        <f t="shared" si="93"/>
        <v>132.08434650976886</v>
      </c>
      <c r="AL146" s="61">
        <f t="shared" si="93"/>
        <v>127.83824487682364</v>
      </c>
      <c r="AM146" s="61">
        <f t="shared" si="93"/>
        <v>124.0442840230356</v>
      </c>
      <c r="AN146" s="61">
        <f t="shared" si="93"/>
        <v>121.37971608984003</v>
      </c>
      <c r="AO146" s="61">
        <f t="shared" si="93"/>
        <v>118.79427124522147</v>
      </c>
      <c r="AP146" s="61">
        <f t="shared" si="93"/>
        <v>116.28523173805726</v>
      </c>
      <c r="AQ146" s="61">
        <f t="shared" si="93"/>
        <v>143.84997897302941</v>
      </c>
      <c r="AR146" s="61">
        <f t="shared" si="93"/>
        <v>140.65048980340947</v>
      </c>
      <c r="AS146" s="61">
        <f t="shared" si="93"/>
        <v>159.85289453577801</v>
      </c>
      <c r="AT146" s="61">
        <f t="shared" si="93"/>
        <v>163.24323453562056</v>
      </c>
      <c r="AU146" s="61">
        <f t="shared" si="93"/>
        <v>204.49484453566839</v>
      </c>
      <c r="AV146" s="61">
        <f t="shared" si="93"/>
        <v>236.07865749641027</v>
      </c>
      <c r="AW146" s="61">
        <f t="shared" si="93"/>
        <v>277.26345501964181</v>
      </c>
      <c r="AX146" s="61">
        <f t="shared" si="93"/>
        <v>362.58955969013203</v>
      </c>
      <c r="AY146" s="61">
        <f t="shared" si="93"/>
        <v>429.24763224323863</v>
      </c>
      <c r="AZ146" s="61">
        <f t="shared" si="93"/>
        <v>459.87027207118967</v>
      </c>
      <c r="BA146" s="61">
        <f t="shared" si="93"/>
        <v>422.48181545755432</v>
      </c>
      <c r="BB146" s="61">
        <f t="shared" si="93"/>
        <v>362.31861097805353</v>
      </c>
      <c r="BC146" s="61">
        <f t="shared" si="93"/>
        <v>340.53389277110574</v>
      </c>
      <c r="BD146" s="61">
        <f t="shared" si="93"/>
        <v>318.97099363441737</v>
      </c>
    </row>
    <row r="147" spans="4:56" x14ac:dyDescent="0.25">
      <c r="D147" s="78" t="s">
        <v>45</v>
      </c>
      <c r="E147" s="56">
        <f t="shared" ref="E147:AJ147" si="94">E146-E124</f>
        <v>34.708970191733755</v>
      </c>
      <c r="F147" s="56">
        <f t="shared" si="94"/>
        <v>31.198869787175425</v>
      </c>
      <c r="G147" s="56">
        <f t="shared" si="94"/>
        <v>32.292970612362552</v>
      </c>
      <c r="H147" s="56">
        <f t="shared" si="94"/>
        <v>18.675007175680491</v>
      </c>
      <c r="I147" s="56">
        <f t="shared" si="94"/>
        <v>19.121552474338699</v>
      </c>
      <c r="J147" s="56">
        <f t="shared" si="94"/>
        <v>37.545710270363784</v>
      </c>
      <c r="K147" s="56">
        <f t="shared" si="94"/>
        <v>11.45080517291187</v>
      </c>
      <c r="L147" s="56">
        <f t="shared" si="94"/>
        <v>22.211582783121457</v>
      </c>
      <c r="M147" s="56">
        <f t="shared" si="94"/>
        <v>18.492608694303385</v>
      </c>
      <c r="N147" s="56">
        <f t="shared" si="94"/>
        <v>11.15617352588032</v>
      </c>
      <c r="O147" s="56">
        <f t="shared" si="94"/>
        <v>0.85037419857633267</v>
      </c>
      <c r="P147" s="56">
        <f t="shared" si="94"/>
        <v>-5.3935376746363204</v>
      </c>
      <c r="Q147" s="56">
        <f t="shared" si="94"/>
        <v>12.485592990667101</v>
      </c>
      <c r="R147" s="56">
        <f t="shared" si="94"/>
        <v>18.127039669659752</v>
      </c>
      <c r="S147" s="56">
        <f t="shared" si="94"/>
        <v>12.639670021526129</v>
      </c>
      <c r="T147" s="56">
        <f t="shared" si="94"/>
        <v>-3.5694891899501897</v>
      </c>
      <c r="U147" s="56">
        <f t="shared" si="94"/>
        <v>7.2366389607338277</v>
      </c>
      <c r="V147" s="56">
        <f t="shared" si="94"/>
        <v>5.4027559294229661</v>
      </c>
      <c r="W147" s="56">
        <f t="shared" si="94"/>
        <v>4.6882719757897178</v>
      </c>
      <c r="X147" s="56">
        <f t="shared" si="94"/>
        <v>5.5768671832146026</v>
      </c>
      <c r="Y147" s="56">
        <f t="shared" si="94"/>
        <v>0.41668574441706596</v>
      </c>
      <c r="Z147" s="56">
        <f t="shared" si="94"/>
        <v>7.3477278430163437</v>
      </c>
      <c r="AA147" s="56">
        <f t="shared" si="94"/>
        <v>-3.0675517466480358</v>
      </c>
      <c r="AB147" s="56">
        <f t="shared" si="94"/>
        <v>-0.35831766670044374</v>
      </c>
      <c r="AC147" s="56">
        <f t="shared" si="94"/>
        <v>2.7991552899014209</v>
      </c>
      <c r="AD147" s="56">
        <f t="shared" si="94"/>
        <v>7.9672144647160792</v>
      </c>
      <c r="AE147" s="56">
        <f t="shared" si="94"/>
        <v>12.836254622475565</v>
      </c>
      <c r="AF147" s="56">
        <f t="shared" si="94"/>
        <v>10.15643401892369</v>
      </c>
      <c r="AG147" s="56">
        <f t="shared" si="94"/>
        <v>15.257945662340717</v>
      </c>
      <c r="AH147" s="56">
        <f t="shared" si="94"/>
        <v>12.586706181152167</v>
      </c>
      <c r="AI147" s="56">
        <f t="shared" si="94"/>
        <v>9.625566125813009</v>
      </c>
      <c r="AJ147" s="56">
        <f t="shared" si="94"/>
        <v>14.037565204333589</v>
      </c>
      <c r="AK147" s="56">
        <f t="shared" ref="AK147:BD147" si="95">AK146-AK124</f>
        <v>8.5641002423805759</v>
      </c>
      <c r="AL147" s="56">
        <f t="shared" si="95"/>
        <v>5.6446154769670471</v>
      </c>
      <c r="AM147" s="56">
        <f t="shared" si="95"/>
        <v>4.2054063612949051</v>
      </c>
      <c r="AN147" s="56">
        <f t="shared" si="95"/>
        <v>15.314066379100211</v>
      </c>
      <c r="AO147" s="56">
        <f t="shared" si="95"/>
        <v>10.921152838858504</v>
      </c>
      <c r="AP147" s="56">
        <f t="shared" si="95"/>
        <v>2.6163416366352976</v>
      </c>
      <c r="AQ147" s="56">
        <f t="shared" si="95"/>
        <v>19.777632418914465</v>
      </c>
      <c r="AR147" s="56">
        <f t="shared" si="95"/>
        <v>18.342358345223317</v>
      </c>
      <c r="AS147" s="56">
        <f t="shared" si="95"/>
        <v>31.388120109410721</v>
      </c>
      <c r="AT147" s="56">
        <f t="shared" si="95"/>
        <v>31.55293485937375</v>
      </c>
      <c r="AU147" s="56">
        <f t="shared" si="95"/>
        <v>61.424393444974044</v>
      </c>
      <c r="AV147" s="56">
        <f t="shared" si="95"/>
        <v>66.64927140802186</v>
      </c>
      <c r="AW147" s="56">
        <f t="shared" si="95"/>
        <v>83.385010336573202</v>
      </c>
      <c r="AX147" s="56">
        <f t="shared" si="95"/>
        <v>167.8932677045045</v>
      </c>
      <c r="AY147" s="56">
        <f t="shared" si="95"/>
        <v>63.71286641757581</v>
      </c>
      <c r="AZ147" s="56">
        <f t="shared" si="95"/>
        <v>-24.411097127735729</v>
      </c>
      <c r="BA147" s="56">
        <f t="shared" si="95"/>
        <v>-21.368772546327307</v>
      </c>
      <c r="BB147" s="56">
        <f t="shared" si="95"/>
        <v>-21.244430660018281</v>
      </c>
      <c r="BC147" s="56">
        <f t="shared" si="95"/>
        <v>107.36667132153173</v>
      </c>
      <c r="BD147" s="56">
        <f t="shared" si="95"/>
        <v>113.5729933222525</v>
      </c>
    </row>
  </sheetData>
  <mergeCells count="7">
    <mergeCell ref="C136:C142"/>
    <mergeCell ref="C3:C7"/>
    <mergeCell ref="C125:C131"/>
    <mergeCell ref="C57:C76"/>
    <mergeCell ref="C36:C54"/>
    <mergeCell ref="C79:C99"/>
    <mergeCell ref="C103:C120"/>
  </mergeCells>
  <conditionalFormatting sqref="E30:K30 E121:K121 M121:BD121 M30:BD30">
    <cfRule type="expression" dxfId="875" priority="260">
      <formula>IF(E$3=TODAY()-WEEKDAY(TODAY())+7,TRUE,FALSE)</formula>
    </cfRule>
  </conditionalFormatting>
  <conditionalFormatting sqref="E28:K28 M28:BD28">
    <cfRule type="expression" dxfId="874" priority="262">
      <formula>IF(E$3=TODAY()-WEEKDAY(TODAY())+7,TRUE,FALSE)</formula>
    </cfRule>
  </conditionalFormatting>
  <conditionalFormatting sqref="E54:K54 M54:BD54">
    <cfRule type="expression" dxfId="873" priority="254">
      <formula>IF(E$3=TODAY()-WEEKDAY(TODAY())+7,TRUE,FALSE)</formula>
    </cfRule>
  </conditionalFormatting>
  <conditionalFormatting sqref="E49:K49 M49:BD49">
    <cfRule type="expression" dxfId="872" priority="259">
      <formula>IF(E$3=TODAY()-WEEKDAY(TODAY())+7,TRUE,FALSE)</formula>
    </cfRule>
  </conditionalFormatting>
  <conditionalFormatting sqref="E52:BD52">
    <cfRule type="expression" dxfId="871" priority="256">
      <formula>IF(E$3=TODAY()-WEEKDAY(TODAY())+7,TRUE,FALSE)</formula>
    </cfRule>
  </conditionalFormatting>
  <conditionalFormatting sqref="E71:K71">
    <cfRule type="expression" dxfId="870" priority="253">
      <formula>IF(E$3=TODAY()-WEEKDAY(TODAY())+7,TRUE,FALSE)</formula>
    </cfRule>
  </conditionalFormatting>
  <conditionalFormatting sqref="E74:BD74">
    <cfRule type="expression" dxfId="869" priority="251">
      <formula>IF(E$3=TODAY()-WEEKDAY(TODAY())+7,TRUE,FALSE)</formula>
    </cfRule>
  </conditionalFormatting>
  <conditionalFormatting sqref="E76:K76">
    <cfRule type="expression" dxfId="868" priority="249">
      <formula>IF(E$3=TODAY()-WEEKDAY(TODAY())+7,TRUE,FALSE)</formula>
    </cfRule>
  </conditionalFormatting>
  <conditionalFormatting sqref="F94:K94">
    <cfRule type="expression" dxfId="867" priority="248">
      <formula>IF(F$3=TODAY()-WEEKDAY(TODAY())+7,TRUE,FALSE)</formula>
    </cfRule>
  </conditionalFormatting>
  <conditionalFormatting sqref="E97:BD97">
    <cfRule type="expression" dxfId="866" priority="245">
      <formula>IF(E$3=TODAY()-WEEKDAY(TODAY())+7,TRUE,FALSE)</formula>
    </cfRule>
  </conditionalFormatting>
  <conditionalFormatting sqref="E145:K145">
    <cfRule type="expression" dxfId="865" priority="242">
      <formula>IF(E$3=TODAY()-WEEKDAY(TODAY())+7,TRUE,FALSE)</formula>
    </cfRule>
  </conditionalFormatting>
  <conditionalFormatting sqref="E146:K146">
    <cfRule type="expression" dxfId="864" priority="241">
      <formula>IF(E$3=TODAY()-WEEKDAY(TODAY())+7,TRUE,FALSE)</formula>
    </cfRule>
  </conditionalFormatting>
  <conditionalFormatting sqref="E32:K32 M32:BD32">
    <cfRule type="expression" dxfId="863" priority="236">
      <formula>IF(E$3=TODAY()-WEEKDAY(TODAY())+7,TRUE,FALSE)</formula>
    </cfRule>
  </conditionalFormatting>
  <conditionalFormatting sqref="E31:K31 M31:BD31">
    <cfRule type="expression" dxfId="862" priority="235">
      <formula>IF(E$3=TODAY()-WEEKDAY(TODAY())+7,TRUE,FALSE)</formula>
    </cfRule>
  </conditionalFormatting>
  <conditionalFormatting sqref="E29:K29 M29:BD29">
    <cfRule type="expression" dxfId="861" priority="234">
      <formula>IF(E$3=TODAY()-WEEKDAY(TODAY())+7,TRUE,FALSE)</formula>
    </cfRule>
  </conditionalFormatting>
  <conditionalFormatting sqref="E53:K53 M53:BD53">
    <cfRule type="expression" dxfId="860" priority="233">
      <formula>IF(E$3=TODAY()-WEEKDAY(TODAY())+7,TRUE,FALSE)</formula>
    </cfRule>
  </conditionalFormatting>
  <conditionalFormatting sqref="E75:K75">
    <cfRule type="expression" dxfId="859" priority="232">
      <formula>IF(E$3=TODAY()-WEEKDAY(TODAY())+7,TRUE,FALSE)</formula>
    </cfRule>
  </conditionalFormatting>
  <conditionalFormatting sqref="E98:K98 M98:T98 V98:BD98">
    <cfRule type="expression" dxfId="858" priority="231">
      <formula>IF(E$3=TODAY()-WEEKDAY(TODAY())+7,TRUE,FALSE)</formula>
    </cfRule>
  </conditionalFormatting>
  <conditionalFormatting sqref="E147:K147">
    <cfRule type="expression" dxfId="857" priority="230">
      <formula>IF(E$3=TODAY()-WEEKDAY(TODAY())+7,TRUE,FALSE)</formula>
    </cfRule>
  </conditionalFormatting>
  <conditionalFormatting sqref="E18:F24">
    <cfRule type="cellIs" dxfId="856" priority="222" operator="lessThan">
      <formula>0</formula>
    </cfRule>
  </conditionalFormatting>
  <conditionalFormatting sqref="E18:F24 F25:K25 M25:BD25">
    <cfRule type="expression" dxfId="855" priority="223">
      <formula>IF(E$3=TODAY()-WEEKDAY(TODAY())+7,TRUE,FALSE)</formula>
    </cfRule>
  </conditionalFormatting>
  <conditionalFormatting sqref="E26:K26 M26:BD26">
    <cfRule type="expression" dxfId="854" priority="221">
      <formula>IF(E$3=TODAY()-WEEKDAY(TODAY())+7,TRUE,FALSE)</formula>
    </cfRule>
  </conditionalFormatting>
  <conditionalFormatting sqref="E33:K33 M33:BD33">
    <cfRule type="cellIs" dxfId="853" priority="218" operator="lessThan">
      <formula>0</formula>
    </cfRule>
  </conditionalFormatting>
  <conditionalFormatting sqref="E33:K33 M33:BD33">
    <cfRule type="expression" dxfId="852" priority="219">
      <formula>IF(E$3=TODAY()-WEEKDAY(TODAY())+7,TRUE,FALSE)</formula>
    </cfRule>
  </conditionalFormatting>
  <conditionalFormatting sqref="E42:K48 M42:BD48">
    <cfRule type="cellIs" dxfId="851" priority="216" operator="lessThan">
      <formula>0</formula>
    </cfRule>
  </conditionalFormatting>
  <conditionalFormatting sqref="E42:K48 M42:BD48">
    <cfRule type="expression" dxfId="850" priority="217">
      <formula>IF(E$3=TODAY()-WEEKDAY(TODAY())+7,TRUE,FALSE)</formula>
    </cfRule>
  </conditionalFormatting>
  <conditionalFormatting sqref="E50:K50 M50:BD50">
    <cfRule type="expression" dxfId="849" priority="211">
      <formula>IF(E$3=TODAY()-WEEKDAY(TODAY())+7,TRUE,FALSE)</formula>
    </cfRule>
  </conditionalFormatting>
  <conditionalFormatting sqref="E61:K61 M61:BD61">
    <cfRule type="expression" dxfId="848" priority="205">
      <formula>IF(E$3=TODAY()-WEEKDAY(TODAY())+7,TRUE,FALSE)</formula>
    </cfRule>
  </conditionalFormatting>
  <conditionalFormatting sqref="E64:K70 M64:BD70">
    <cfRule type="cellIs" dxfId="847" priority="203" operator="lessThan">
      <formula>0</formula>
    </cfRule>
  </conditionalFormatting>
  <conditionalFormatting sqref="E64:K70 M64:BD70">
    <cfRule type="expression" dxfId="846" priority="204">
      <formula>IF(E$3=TODAY()-WEEKDAY(TODAY())+7,TRUE,FALSE)</formula>
    </cfRule>
  </conditionalFormatting>
  <conditionalFormatting sqref="E72:K72 M72:BD72">
    <cfRule type="expression" dxfId="845" priority="202">
      <formula>IF(E$3=TODAY()-WEEKDAY(TODAY())+7,TRUE,FALSE)</formula>
    </cfRule>
  </conditionalFormatting>
  <conditionalFormatting sqref="M71:BD71">
    <cfRule type="expression" dxfId="844" priority="201">
      <formula>IF(M$3=TODAY()-WEEKDAY(TODAY())+7,TRUE,FALSE)</formula>
    </cfRule>
  </conditionalFormatting>
  <conditionalFormatting sqref="M74:BD74">
    <cfRule type="expression" dxfId="843" priority="200">
      <formula>IF(M$3=TODAY()-WEEKDAY(TODAY())+7,TRUE,FALSE)</formula>
    </cfRule>
  </conditionalFormatting>
  <conditionalFormatting sqref="M76:BD76">
    <cfRule type="expression" dxfId="842" priority="199">
      <formula>IF(M$3=TODAY()-WEEKDAY(TODAY())+7,TRUE,FALSE)</formula>
    </cfRule>
  </conditionalFormatting>
  <conditionalFormatting sqref="M75:BD75">
    <cfRule type="expression" dxfId="841" priority="198">
      <formula>IF(M$3=TODAY()-WEEKDAY(TODAY())+7,TRUE,FALSE)</formula>
    </cfRule>
  </conditionalFormatting>
  <conditionalFormatting sqref="E83:K84 M83:BD84">
    <cfRule type="expression" dxfId="840" priority="193">
      <formula>IF(E$3=TODAY()-WEEKDAY(TODAY())+7,TRUE,FALSE)</formula>
    </cfRule>
  </conditionalFormatting>
  <conditionalFormatting sqref="E87:K93 M87:BD93">
    <cfRule type="cellIs" dxfId="839" priority="191" operator="lessThan">
      <formula>0</formula>
    </cfRule>
  </conditionalFormatting>
  <conditionalFormatting sqref="E87:K93 M87:BD93">
    <cfRule type="expression" dxfId="838" priority="192">
      <formula>IF(E$3=TODAY()-WEEKDAY(TODAY())+7,TRUE,FALSE)</formula>
    </cfRule>
  </conditionalFormatting>
  <conditionalFormatting sqref="M94:BD94">
    <cfRule type="expression" dxfId="837" priority="190">
      <formula>IF(M$3=TODAY()-WEEKDAY(TODAY())+7,TRUE,FALSE)</formula>
    </cfRule>
  </conditionalFormatting>
  <conditionalFormatting sqref="E95:K95 M95:BD95">
    <cfRule type="expression" dxfId="836" priority="189">
      <formula>IF(E$3=TODAY()-WEEKDAY(TODAY())+7,TRUE,FALSE)</formula>
    </cfRule>
  </conditionalFormatting>
  <conditionalFormatting sqref="E144:K144 M144:BD144">
    <cfRule type="expression" dxfId="835" priority="187">
      <formula>IF(E$3=TODAY()-WEEKDAY(TODAY())+7,TRUE,FALSE)</formula>
    </cfRule>
  </conditionalFormatting>
  <conditionalFormatting sqref="M147:BD147">
    <cfRule type="expression" dxfId="834" priority="184">
      <formula>IF(M$3=TODAY()-WEEKDAY(TODAY())+7,TRUE,FALSE)</formula>
    </cfRule>
  </conditionalFormatting>
  <conditionalFormatting sqref="M145:BD145">
    <cfRule type="expression" dxfId="833" priority="186">
      <formula>IF(M$3=TODAY()-WEEKDAY(TODAY())+7,TRUE,FALSE)</formula>
    </cfRule>
  </conditionalFormatting>
  <conditionalFormatting sqref="M146:BD146">
    <cfRule type="expression" dxfId="832" priority="185">
      <formula>IF(M$3=TODAY()-WEEKDAY(TODAY())+7,TRUE,FALSE)</formula>
    </cfRule>
  </conditionalFormatting>
  <conditionalFormatting sqref="E36:K36 M36:BD36">
    <cfRule type="expression" dxfId="831" priority="179">
      <formula>IF(E$3=TODAY()-WEEKDAY(TODAY())+7,TRUE,FALSE)</formula>
    </cfRule>
  </conditionalFormatting>
  <conditionalFormatting sqref="E37:K37 M37:BD37">
    <cfRule type="expression" dxfId="830" priority="178">
      <formula>IF(E$3=TODAY()-WEEKDAY(TODAY())+7,TRUE,FALSE)</formula>
    </cfRule>
  </conditionalFormatting>
  <conditionalFormatting sqref="E38:K38 M38:BD38">
    <cfRule type="expression" dxfId="829" priority="177">
      <formula>IF(E$3=TODAY()-WEEKDAY(TODAY())+7,TRUE,FALSE)</formula>
    </cfRule>
  </conditionalFormatting>
  <conditionalFormatting sqref="E39:K39 M39:BD39">
    <cfRule type="expression" dxfId="828" priority="176">
      <formula>IF(E$3=TODAY()-WEEKDAY(TODAY())+7,TRUE,FALSE)</formula>
    </cfRule>
  </conditionalFormatting>
  <conditionalFormatting sqref="E3:K3 M3:BD3">
    <cfRule type="expression" dxfId="827" priority="171">
      <formula>IF(E$3=TODAY()-WEEKDAY(TODAY())+7,TRUE,FALSE)</formula>
    </cfRule>
  </conditionalFormatting>
  <conditionalFormatting sqref="E4:K4 M4:BD4">
    <cfRule type="expression" dxfId="826" priority="170">
      <formula>IF(E$3=TODAY()-WEEKDAY(TODAY())+7,TRUE,FALSE)</formula>
    </cfRule>
  </conditionalFormatting>
  <conditionalFormatting sqref="E5:K5 M5:BD5">
    <cfRule type="expression" dxfId="825" priority="169">
      <formula>IF(E$3=TODAY()-WEEKDAY(TODAY())+7,TRUE,FALSE)</formula>
    </cfRule>
  </conditionalFormatting>
  <conditionalFormatting sqref="E6:K6 M6:BD6">
    <cfRule type="expression" dxfId="824" priority="168">
      <formula>IF(E$3=TODAY()-WEEKDAY(TODAY())+7,TRUE,FALSE)</formula>
    </cfRule>
  </conditionalFormatting>
  <conditionalFormatting sqref="E57:K57 M57:BD57">
    <cfRule type="expression" dxfId="823" priority="167">
      <formula>IF(E$3=TODAY()-WEEKDAY(TODAY())+7,TRUE,FALSE)</formula>
    </cfRule>
  </conditionalFormatting>
  <conditionalFormatting sqref="E58:K58 M58:BD58">
    <cfRule type="expression" dxfId="822" priority="166">
      <formula>IF(E$3=TODAY()-WEEKDAY(TODAY())+7,TRUE,FALSE)</formula>
    </cfRule>
  </conditionalFormatting>
  <conditionalFormatting sqref="E59:K59 M59:BD59">
    <cfRule type="expression" dxfId="821" priority="165">
      <formula>IF(E$3=TODAY()-WEEKDAY(TODAY())+7,TRUE,FALSE)</formula>
    </cfRule>
  </conditionalFormatting>
  <conditionalFormatting sqref="E60:K60 M60:BD60">
    <cfRule type="expression" dxfId="820" priority="164">
      <formula>IF(E$3=TODAY()-WEEKDAY(TODAY())+7,TRUE,FALSE)</formula>
    </cfRule>
  </conditionalFormatting>
  <conditionalFormatting sqref="E79:K79 M79:BD79">
    <cfRule type="expression" dxfId="819" priority="163">
      <formula>IF(E$3=TODAY()-WEEKDAY(TODAY())+7,TRUE,FALSE)</formula>
    </cfRule>
  </conditionalFormatting>
  <conditionalFormatting sqref="E80:K80 M80:BD80">
    <cfRule type="expression" dxfId="818" priority="162">
      <formula>IF(E$3=TODAY()-WEEKDAY(TODAY())+7,TRUE,FALSE)</formula>
    </cfRule>
  </conditionalFormatting>
  <conditionalFormatting sqref="E81:K81 M81:BD81">
    <cfRule type="expression" dxfId="817" priority="161">
      <formula>IF(E$3=TODAY()-WEEKDAY(TODAY())+7,TRUE,FALSE)</formula>
    </cfRule>
  </conditionalFormatting>
  <conditionalFormatting sqref="E82:K82 M82:BD82">
    <cfRule type="expression" dxfId="816" priority="160">
      <formula>IF(E$3=TODAY()-WEEKDAY(TODAY())+7,TRUE,FALSE)</formula>
    </cfRule>
  </conditionalFormatting>
  <conditionalFormatting sqref="E25:K25 M25:BD25">
    <cfRule type="expression" dxfId="815" priority="159">
      <formula>IF(E$3=TODAY()-WEEKDAY(TODAY())+7,TRUE,FALSE)</formula>
    </cfRule>
  </conditionalFormatting>
  <conditionalFormatting sqref="E125:K125 M125:BD125">
    <cfRule type="expression" dxfId="814" priority="156">
      <formula>IF(E$3=TODAY()-WEEKDAY(TODAY())+7,TRUE,FALSE)</formula>
    </cfRule>
  </conditionalFormatting>
  <conditionalFormatting sqref="E126:K126 M126:BD126">
    <cfRule type="expression" dxfId="813" priority="155">
      <formula>IF(E$3=TODAY()-WEEKDAY(TODAY())+7,TRUE,FALSE)</formula>
    </cfRule>
  </conditionalFormatting>
  <conditionalFormatting sqref="E127:K131 M127:BD131">
    <cfRule type="expression" dxfId="812" priority="154">
      <formula>IF(E$3=TODAY()-WEEKDAY(TODAY())+7,TRUE,FALSE)</formula>
    </cfRule>
  </conditionalFormatting>
  <conditionalFormatting sqref="E2">
    <cfRule type="expression" dxfId="811" priority="147">
      <formula>IF(E$3=TODAY()-WEEKDAY(TODAY())+7,TRUE,FALSE)</formula>
    </cfRule>
  </conditionalFormatting>
  <conditionalFormatting sqref="F2:K2 M2:BD2">
    <cfRule type="expression" dxfId="810" priority="146">
      <formula>IF(F$3=TODAY()-WEEKDAY(TODAY())+7,TRUE,FALSE)</formula>
    </cfRule>
  </conditionalFormatting>
  <conditionalFormatting sqref="E123">
    <cfRule type="expression" dxfId="809" priority="143">
      <formula>IF(E$3=TODAY()-WEEKDAY(TODAY())+7,TRUE,FALSE)</formula>
    </cfRule>
  </conditionalFormatting>
  <conditionalFormatting sqref="F123:K123 M123:BD123">
    <cfRule type="expression" dxfId="808" priority="142">
      <formula>IF(F$3=TODAY()-WEEKDAY(TODAY())+7,TRUE,FALSE)</formula>
    </cfRule>
  </conditionalFormatting>
  <conditionalFormatting sqref="F78:K78 M78:BD78">
    <cfRule type="expression" dxfId="807" priority="136">
      <formula>IF(F$3=TODAY()-WEEKDAY(TODAY())+7,TRUE,FALSE)</formula>
    </cfRule>
  </conditionalFormatting>
  <conditionalFormatting sqref="E78">
    <cfRule type="expression" dxfId="806" priority="137">
      <formula>IF(E$3=TODAY()-WEEKDAY(TODAY())+7,TRUE,FALSE)</formula>
    </cfRule>
  </conditionalFormatting>
  <conditionalFormatting sqref="E35">
    <cfRule type="expression" dxfId="805" priority="141">
      <formula>IF(E$3=TODAY()-WEEKDAY(TODAY())+7,TRUE,FALSE)</formula>
    </cfRule>
  </conditionalFormatting>
  <conditionalFormatting sqref="F35:K35 M35:BD35">
    <cfRule type="expression" dxfId="804" priority="140">
      <formula>IF(F$3=TODAY()-WEEKDAY(TODAY())+7,TRUE,FALSE)</formula>
    </cfRule>
  </conditionalFormatting>
  <conditionalFormatting sqref="E56">
    <cfRule type="expression" dxfId="803" priority="139">
      <formula>IF(E$3=TODAY()-WEEKDAY(TODAY())+7,TRUE,FALSE)</formula>
    </cfRule>
  </conditionalFormatting>
  <conditionalFormatting sqref="F56:K56 M56:BD56">
    <cfRule type="expression" dxfId="802" priority="138">
      <formula>IF(F$3=TODAY()-WEEKDAY(TODAY())+7,TRUE,FALSE)</formula>
    </cfRule>
  </conditionalFormatting>
  <conditionalFormatting sqref="E99:K101 E122:K122 M122:BD122 M100:BD101 M99:T99 V99:BD99">
    <cfRule type="expression" dxfId="801" priority="125">
      <formula>IF(E$3=TODAY()-WEEKDAY(TODAY())+7,TRUE,FALSE)</formula>
    </cfRule>
  </conditionalFormatting>
  <conditionalFormatting sqref="E116:K116">
    <cfRule type="expression" dxfId="800" priority="124">
      <formula>IF(E$3=TODAY()-WEEKDAY(TODAY())+7,TRUE,FALSE)</formula>
    </cfRule>
  </conditionalFormatting>
  <conditionalFormatting sqref="E119:K119 M119:BD119">
    <cfRule type="expression" dxfId="799" priority="123">
      <formula>IF(E$3=TODAY()-WEEKDAY(TODAY())+7,TRUE,FALSE)</formula>
    </cfRule>
  </conditionalFormatting>
  <conditionalFormatting sqref="E120:K120 M120:BD120">
    <cfRule type="expression" dxfId="798" priority="122">
      <formula>IF(E$3=TODAY()-WEEKDAY(TODAY())+7,TRUE,FALSE)</formula>
    </cfRule>
  </conditionalFormatting>
  <conditionalFormatting sqref="E109:K115 M109:BD115">
    <cfRule type="cellIs" dxfId="797" priority="119" operator="lessThan">
      <formula>0</formula>
    </cfRule>
  </conditionalFormatting>
  <conditionalFormatting sqref="E109:K115 M109:BD115">
    <cfRule type="expression" dxfId="796" priority="120">
      <formula>IF(E$3=TODAY()-WEEKDAY(TODAY())+7,TRUE,FALSE)</formula>
    </cfRule>
  </conditionalFormatting>
  <conditionalFormatting sqref="M116:BD116">
    <cfRule type="expression" dxfId="795" priority="118">
      <formula>IF(M$3=TODAY()-WEEKDAY(TODAY())+7,TRUE,FALSE)</formula>
    </cfRule>
  </conditionalFormatting>
  <conditionalFormatting sqref="E117:K117 M117:BD117">
    <cfRule type="expression" dxfId="794" priority="117">
      <formula>IF(E$3=TODAY()-WEEKDAY(TODAY())+7,TRUE,FALSE)</formula>
    </cfRule>
  </conditionalFormatting>
  <conditionalFormatting sqref="E103:K103 M103:BD103">
    <cfRule type="expression" dxfId="793" priority="116">
      <formula>IF(E$3=TODAY()-WEEKDAY(TODAY())+7,TRUE,FALSE)</formula>
    </cfRule>
  </conditionalFormatting>
  <conditionalFormatting sqref="E104:K104 M104:BD104">
    <cfRule type="expression" dxfId="792" priority="115">
      <formula>IF(E$3=TODAY()-WEEKDAY(TODAY())+7,TRUE,FALSE)</formula>
    </cfRule>
  </conditionalFormatting>
  <conditionalFormatting sqref="E105:K105 M105:BD105">
    <cfRule type="expression" dxfId="791" priority="114">
      <formula>IF(E$3=TODAY()-WEEKDAY(TODAY())+7,TRUE,FALSE)</formula>
    </cfRule>
  </conditionalFormatting>
  <conditionalFormatting sqref="E106:K106 M106:BD106">
    <cfRule type="expression" dxfId="790" priority="113">
      <formula>IF(E$3=TODAY()-WEEKDAY(TODAY())+7,TRUE,FALSE)</formula>
    </cfRule>
  </conditionalFormatting>
  <conditionalFormatting sqref="F102:K102 M102:BD102">
    <cfRule type="expression" dxfId="789" priority="110">
      <formula>IF(F$3=TODAY()-WEEKDAY(TODAY())+7,TRUE,FALSE)</formula>
    </cfRule>
  </conditionalFormatting>
  <conditionalFormatting sqref="E102:K102 M102:BD102">
    <cfRule type="expression" dxfId="788" priority="111">
      <formula>IF(E$3=TODAY()-WEEKDAY(TODAY())+7,TRUE,FALSE)</formula>
    </cfRule>
  </conditionalFormatting>
  <conditionalFormatting sqref="E27:K27 M27:BD27">
    <cfRule type="cellIs" dxfId="787" priority="103" operator="greaterThan">
      <formula>0</formula>
    </cfRule>
    <cfRule type="cellIs" dxfId="786" priority="104" operator="lessThan">
      <formula>0</formula>
    </cfRule>
  </conditionalFormatting>
  <conditionalFormatting sqref="E51:K51 M51:BD51">
    <cfRule type="cellIs" dxfId="785" priority="101" operator="greaterThan">
      <formula>0</formula>
    </cfRule>
    <cfRule type="cellIs" dxfId="784" priority="102" operator="lessThan">
      <formula>0</formula>
    </cfRule>
  </conditionalFormatting>
  <conditionalFormatting sqref="E73:K73 M73:BD73">
    <cfRule type="cellIs" dxfId="783" priority="99" operator="greaterThan">
      <formula>0</formula>
    </cfRule>
    <cfRule type="cellIs" dxfId="782" priority="100" operator="lessThan">
      <formula>0</formula>
    </cfRule>
  </conditionalFormatting>
  <conditionalFormatting sqref="E96:K96 M96:BD96">
    <cfRule type="cellIs" dxfId="781" priority="97" operator="greaterThan">
      <formula>0</formula>
    </cfRule>
    <cfRule type="cellIs" dxfId="780" priority="98" operator="lessThan">
      <formula>0</formula>
    </cfRule>
  </conditionalFormatting>
  <conditionalFormatting sqref="E118:K118 M118:BD118">
    <cfRule type="cellIs" dxfId="779" priority="95" operator="greaterThan">
      <formula>0</formula>
    </cfRule>
    <cfRule type="cellIs" dxfId="778" priority="96" operator="lessThan">
      <formula>0</formula>
    </cfRule>
  </conditionalFormatting>
  <conditionalFormatting sqref="G18:K24 M18:BD24">
    <cfRule type="cellIs" dxfId="777" priority="93" operator="lessThan">
      <formula>0</formula>
    </cfRule>
  </conditionalFormatting>
  <conditionalFormatting sqref="G18:K24 M18:BD24">
    <cfRule type="expression" dxfId="776" priority="94">
      <formula>IF(G$3=TODAY()-WEEKDAY(TODAY())+7,TRUE,FALSE)</formula>
    </cfRule>
  </conditionalFormatting>
  <conditionalFormatting sqref="L30 L121">
    <cfRule type="expression" dxfId="775" priority="91">
      <formula>IF(L$3=TODAY()-WEEKDAY(TODAY())+7,TRUE,FALSE)</formula>
    </cfRule>
  </conditionalFormatting>
  <conditionalFormatting sqref="L28">
    <cfRule type="expression" dxfId="774" priority="92">
      <formula>IF(L$3=TODAY()-WEEKDAY(TODAY())+7,TRUE,FALSE)</formula>
    </cfRule>
  </conditionalFormatting>
  <conditionalFormatting sqref="L54">
    <cfRule type="expression" dxfId="773" priority="88">
      <formula>IF(L$3=TODAY()-WEEKDAY(TODAY())+7,TRUE,FALSE)</formula>
    </cfRule>
  </conditionalFormatting>
  <conditionalFormatting sqref="L49">
    <cfRule type="expression" dxfId="772" priority="90">
      <formula>IF(L$3=TODAY()-WEEKDAY(TODAY())+7,TRUE,FALSE)</formula>
    </cfRule>
  </conditionalFormatting>
  <conditionalFormatting sqref="L52">
    <cfRule type="expression" dxfId="771" priority="89">
      <formula>IF(L$3=TODAY()-WEEKDAY(TODAY())+7,TRUE,FALSE)</formula>
    </cfRule>
  </conditionalFormatting>
  <conditionalFormatting sqref="L97">
    <cfRule type="expression" dxfId="770" priority="87">
      <formula>IF(L$3=TODAY()-WEEKDAY(TODAY())+7,TRUE,FALSE)</formula>
    </cfRule>
  </conditionalFormatting>
  <conditionalFormatting sqref="L32">
    <cfRule type="expression" dxfId="769" priority="86">
      <formula>IF(L$3=TODAY()-WEEKDAY(TODAY())+7,TRUE,FALSE)</formula>
    </cfRule>
  </conditionalFormatting>
  <conditionalFormatting sqref="L31">
    <cfRule type="expression" dxfId="768" priority="85">
      <formula>IF(L$3=TODAY()-WEEKDAY(TODAY())+7,TRUE,FALSE)</formula>
    </cfRule>
  </conditionalFormatting>
  <conditionalFormatting sqref="L29">
    <cfRule type="expression" dxfId="767" priority="84">
      <formula>IF(L$3=TODAY()-WEEKDAY(TODAY())+7,TRUE,FALSE)</formula>
    </cfRule>
  </conditionalFormatting>
  <conditionalFormatting sqref="L53">
    <cfRule type="expression" dxfId="766" priority="83">
      <formula>IF(L$3=TODAY()-WEEKDAY(TODAY())+7,TRUE,FALSE)</formula>
    </cfRule>
  </conditionalFormatting>
  <conditionalFormatting sqref="L98">
    <cfRule type="expression" dxfId="765" priority="82">
      <formula>IF(L$3=TODAY()-WEEKDAY(TODAY())+7,TRUE,FALSE)</formula>
    </cfRule>
  </conditionalFormatting>
  <conditionalFormatting sqref="L25">
    <cfRule type="expression" dxfId="764" priority="81">
      <formula>IF(L$3=TODAY()-WEEKDAY(TODAY())+7,TRUE,FALSE)</formula>
    </cfRule>
  </conditionalFormatting>
  <conditionalFormatting sqref="L26">
    <cfRule type="expression" dxfId="763" priority="80">
      <formula>IF(L$3=TODAY()-WEEKDAY(TODAY())+7,TRUE,FALSE)</formula>
    </cfRule>
  </conditionalFormatting>
  <conditionalFormatting sqref="L33">
    <cfRule type="cellIs" dxfId="762" priority="78" operator="lessThan">
      <formula>0</formula>
    </cfRule>
  </conditionalFormatting>
  <conditionalFormatting sqref="L33">
    <cfRule type="expression" dxfId="761" priority="79">
      <formula>IF(L$3=TODAY()-WEEKDAY(TODAY())+7,TRUE,FALSE)</formula>
    </cfRule>
  </conditionalFormatting>
  <conditionalFormatting sqref="L42:L48">
    <cfRule type="cellIs" dxfId="760" priority="76" operator="lessThan">
      <formula>0</formula>
    </cfRule>
  </conditionalFormatting>
  <conditionalFormatting sqref="L42:L48">
    <cfRule type="expression" dxfId="759" priority="77">
      <formula>IF(L$3=TODAY()-WEEKDAY(TODAY())+7,TRUE,FALSE)</formula>
    </cfRule>
  </conditionalFormatting>
  <conditionalFormatting sqref="L50">
    <cfRule type="expression" dxfId="758" priority="75">
      <formula>IF(L$3=TODAY()-WEEKDAY(TODAY())+7,TRUE,FALSE)</formula>
    </cfRule>
  </conditionalFormatting>
  <conditionalFormatting sqref="L61">
    <cfRule type="expression" dxfId="757" priority="74">
      <formula>IF(L$3=TODAY()-WEEKDAY(TODAY())+7,TRUE,FALSE)</formula>
    </cfRule>
  </conditionalFormatting>
  <conditionalFormatting sqref="L64:L70">
    <cfRule type="cellIs" dxfId="756" priority="72" operator="lessThan">
      <formula>0</formula>
    </cfRule>
  </conditionalFormatting>
  <conditionalFormatting sqref="L64:L70">
    <cfRule type="expression" dxfId="755" priority="73">
      <formula>IF(L$3=TODAY()-WEEKDAY(TODAY())+7,TRUE,FALSE)</formula>
    </cfRule>
  </conditionalFormatting>
  <conditionalFormatting sqref="L72">
    <cfRule type="expression" dxfId="754" priority="71">
      <formula>IF(L$3=TODAY()-WEEKDAY(TODAY())+7,TRUE,FALSE)</formula>
    </cfRule>
  </conditionalFormatting>
  <conditionalFormatting sqref="L71">
    <cfRule type="expression" dxfId="753" priority="70">
      <formula>IF(L$3=TODAY()-WEEKDAY(TODAY())+7,TRUE,FALSE)</formula>
    </cfRule>
  </conditionalFormatting>
  <conditionalFormatting sqref="L74">
    <cfRule type="expression" dxfId="752" priority="69">
      <formula>IF(L$3=TODAY()-WEEKDAY(TODAY())+7,TRUE,FALSE)</formula>
    </cfRule>
  </conditionalFormatting>
  <conditionalFormatting sqref="L76">
    <cfRule type="expression" dxfId="751" priority="68">
      <formula>IF(L$3=TODAY()-WEEKDAY(TODAY())+7,TRUE,FALSE)</formula>
    </cfRule>
  </conditionalFormatting>
  <conditionalFormatting sqref="L75">
    <cfRule type="expression" dxfId="750" priority="67">
      <formula>IF(L$3=TODAY()-WEEKDAY(TODAY())+7,TRUE,FALSE)</formula>
    </cfRule>
  </conditionalFormatting>
  <conditionalFormatting sqref="L83:L84">
    <cfRule type="expression" dxfId="749" priority="66">
      <formula>IF(L$3=TODAY()-WEEKDAY(TODAY())+7,TRUE,FALSE)</formula>
    </cfRule>
  </conditionalFormatting>
  <conditionalFormatting sqref="L87:L93">
    <cfRule type="cellIs" dxfId="748" priority="64" operator="lessThan">
      <formula>0</formula>
    </cfRule>
  </conditionalFormatting>
  <conditionalFormatting sqref="L87:L93">
    <cfRule type="expression" dxfId="747" priority="65">
      <formula>IF(L$3=TODAY()-WEEKDAY(TODAY())+7,TRUE,FALSE)</formula>
    </cfRule>
  </conditionalFormatting>
  <conditionalFormatting sqref="L94">
    <cfRule type="expression" dxfId="746" priority="63">
      <formula>IF(L$3=TODAY()-WEEKDAY(TODAY())+7,TRUE,FALSE)</formula>
    </cfRule>
  </conditionalFormatting>
  <conditionalFormatting sqref="L95">
    <cfRule type="expression" dxfId="745" priority="62">
      <formula>IF(L$3=TODAY()-WEEKDAY(TODAY())+7,TRUE,FALSE)</formula>
    </cfRule>
  </conditionalFormatting>
  <conditionalFormatting sqref="L144">
    <cfRule type="expression" dxfId="744" priority="61">
      <formula>IF(L$3=TODAY()-WEEKDAY(TODAY())+7,TRUE,FALSE)</formula>
    </cfRule>
  </conditionalFormatting>
  <conditionalFormatting sqref="L147">
    <cfRule type="expression" dxfId="743" priority="58">
      <formula>IF(L$3=TODAY()-WEEKDAY(TODAY())+7,TRUE,FALSE)</formula>
    </cfRule>
  </conditionalFormatting>
  <conditionalFormatting sqref="L145">
    <cfRule type="expression" dxfId="742" priority="60">
      <formula>IF(L$3=TODAY()-WEEKDAY(TODAY())+7,TRUE,FALSE)</formula>
    </cfRule>
  </conditionalFormatting>
  <conditionalFormatting sqref="L146">
    <cfRule type="expression" dxfId="741" priority="59">
      <formula>IF(L$3=TODAY()-WEEKDAY(TODAY())+7,TRUE,FALSE)</formula>
    </cfRule>
  </conditionalFormatting>
  <conditionalFormatting sqref="L36">
    <cfRule type="expression" dxfId="740" priority="57">
      <formula>IF(L$3=TODAY()-WEEKDAY(TODAY())+7,TRUE,FALSE)</formula>
    </cfRule>
  </conditionalFormatting>
  <conditionalFormatting sqref="L37">
    <cfRule type="expression" dxfId="739" priority="56">
      <formula>IF(L$3=TODAY()-WEEKDAY(TODAY())+7,TRUE,FALSE)</formula>
    </cfRule>
  </conditionalFormatting>
  <conditionalFormatting sqref="L38">
    <cfRule type="expression" dxfId="738" priority="55">
      <formula>IF(L$3=TODAY()-WEEKDAY(TODAY())+7,TRUE,FALSE)</formula>
    </cfRule>
  </conditionalFormatting>
  <conditionalFormatting sqref="L39">
    <cfRule type="expression" dxfId="737" priority="54">
      <formula>IF(L$3=TODAY()-WEEKDAY(TODAY())+7,TRUE,FALSE)</formula>
    </cfRule>
  </conditionalFormatting>
  <conditionalFormatting sqref="L3">
    <cfRule type="expression" dxfId="736" priority="53">
      <formula>IF(L$3=TODAY()-WEEKDAY(TODAY())+7,TRUE,FALSE)</formula>
    </cfRule>
  </conditionalFormatting>
  <conditionalFormatting sqref="L4">
    <cfRule type="expression" dxfId="735" priority="52">
      <formula>IF(L$3=TODAY()-WEEKDAY(TODAY())+7,TRUE,FALSE)</formula>
    </cfRule>
  </conditionalFormatting>
  <conditionalFormatting sqref="L5">
    <cfRule type="expression" dxfId="734" priority="51">
      <formula>IF(L$3=TODAY()-WEEKDAY(TODAY())+7,TRUE,FALSE)</formula>
    </cfRule>
  </conditionalFormatting>
  <conditionalFormatting sqref="L6">
    <cfRule type="expression" dxfId="733" priority="50">
      <formula>IF(L$3=TODAY()-WEEKDAY(TODAY())+7,TRUE,FALSE)</formula>
    </cfRule>
  </conditionalFormatting>
  <conditionalFormatting sqref="L57">
    <cfRule type="expression" dxfId="732" priority="49">
      <formula>IF(L$3=TODAY()-WEEKDAY(TODAY())+7,TRUE,FALSE)</formula>
    </cfRule>
  </conditionalFormatting>
  <conditionalFormatting sqref="L58">
    <cfRule type="expression" dxfId="731" priority="48">
      <formula>IF(L$3=TODAY()-WEEKDAY(TODAY())+7,TRUE,FALSE)</formula>
    </cfRule>
  </conditionalFormatting>
  <conditionalFormatting sqref="L59">
    <cfRule type="expression" dxfId="730" priority="47">
      <formula>IF(L$3=TODAY()-WEEKDAY(TODAY())+7,TRUE,FALSE)</formula>
    </cfRule>
  </conditionalFormatting>
  <conditionalFormatting sqref="L60">
    <cfRule type="expression" dxfId="729" priority="46">
      <formula>IF(L$3=TODAY()-WEEKDAY(TODAY())+7,TRUE,FALSE)</formula>
    </cfRule>
  </conditionalFormatting>
  <conditionalFormatting sqref="L79">
    <cfRule type="expression" dxfId="728" priority="45">
      <formula>IF(L$3=TODAY()-WEEKDAY(TODAY())+7,TRUE,FALSE)</formula>
    </cfRule>
  </conditionalFormatting>
  <conditionalFormatting sqref="L80">
    <cfRule type="expression" dxfId="727" priority="44">
      <formula>IF(L$3=TODAY()-WEEKDAY(TODAY())+7,TRUE,FALSE)</formula>
    </cfRule>
  </conditionalFormatting>
  <conditionalFormatting sqref="L81">
    <cfRule type="expression" dxfId="726" priority="43">
      <formula>IF(L$3=TODAY()-WEEKDAY(TODAY())+7,TRUE,FALSE)</formula>
    </cfRule>
  </conditionalFormatting>
  <conditionalFormatting sqref="L82">
    <cfRule type="expression" dxfId="725" priority="42">
      <formula>IF(L$3=TODAY()-WEEKDAY(TODAY())+7,TRUE,FALSE)</formula>
    </cfRule>
  </conditionalFormatting>
  <conditionalFormatting sqref="L25">
    <cfRule type="expression" dxfId="724" priority="41">
      <formula>IF(L$3=TODAY()-WEEKDAY(TODAY())+7,TRUE,FALSE)</formula>
    </cfRule>
  </conditionalFormatting>
  <conditionalFormatting sqref="L125">
    <cfRule type="expression" dxfId="723" priority="40">
      <formula>IF(L$3=TODAY()-WEEKDAY(TODAY())+7,TRUE,FALSE)</formula>
    </cfRule>
  </conditionalFormatting>
  <conditionalFormatting sqref="L126">
    <cfRule type="expression" dxfId="722" priority="39">
      <formula>IF(L$3=TODAY()-WEEKDAY(TODAY())+7,TRUE,FALSE)</formula>
    </cfRule>
  </conditionalFormatting>
  <conditionalFormatting sqref="L127:L131">
    <cfRule type="expression" dxfId="721" priority="38">
      <formula>IF(L$3=TODAY()-WEEKDAY(TODAY())+7,TRUE,FALSE)</formula>
    </cfRule>
  </conditionalFormatting>
  <conditionalFormatting sqref="L2">
    <cfRule type="expression" dxfId="720" priority="37">
      <formula>IF(L$3=TODAY()-WEEKDAY(TODAY())+7,TRUE,FALSE)</formula>
    </cfRule>
  </conditionalFormatting>
  <conditionalFormatting sqref="L123">
    <cfRule type="expression" dxfId="719" priority="36">
      <formula>IF(L$3=TODAY()-WEEKDAY(TODAY())+7,TRUE,FALSE)</formula>
    </cfRule>
  </conditionalFormatting>
  <conditionalFormatting sqref="L78">
    <cfRule type="expression" dxfId="718" priority="33">
      <formula>IF(L$3=TODAY()-WEEKDAY(TODAY())+7,TRUE,FALSE)</formula>
    </cfRule>
  </conditionalFormatting>
  <conditionalFormatting sqref="L35">
    <cfRule type="expression" dxfId="717" priority="35">
      <formula>IF(L$3=TODAY()-WEEKDAY(TODAY())+7,TRUE,FALSE)</formula>
    </cfRule>
  </conditionalFormatting>
  <conditionalFormatting sqref="L56">
    <cfRule type="expression" dxfId="716" priority="34">
      <formula>IF(L$3=TODAY()-WEEKDAY(TODAY())+7,TRUE,FALSE)</formula>
    </cfRule>
  </conditionalFormatting>
  <conditionalFormatting sqref="L99:L101 L122">
    <cfRule type="expression" dxfId="715" priority="32">
      <formula>IF(L$3=TODAY()-WEEKDAY(TODAY())+7,TRUE,FALSE)</formula>
    </cfRule>
  </conditionalFormatting>
  <conditionalFormatting sqref="L119">
    <cfRule type="expression" dxfId="714" priority="31">
      <formula>IF(L$3=TODAY()-WEEKDAY(TODAY())+7,TRUE,FALSE)</formula>
    </cfRule>
  </conditionalFormatting>
  <conditionalFormatting sqref="L120">
    <cfRule type="expression" dxfId="713" priority="30">
      <formula>IF(L$3=TODAY()-WEEKDAY(TODAY())+7,TRUE,FALSE)</formula>
    </cfRule>
  </conditionalFormatting>
  <conditionalFormatting sqref="L109:L115">
    <cfRule type="cellIs" dxfId="712" priority="28" operator="lessThan">
      <formula>0</formula>
    </cfRule>
  </conditionalFormatting>
  <conditionalFormatting sqref="L109:L115">
    <cfRule type="expression" dxfId="711" priority="29">
      <formula>IF(L$3=TODAY()-WEEKDAY(TODAY())+7,TRUE,FALSE)</formula>
    </cfRule>
  </conditionalFormatting>
  <conditionalFormatting sqref="L116">
    <cfRule type="expression" dxfId="710" priority="27">
      <formula>IF(L$3=TODAY()-WEEKDAY(TODAY())+7,TRUE,FALSE)</formula>
    </cfRule>
  </conditionalFormatting>
  <conditionalFormatting sqref="L117">
    <cfRule type="expression" dxfId="709" priority="26">
      <formula>IF(L$3=TODAY()-WEEKDAY(TODAY())+7,TRUE,FALSE)</formula>
    </cfRule>
  </conditionalFormatting>
  <conditionalFormatting sqref="L103">
    <cfRule type="expression" dxfId="708" priority="25">
      <formula>IF(L$3=TODAY()-WEEKDAY(TODAY())+7,TRUE,FALSE)</formula>
    </cfRule>
  </conditionalFormatting>
  <conditionalFormatting sqref="L104">
    <cfRule type="expression" dxfId="707" priority="24">
      <formula>IF(L$3=TODAY()-WEEKDAY(TODAY())+7,TRUE,FALSE)</formula>
    </cfRule>
  </conditionalFormatting>
  <conditionalFormatting sqref="L105">
    <cfRule type="expression" dxfId="706" priority="23">
      <formula>IF(L$3=TODAY()-WEEKDAY(TODAY())+7,TRUE,FALSE)</formula>
    </cfRule>
  </conditionalFormatting>
  <conditionalFormatting sqref="L106">
    <cfRule type="expression" dxfId="705" priority="22">
      <formula>IF(L$3=TODAY()-WEEKDAY(TODAY())+7,TRUE,FALSE)</formula>
    </cfRule>
  </conditionalFormatting>
  <conditionalFormatting sqref="L102">
    <cfRule type="expression" dxfId="704" priority="20">
      <formula>IF(L$3=TODAY()-WEEKDAY(TODAY())+7,TRUE,FALSE)</formula>
    </cfRule>
  </conditionalFormatting>
  <conditionalFormatting sqref="L102">
    <cfRule type="expression" dxfId="703" priority="21">
      <formula>IF(L$3=TODAY()-WEEKDAY(TODAY())+7,TRUE,FALSE)</formula>
    </cfRule>
  </conditionalFormatting>
  <conditionalFormatting sqref="L27">
    <cfRule type="cellIs" dxfId="702" priority="17" operator="greaterThan">
      <formula>0</formula>
    </cfRule>
    <cfRule type="cellIs" dxfId="701" priority="18" operator="lessThan">
      <formula>0</formula>
    </cfRule>
  </conditionalFormatting>
  <conditionalFormatting sqref="L51">
    <cfRule type="cellIs" dxfId="700" priority="15" operator="greaterThan">
      <formula>0</formula>
    </cfRule>
    <cfRule type="cellIs" dxfId="699" priority="16" operator="lessThan">
      <formula>0</formula>
    </cfRule>
  </conditionalFormatting>
  <conditionalFormatting sqref="L73">
    <cfRule type="cellIs" dxfId="698" priority="13" operator="greaterThan">
      <formula>0</formula>
    </cfRule>
    <cfRule type="cellIs" dxfId="697" priority="14" operator="lessThan">
      <formula>0</formula>
    </cfRule>
  </conditionalFormatting>
  <conditionalFormatting sqref="L96">
    <cfRule type="cellIs" dxfId="696" priority="11" operator="greaterThan">
      <formula>0</formula>
    </cfRule>
    <cfRule type="cellIs" dxfId="695" priority="12" operator="lessThan">
      <formula>0</formula>
    </cfRule>
  </conditionalFormatting>
  <conditionalFormatting sqref="L118">
    <cfRule type="cellIs" dxfId="694" priority="9" operator="greaterThan">
      <formula>0</formula>
    </cfRule>
    <cfRule type="cellIs" dxfId="693" priority="10" operator="lessThan">
      <formula>0</formula>
    </cfRule>
  </conditionalFormatting>
  <conditionalFormatting sqref="L18:L24">
    <cfRule type="cellIs" dxfId="692" priority="7" operator="lessThan">
      <formula>0</formula>
    </cfRule>
  </conditionalFormatting>
  <conditionalFormatting sqref="L18:L24">
    <cfRule type="expression" dxfId="691" priority="8">
      <formula>IF(L$3=TODAY()-WEEKDAY(TODAY())+7,TRUE,FALSE)</formula>
    </cfRule>
  </conditionalFormatting>
  <conditionalFormatting sqref="E10:BD16">
    <cfRule type="expression" dxfId="690" priority="4">
      <formula>IF(E$3=TODAY()-WEEKDAY(TODAY())+7,TRUE,FALSE)</formula>
    </cfRule>
  </conditionalFormatting>
  <conditionalFormatting sqref="E94:BD94">
    <cfRule type="expression" dxfId="689" priority="3">
      <formula>IF(E$3=TODAY()-WEEKDAY(TODAY())+7,TRUE,FALSE)</formula>
    </cfRule>
  </conditionalFormatting>
  <conditionalFormatting sqref="U98:BD98">
    <cfRule type="expression" dxfId="688" priority="2">
      <formula>IF(U$3=TODAY()-WEEKDAY(TODAY())+7,TRUE,FALSE)</formula>
    </cfRule>
  </conditionalFormatting>
  <conditionalFormatting sqref="U99:BD99">
    <cfRule type="expression" dxfId="687" priority="1">
      <formula>IF(U$3=TODAY()-WEEKDAY(TODAY())+7,TRUE,FALSE)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53" r:id="rId4" name="Button 9">
              <controlPr defaultSize="0" print="0" autoFill="0" autoPict="0" macro="[0]!CopytoOldEsteeLauder">
                <anchor moveWithCells="1" sizeWithCells="1">
                  <from>
                    <xdr:col>0</xdr:col>
                    <xdr:colOff>76200</xdr:colOff>
                    <xdr:row>2</xdr:row>
                    <xdr:rowOff>19050</xdr:rowOff>
                  </from>
                  <to>
                    <xdr:col>1</xdr:col>
                    <xdr:colOff>695325</xdr:colOff>
                    <xdr:row>5</xdr:row>
                    <xdr:rowOff>0</xdr:rowOff>
                  </to>
                </anchor>
              </controlPr>
            </control>
          </mc:Choice>
        </mc:AlternateContent>
        <mc:AlternateContent xmlns:mc="http://schemas.openxmlformats.org/markup-compatibility/2006">
          <mc:Choice Requires="x14">
            <control shapeId="82954" r:id="rId5" name="Button 2">
              <controlPr defaultSize="0" print="0" autoFill="0" autoPict="0" macro="[0]!fetch">
                <anchor moveWithCells="1" sizeWithCells="1">
                  <from>
                    <xdr:col>0</xdr:col>
                    <xdr:colOff>57150</xdr:colOff>
                    <xdr:row>5</xdr:row>
                    <xdr:rowOff>76200</xdr:rowOff>
                  </from>
                  <to>
                    <xdr:col>1</xdr:col>
                    <xdr:colOff>695325</xdr:colOff>
                    <xdr:row>6</xdr:row>
                    <xdr:rowOff>171450</xdr:rowOff>
                  </to>
                </anchor>
              </controlPr>
            </control>
          </mc:Choice>
        </mc:AlternateContent>
        <mc:AlternateContent xmlns:mc="http://schemas.openxmlformats.org/markup-compatibility/2006">
          <mc:Choice Requires="x14">
            <control shapeId="82955" r:id="rId6" name="Button 11">
              <controlPr defaultSize="0" print="0" autoFill="0" autoPict="0" macro="[0]!GET_Forecast">
                <anchor moveWithCells="1" sizeWithCells="1">
                  <from>
                    <xdr:col>0</xdr:col>
                    <xdr:colOff>57150</xdr:colOff>
                    <xdr:row>7</xdr:row>
                    <xdr:rowOff>66675</xdr:rowOff>
                  </from>
                  <to>
                    <xdr:col>1</xdr:col>
                    <xdr:colOff>695325</xdr:colOff>
                    <xdr:row>8</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DB303-8DEB-4353-93C9-275E7E2B5CBD}">
  <sheetPr codeName="Sheet8"/>
  <dimension ref="B2:BD147"/>
  <sheetViews>
    <sheetView showGridLines="0" zoomScaleNormal="100" workbookViewId="0">
      <pane xSplit="4" ySplit="2" topLeftCell="W15" activePane="bottomRight" state="frozen"/>
      <selection pane="topRight" activeCell="E1" sqref="E1"/>
      <selection pane="bottomLeft" activeCell="A3" sqref="A3"/>
      <selection pane="bottomRight" activeCell="W1" sqref="W1:W1048576"/>
    </sheetView>
  </sheetViews>
  <sheetFormatPr defaultRowHeight="15" x14ac:dyDescent="0.25"/>
  <cols>
    <col min="1" max="1" width="9.140625" style="6"/>
    <col min="2" max="2" width="11.85546875" style="6" customWidth="1"/>
    <col min="3" max="3" width="21.85546875" style="6" bestFit="1" customWidth="1"/>
    <col min="4" max="4" width="27.140625" style="41" bestFit="1" customWidth="1"/>
    <col min="5" max="5" width="9" style="43" hidden="1" customWidth="1"/>
    <col min="6" max="6" width="9.85546875" style="43" hidden="1" customWidth="1"/>
    <col min="7" max="7" width="10.140625" style="43" hidden="1" customWidth="1"/>
    <col min="8" max="8" width="10.140625" style="41" hidden="1" customWidth="1"/>
    <col min="9" max="9" width="9.28515625" style="41" hidden="1" customWidth="1"/>
    <col min="10" max="11" width="10.140625" style="41" hidden="1" customWidth="1"/>
    <col min="12" max="12" width="10.42578125" style="41" hidden="1" customWidth="1"/>
    <col min="13" max="13" width="9.28515625" style="41" hidden="1" customWidth="1"/>
    <col min="14" max="15" width="10.140625" style="6" hidden="1" customWidth="1"/>
    <col min="16" max="16" width="10.42578125" style="6" hidden="1" customWidth="1"/>
    <col min="17" max="18" width="9.28515625" style="6" hidden="1" customWidth="1"/>
    <col min="19" max="19" width="10.140625" style="6" hidden="1" customWidth="1"/>
    <col min="20" max="20" width="10.42578125" style="6" hidden="1" customWidth="1"/>
    <col min="21" max="21" width="10.42578125" style="41" hidden="1" customWidth="1"/>
    <col min="22" max="22" width="9.28515625" style="6" hidden="1" customWidth="1"/>
    <col min="23" max="23" width="10.140625" style="6" hidden="1" customWidth="1"/>
    <col min="24" max="24" width="10.140625" style="6" bestFit="1" customWidth="1"/>
    <col min="25" max="25" width="10.42578125" style="6" bestFit="1" customWidth="1"/>
    <col min="26" max="26" width="9.28515625" style="6" bestFit="1" customWidth="1"/>
    <col min="27" max="27" width="9.85546875" style="6" bestFit="1" customWidth="1"/>
    <col min="28" max="28" width="10.140625" style="6" bestFit="1" customWidth="1"/>
    <col min="29" max="29" width="10.42578125" style="6" bestFit="1" customWidth="1"/>
    <col min="30" max="31" width="9.28515625" style="6" bestFit="1" customWidth="1"/>
    <col min="32" max="32" width="10.140625" style="6" bestFit="1" customWidth="1"/>
    <col min="33" max="34" width="10.42578125" style="6" bestFit="1" customWidth="1"/>
    <col min="35" max="35" width="9.28515625" style="6" bestFit="1" customWidth="1"/>
    <col min="36" max="36" width="10.140625" style="6" bestFit="1" customWidth="1"/>
    <col min="37" max="38" width="10.42578125" style="6" bestFit="1" customWidth="1"/>
    <col min="39" max="39" width="9.28515625" style="6" bestFit="1" customWidth="1"/>
    <col min="40" max="41" width="10.140625" style="6" bestFit="1" customWidth="1"/>
    <col min="42" max="42" width="10.42578125" style="6" bestFit="1" customWidth="1"/>
    <col min="43" max="43" width="9.85546875" style="6" bestFit="1" customWidth="1"/>
    <col min="44" max="44" width="10.140625" style="6" bestFit="1" customWidth="1"/>
    <col min="45" max="45" width="11" style="6" bestFit="1" customWidth="1"/>
    <col min="46" max="47" width="11.28515625" style="6" bestFit="1" customWidth="1"/>
    <col min="48" max="48" width="9.85546875" style="6" bestFit="1" customWidth="1"/>
    <col min="49" max="50" width="10.5703125" style="6" bestFit="1" customWidth="1"/>
    <col min="51" max="51" width="11" style="6" bestFit="1" customWidth="1"/>
    <col min="52" max="52" width="10.140625" style="6" bestFit="1" customWidth="1"/>
    <col min="53" max="54" width="11" style="6" bestFit="1" customWidth="1"/>
    <col min="55" max="55" width="11.28515625" style="6" bestFit="1" customWidth="1"/>
    <col min="56" max="56" width="11" style="6" bestFit="1" customWidth="1"/>
    <col min="57" max="16384" width="9.140625" style="6"/>
  </cols>
  <sheetData>
    <row r="2" spans="3:56" ht="26.25" x14ac:dyDescent="0.4">
      <c r="D2" s="47" t="s">
        <v>32</v>
      </c>
      <c r="E2" s="82">
        <v>44569</v>
      </c>
      <c r="F2" s="82">
        <f>E2+7</f>
        <v>44576</v>
      </c>
      <c r="G2" s="82">
        <f t="shared" ref="G2:BD2" si="0">F2+7</f>
        <v>44583</v>
      </c>
      <c r="H2" s="82">
        <f t="shared" si="0"/>
        <v>44590</v>
      </c>
      <c r="I2" s="82">
        <f t="shared" si="0"/>
        <v>44597</v>
      </c>
      <c r="J2" s="82">
        <f t="shared" si="0"/>
        <v>44604</v>
      </c>
      <c r="K2" s="82">
        <f t="shared" si="0"/>
        <v>44611</v>
      </c>
      <c r="L2" s="82">
        <f t="shared" si="0"/>
        <v>44618</v>
      </c>
      <c r="M2" s="82">
        <f t="shared" si="0"/>
        <v>44625</v>
      </c>
      <c r="N2" s="82">
        <f t="shared" si="0"/>
        <v>44632</v>
      </c>
      <c r="O2" s="82">
        <f t="shared" si="0"/>
        <v>44639</v>
      </c>
      <c r="P2" s="82">
        <f t="shared" si="0"/>
        <v>44646</v>
      </c>
      <c r="Q2" s="82">
        <f t="shared" si="0"/>
        <v>44653</v>
      </c>
      <c r="R2" s="82">
        <f t="shared" si="0"/>
        <v>44660</v>
      </c>
      <c r="S2" s="82">
        <f t="shared" si="0"/>
        <v>44667</v>
      </c>
      <c r="T2" s="82">
        <f t="shared" si="0"/>
        <v>44674</v>
      </c>
      <c r="U2" s="82">
        <f t="shared" si="0"/>
        <v>44681</v>
      </c>
      <c r="V2" s="82">
        <f t="shared" si="0"/>
        <v>44688</v>
      </c>
      <c r="W2" s="82">
        <f t="shared" si="0"/>
        <v>44695</v>
      </c>
      <c r="X2" s="82">
        <f t="shared" si="0"/>
        <v>44702</v>
      </c>
      <c r="Y2" s="82">
        <f t="shared" si="0"/>
        <v>44709</v>
      </c>
      <c r="Z2" s="82">
        <f t="shared" si="0"/>
        <v>44716</v>
      </c>
      <c r="AA2" s="82">
        <f t="shared" si="0"/>
        <v>44723</v>
      </c>
      <c r="AB2" s="82">
        <f t="shared" si="0"/>
        <v>44730</v>
      </c>
      <c r="AC2" s="82">
        <f t="shared" si="0"/>
        <v>44737</v>
      </c>
      <c r="AD2" s="82">
        <f t="shared" si="0"/>
        <v>44744</v>
      </c>
      <c r="AE2" s="82">
        <f t="shared" si="0"/>
        <v>44751</v>
      </c>
      <c r="AF2" s="82">
        <f t="shared" si="0"/>
        <v>44758</v>
      </c>
      <c r="AG2" s="82">
        <f t="shared" si="0"/>
        <v>44765</v>
      </c>
      <c r="AH2" s="82">
        <f t="shared" si="0"/>
        <v>44772</v>
      </c>
      <c r="AI2" s="82">
        <f t="shared" si="0"/>
        <v>44779</v>
      </c>
      <c r="AJ2" s="82">
        <f t="shared" si="0"/>
        <v>44786</v>
      </c>
      <c r="AK2" s="82">
        <f t="shared" si="0"/>
        <v>44793</v>
      </c>
      <c r="AL2" s="82">
        <f t="shared" si="0"/>
        <v>44800</v>
      </c>
      <c r="AM2" s="82">
        <f t="shared" si="0"/>
        <v>44807</v>
      </c>
      <c r="AN2" s="82">
        <f t="shared" si="0"/>
        <v>44814</v>
      </c>
      <c r="AO2" s="82">
        <f t="shared" si="0"/>
        <v>44821</v>
      </c>
      <c r="AP2" s="82">
        <f t="shared" si="0"/>
        <v>44828</v>
      </c>
      <c r="AQ2" s="82">
        <f t="shared" si="0"/>
        <v>44835</v>
      </c>
      <c r="AR2" s="82">
        <f t="shared" si="0"/>
        <v>44842</v>
      </c>
      <c r="AS2" s="82">
        <f t="shared" si="0"/>
        <v>44849</v>
      </c>
      <c r="AT2" s="82">
        <f t="shared" si="0"/>
        <v>44856</v>
      </c>
      <c r="AU2" s="82">
        <f t="shared" si="0"/>
        <v>44863</v>
      </c>
      <c r="AV2" s="82">
        <f t="shared" si="0"/>
        <v>44870</v>
      </c>
      <c r="AW2" s="82">
        <f t="shared" si="0"/>
        <v>44877</v>
      </c>
      <c r="AX2" s="82">
        <f t="shared" si="0"/>
        <v>44884</v>
      </c>
      <c r="AY2" s="82">
        <f t="shared" si="0"/>
        <v>44891</v>
      </c>
      <c r="AZ2" s="82">
        <f t="shared" si="0"/>
        <v>44898</v>
      </c>
      <c r="BA2" s="82">
        <f t="shared" si="0"/>
        <v>44905</v>
      </c>
      <c r="BB2" s="82">
        <f t="shared" si="0"/>
        <v>44912</v>
      </c>
      <c r="BC2" s="82">
        <f t="shared" si="0"/>
        <v>44919</v>
      </c>
      <c r="BD2" s="82">
        <f t="shared" si="0"/>
        <v>44926</v>
      </c>
    </row>
    <row r="3" spans="3:56" x14ac:dyDescent="0.25">
      <c r="C3" s="104" t="s">
        <v>18</v>
      </c>
      <c r="D3" s="41" t="s">
        <v>21</v>
      </c>
      <c r="E3" s="70" t="str">
        <f>IF(EsteeNew!E3-EsteeOld!E3=0,"",EsteeNew!E3-EsteeOld!E3)</f>
        <v/>
      </c>
      <c r="F3" s="70" t="str">
        <f>IF(EsteeNew!F3-EsteeOld!F3=0,"",EsteeNew!F3-EsteeOld!F3)</f>
        <v/>
      </c>
      <c r="G3" s="70" t="str">
        <f>IF(EsteeNew!G3-EsteeOld!G3=0,"",EsteeNew!G3-EsteeOld!G3)</f>
        <v/>
      </c>
      <c r="H3" s="70" t="str">
        <f>IF(EsteeNew!H3-EsteeOld!H3=0,"",EsteeNew!H3-EsteeOld!H3)</f>
        <v/>
      </c>
      <c r="I3" s="70" t="str">
        <f>IF(EsteeNew!I3-EsteeOld!I3=0,"",EsteeNew!I3-EsteeOld!I3)</f>
        <v/>
      </c>
      <c r="J3" s="70" t="str">
        <f>IF(EsteeNew!J3-EsteeOld!J3=0,"",EsteeNew!J3-EsteeOld!J3)</f>
        <v/>
      </c>
      <c r="K3" s="70" t="str">
        <f>IF(EsteeNew!K3-EsteeOld!K3=0,"",EsteeNew!K3-EsteeOld!K3)</f>
        <v/>
      </c>
      <c r="L3" s="70" t="str">
        <f>IF(EsteeNew!L3-EsteeOld!L3=0,"",EsteeNew!L3-EsteeOld!L3)</f>
        <v/>
      </c>
      <c r="M3" s="70" t="str">
        <f>IF(EsteeNew!M3-EsteeOld!M3=0,"",EsteeNew!M3-EsteeOld!M3)</f>
        <v/>
      </c>
      <c r="N3" s="70" t="str">
        <f>IF(EsteeNew!N3-EsteeOld!N3=0,"",EsteeNew!N3-EsteeOld!N3)</f>
        <v/>
      </c>
      <c r="O3" s="70" t="str">
        <f>IF(EsteeNew!O3-EsteeOld!O3=0,"",EsteeNew!O3-EsteeOld!O3)</f>
        <v/>
      </c>
      <c r="P3" s="70" t="str">
        <f>IF(EsteeNew!P3-EsteeOld!P3=0,"",EsteeNew!P3-EsteeOld!P3)</f>
        <v/>
      </c>
      <c r="Q3" s="70" t="str">
        <f>IF(EsteeNew!Q3-EsteeOld!Q3=0,"",EsteeNew!Q3-EsteeOld!Q3)</f>
        <v/>
      </c>
      <c r="R3" s="70" t="str">
        <f>IF(EsteeNew!R3-EsteeOld!R3=0,"",EsteeNew!R3-EsteeOld!R3)</f>
        <v/>
      </c>
      <c r="S3" s="70" t="str">
        <f>IF(EsteeNew!S3-EsteeOld!S3=0,"",EsteeNew!S3-EsteeOld!S3)</f>
        <v/>
      </c>
      <c r="T3" s="70" t="str">
        <f>IF(EsteeNew!T3-EsteeOld!T3=0,"",EsteeNew!T3-EsteeOld!T3)</f>
        <v/>
      </c>
      <c r="U3" s="70" t="str">
        <f>IF(EsteeNew!U3-EsteeOld!U3=0,"",EsteeNew!U3-EsteeOld!U3)</f>
        <v/>
      </c>
      <c r="V3" s="70" t="str">
        <f>IF(EsteeNew!V3-EsteeOld!V3=0,"",EsteeNew!V3-EsteeOld!V3)</f>
        <v/>
      </c>
      <c r="W3" s="70" t="str">
        <f>IF(EsteeNew!W3-EsteeOld!W3=0,"",EsteeNew!W3-EsteeOld!W3)</f>
        <v/>
      </c>
      <c r="X3" s="70" t="str">
        <f>IF(EsteeNew!X3-EsteeOld!X3=0,"",EsteeNew!X3-EsteeOld!X3)</f>
        <v/>
      </c>
      <c r="Y3" s="70" t="str">
        <f>IF(EsteeNew!Y3-EsteeOld!Y3=0,"",EsteeNew!Y3-EsteeOld!Y3)</f>
        <v/>
      </c>
      <c r="Z3" s="70" t="str">
        <f>IF(EsteeNew!Z3-EsteeOld!Z3=0,"",EsteeNew!Z3-EsteeOld!Z3)</f>
        <v/>
      </c>
      <c r="AA3" s="70" t="str">
        <f>IF(EsteeNew!AA3-EsteeOld!AA3=0,"",EsteeNew!AA3-EsteeOld!AA3)</f>
        <v/>
      </c>
      <c r="AB3" s="70" t="str">
        <f>IF(EsteeNew!AB3-EsteeOld!AB3=0,"",EsteeNew!AB3-EsteeOld!AB3)</f>
        <v/>
      </c>
      <c r="AC3" s="70" t="str">
        <f>IF(EsteeNew!AC3-EsteeOld!AC3=0,"",EsteeNew!AC3-EsteeOld!AC3)</f>
        <v/>
      </c>
      <c r="AD3" s="70" t="str">
        <f>IF(EsteeNew!AD3-EsteeOld!AD3=0,"",EsteeNew!AD3-EsteeOld!AD3)</f>
        <v/>
      </c>
      <c r="AE3" s="70" t="str">
        <f>IF(EsteeNew!AE3-EsteeOld!AE3=0,"",EsteeNew!AE3-EsteeOld!AE3)</f>
        <v/>
      </c>
      <c r="AF3" s="70" t="str">
        <f>IF(EsteeNew!AF3-EsteeOld!AF3=0,"",EsteeNew!AF3-EsteeOld!AF3)</f>
        <v/>
      </c>
      <c r="AG3" s="70" t="str">
        <f>IF(EsteeNew!AG3-EsteeOld!AG3=0,"",EsteeNew!AG3-EsteeOld!AG3)</f>
        <v/>
      </c>
      <c r="AH3" s="70" t="str">
        <f>IF(EsteeNew!AH3-EsteeOld!AH3=0,"",EsteeNew!AH3-EsteeOld!AH3)</f>
        <v/>
      </c>
      <c r="AI3" s="70" t="str">
        <f>IF(EsteeNew!AI3-EsteeOld!AI3=0,"",EsteeNew!AI3-EsteeOld!AI3)</f>
        <v/>
      </c>
      <c r="AJ3" s="70" t="str">
        <f>IF(EsteeNew!AJ3-EsteeOld!AJ3=0,"",EsteeNew!AJ3-EsteeOld!AJ3)</f>
        <v/>
      </c>
      <c r="AK3" s="70" t="str">
        <f>IF(EsteeNew!AK3-EsteeOld!AK3=0,"",EsteeNew!AK3-EsteeOld!AK3)</f>
        <v/>
      </c>
      <c r="AL3" s="70" t="str">
        <f>IF(EsteeNew!AL3-EsteeOld!AL3=0,"",EsteeNew!AL3-EsteeOld!AL3)</f>
        <v/>
      </c>
      <c r="AM3" s="70" t="str">
        <f>IF(EsteeNew!AM3-EsteeOld!AM3=0,"",EsteeNew!AM3-EsteeOld!AM3)</f>
        <v/>
      </c>
      <c r="AN3" s="70" t="str">
        <f>IF(EsteeNew!AN3-EsteeOld!AN3=0,"",EsteeNew!AN3-EsteeOld!AN3)</f>
        <v/>
      </c>
      <c r="AO3" s="70" t="str">
        <f>IF(EsteeNew!AO3-EsteeOld!AO3=0,"",EsteeNew!AO3-EsteeOld!AO3)</f>
        <v/>
      </c>
      <c r="AP3" s="70" t="str">
        <f>IF(EsteeNew!AP3-EsteeOld!AP3=0,"",EsteeNew!AP3-EsteeOld!AP3)</f>
        <v/>
      </c>
      <c r="AQ3" s="70" t="str">
        <f>IF(EsteeNew!AQ3-EsteeOld!AQ3=0,"",EsteeNew!AQ3-EsteeOld!AQ3)</f>
        <v/>
      </c>
      <c r="AR3" s="70" t="str">
        <f>IF(EsteeNew!AR3-EsteeOld!AR3=0,"",EsteeNew!AR3-EsteeOld!AR3)</f>
        <v/>
      </c>
      <c r="AS3" s="70" t="str">
        <f>IF(EsteeNew!AS3-EsteeOld!AS3=0,"",EsteeNew!AS3-EsteeOld!AS3)</f>
        <v/>
      </c>
      <c r="AT3" s="70" t="str">
        <f>IF(EsteeNew!AT3-EsteeOld!AT3=0,"",EsteeNew!AT3-EsteeOld!AT3)</f>
        <v/>
      </c>
      <c r="AU3" s="70" t="str">
        <f>IF(EsteeNew!AU3-EsteeOld!AU3=0,"",EsteeNew!AU3-EsteeOld!AU3)</f>
        <v/>
      </c>
      <c r="AV3" s="70" t="str">
        <f>IF(EsteeNew!AV3-EsteeOld!AV3=0,"",EsteeNew!AV3-EsteeOld!AV3)</f>
        <v/>
      </c>
      <c r="AW3" s="70" t="str">
        <f>IF(EsteeNew!AW3-EsteeOld!AW3=0,"",EsteeNew!AW3-EsteeOld!AW3)</f>
        <v/>
      </c>
      <c r="AX3" s="70" t="str">
        <f>IF(EsteeNew!AX3-EsteeOld!AX3=0,"",EsteeNew!AX3-EsteeOld!AX3)</f>
        <v/>
      </c>
      <c r="AY3" s="70" t="str">
        <f>IF(EsteeNew!AY3-EsteeOld!AY3=0,"",EsteeNew!AY3-EsteeOld!AY3)</f>
        <v/>
      </c>
      <c r="AZ3" s="70" t="str">
        <f>IF(EsteeNew!AZ3-EsteeOld!AZ3=0,"",EsteeNew!AZ3-EsteeOld!AZ3)</f>
        <v/>
      </c>
      <c r="BA3" s="70" t="str">
        <f>IF(EsteeNew!BA3-EsteeOld!BA3=0,"",EsteeNew!BA3-EsteeOld!BA3)</f>
        <v/>
      </c>
      <c r="BB3" s="70" t="str">
        <f>IF(EsteeNew!BB3-EsteeOld!BB3=0,"",EsteeNew!BB3-EsteeOld!BB3)</f>
        <v/>
      </c>
      <c r="BC3" s="70" t="str">
        <f>IF(EsteeNew!BC3-EsteeOld!BC3=0,"",EsteeNew!BC3-EsteeOld!BC3)</f>
        <v/>
      </c>
      <c r="BD3" s="70" t="str">
        <f>IF(EsteeNew!BD3-EsteeOld!BD3=0,"",EsteeNew!BD3-EsteeOld!BD3)</f>
        <v/>
      </c>
    </row>
    <row r="4" spans="3:56" x14ac:dyDescent="0.25">
      <c r="C4" s="104"/>
      <c r="D4" s="41" t="s">
        <v>22</v>
      </c>
      <c r="E4" s="70" t="str">
        <f>IF(EsteeNew!E4-EsteeOld!E4=0,"",EsteeNew!E4-EsteeOld!E4)</f>
        <v/>
      </c>
      <c r="F4" s="70" t="str">
        <f>IF(EsteeNew!F4-EsteeOld!F4=0,"",EsteeNew!F4-EsteeOld!F4)</f>
        <v/>
      </c>
      <c r="G4" s="70" t="str">
        <f>IF(EsteeNew!G4-EsteeOld!G4=0,"",EsteeNew!G4-EsteeOld!G4)</f>
        <v/>
      </c>
      <c r="H4" s="70" t="str">
        <f>IF(EsteeNew!H4-EsteeOld!H4=0,"",EsteeNew!H4-EsteeOld!H4)</f>
        <v/>
      </c>
      <c r="I4" s="70" t="str">
        <f>IF(EsteeNew!I4-EsteeOld!I4=0,"",EsteeNew!I4-EsteeOld!I4)</f>
        <v/>
      </c>
      <c r="J4" s="70" t="str">
        <f>IF(EsteeNew!J4-EsteeOld!J4=0,"",EsteeNew!J4-EsteeOld!J4)</f>
        <v/>
      </c>
      <c r="K4" s="70" t="str">
        <f>IF(EsteeNew!K4-EsteeOld!K4=0,"",EsteeNew!K4-EsteeOld!K4)</f>
        <v/>
      </c>
      <c r="L4" s="70" t="str">
        <f>IF(EsteeNew!L4-EsteeOld!L4=0,"",EsteeNew!L4-EsteeOld!L4)</f>
        <v/>
      </c>
      <c r="M4" s="70" t="str">
        <f>IF(EsteeNew!M4-EsteeOld!M4=0,"",EsteeNew!M4-EsteeOld!M4)</f>
        <v/>
      </c>
      <c r="N4" s="70" t="str">
        <f>IF(EsteeNew!N4-EsteeOld!N4=0,"",EsteeNew!N4-EsteeOld!N4)</f>
        <v/>
      </c>
      <c r="O4" s="70" t="str">
        <f>IF(EsteeNew!O4-EsteeOld!O4=0,"",EsteeNew!O4-EsteeOld!O4)</f>
        <v/>
      </c>
      <c r="P4" s="70" t="str">
        <f>IF(EsteeNew!P4-EsteeOld!P4=0,"",EsteeNew!P4-EsteeOld!P4)</f>
        <v/>
      </c>
      <c r="Q4" s="70" t="str">
        <f>IF(EsteeNew!Q4-EsteeOld!Q4=0,"",EsteeNew!Q4-EsteeOld!Q4)</f>
        <v/>
      </c>
      <c r="R4" s="70" t="str">
        <f>IF(EsteeNew!R4-EsteeOld!R4=0,"",EsteeNew!R4-EsteeOld!R4)</f>
        <v/>
      </c>
      <c r="S4" s="70" t="str">
        <f>IF(EsteeNew!S4-EsteeOld!S4=0,"",EsteeNew!S4-EsteeOld!S4)</f>
        <v/>
      </c>
      <c r="T4" s="70" t="str">
        <f>IF(EsteeNew!T4-EsteeOld!T4=0,"",EsteeNew!T4-EsteeOld!T4)</f>
        <v/>
      </c>
      <c r="U4" s="70" t="str">
        <f>IF(EsteeNew!U4-EsteeOld!U4=0,"",EsteeNew!U4-EsteeOld!U4)</f>
        <v/>
      </c>
      <c r="V4" s="70" t="str">
        <f>IF(EsteeNew!V4-EsteeOld!V4=0,"",EsteeNew!V4-EsteeOld!V4)</f>
        <v/>
      </c>
      <c r="W4" s="70" t="str">
        <f>IF(EsteeNew!W4-EsteeOld!W4=0,"",EsteeNew!W4-EsteeOld!W4)</f>
        <v/>
      </c>
      <c r="X4" s="70" t="str">
        <f>IF(EsteeNew!X4-EsteeOld!X4=0,"",EsteeNew!X4-EsteeOld!X4)</f>
        <v/>
      </c>
      <c r="Y4" s="70" t="str">
        <f>IF(EsteeNew!Y4-EsteeOld!Y4=0,"",EsteeNew!Y4-EsteeOld!Y4)</f>
        <v/>
      </c>
      <c r="Z4" s="70" t="str">
        <f>IF(EsteeNew!Z4-EsteeOld!Z4=0,"",EsteeNew!Z4-EsteeOld!Z4)</f>
        <v/>
      </c>
      <c r="AA4" s="70" t="str">
        <f>IF(EsteeNew!AA4-EsteeOld!AA4=0,"",EsteeNew!AA4-EsteeOld!AA4)</f>
        <v/>
      </c>
      <c r="AB4" s="70" t="str">
        <f>IF(EsteeNew!AB4-EsteeOld!AB4=0,"",EsteeNew!AB4-EsteeOld!AB4)</f>
        <v/>
      </c>
      <c r="AC4" s="70" t="str">
        <f>IF(EsteeNew!AC4-EsteeOld!AC4=0,"",EsteeNew!AC4-EsteeOld!AC4)</f>
        <v/>
      </c>
      <c r="AD4" s="70" t="str">
        <f>IF(EsteeNew!AD4-EsteeOld!AD4=0,"",EsteeNew!AD4-EsteeOld!AD4)</f>
        <v/>
      </c>
      <c r="AE4" s="70" t="str">
        <f>IF(EsteeNew!AE4-EsteeOld!AE4=0,"",EsteeNew!AE4-EsteeOld!AE4)</f>
        <v/>
      </c>
      <c r="AF4" s="70" t="str">
        <f>IF(EsteeNew!AF4-EsteeOld!AF4=0,"",EsteeNew!AF4-EsteeOld!AF4)</f>
        <v/>
      </c>
      <c r="AG4" s="70" t="str">
        <f>IF(EsteeNew!AG4-EsteeOld!AG4=0,"",EsteeNew!AG4-EsteeOld!AG4)</f>
        <v/>
      </c>
      <c r="AH4" s="70" t="str">
        <f>IF(EsteeNew!AH4-EsteeOld!AH4=0,"",EsteeNew!AH4-EsteeOld!AH4)</f>
        <v/>
      </c>
      <c r="AI4" s="70" t="str">
        <f>IF(EsteeNew!AI4-EsteeOld!AI4=0,"",EsteeNew!AI4-EsteeOld!AI4)</f>
        <v/>
      </c>
      <c r="AJ4" s="70" t="str">
        <f>IF(EsteeNew!AJ4-EsteeOld!AJ4=0,"",EsteeNew!AJ4-EsteeOld!AJ4)</f>
        <v/>
      </c>
      <c r="AK4" s="70" t="str">
        <f>IF(EsteeNew!AK4-EsteeOld!AK4=0,"",EsteeNew!AK4-EsteeOld!AK4)</f>
        <v/>
      </c>
      <c r="AL4" s="70" t="str">
        <f>IF(EsteeNew!AL4-EsteeOld!AL4=0,"",EsteeNew!AL4-EsteeOld!AL4)</f>
        <v/>
      </c>
      <c r="AM4" s="70" t="str">
        <f>IF(EsteeNew!AM4-EsteeOld!AM4=0,"",EsteeNew!AM4-EsteeOld!AM4)</f>
        <v/>
      </c>
      <c r="AN4" s="70" t="str">
        <f>IF(EsteeNew!AN4-EsteeOld!AN4=0,"",EsteeNew!AN4-EsteeOld!AN4)</f>
        <v/>
      </c>
      <c r="AO4" s="70" t="str">
        <f>IF(EsteeNew!AO4-EsteeOld!AO4=0,"",EsteeNew!AO4-EsteeOld!AO4)</f>
        <v/>
      </c>
      <c r="AP4" s="70" t="str">
        <f>IF(EsteeNew!AP4-EsteeOld!AP4=0,"",EsteeNew!AP4-EsteeOld!AP4)</f>
        <v/>
      </c>
      <c r="AQ4" s="70" t="str">
        <f>IF(EsteeNew!AQ4-EsteeOld!AQ4=0,"",EsteeNew!AQ4-EsteeOld!AQ4)</f>
        <v/>
      </c>
      <c r="AR4" s="70" t="str">
        <f>IF(EsteeNew!AR4-EsteeOld!AR4=0,"",EsteeNew!AR4-EsteeOld!AR4)</f>
        <v/>
      </c>
      <c r="AS4" s="70" t="str">
        <f>IF(EsteeNew!AS4-EsteeOld!AS4=0,"",EsteeNew!AS4-EsteeOld!AS4)</f>
        <v/>
      </c>
      <c r="AT4" s="70" t="str">
        <f>IF(EsteeNew!AT4-EsteeOld!AT4=0,"",EsteeNew!AT4-EsteeOld!AT4)</f>
        <v/>
      </c>
      <c r="AU4" s="70" t="str">
        <f>IF(EsteeNew!AU4-EsteeOld!AU4=0,"",EsteeNew!AU4-EsteeOld!AU4)</f>
        <v/>
      </c>
      <c r="AV4" s="70" t="str">
        <f>IF(EsteeNew!AV4-EsteeOld!AV4=0,"",EsteeNew!AV4-EsteeOld!AV4)</f>
        <v/>
      </c>
      <c r="AW4" s="70" t="str">
        <f>IF(EsteeNew!AW4-EsteeOld!AW4=0,"",EsteeNew!AW4-EsteeOld!AW4)</f>
        <v/>
      </c>
      <c r="AX4" s="70" t="str">
        <f>IF(EsteeNew!AX4-EsteeOld!AX4=0,"",EsteeNew!AX4-EsteeOld!AX4)</f>
        <v/>
      </c>
      <c r="AY4" s="70" t="str">
        <f>IF(EsteeNew!AY4-EsteeOld!AY4=0,"",EsteeNew!AY4-EsteeOld!AY4)</f>
        <v/>
      </c>
      <c r="AZ4" s="70" t="str">
        <f>IF(EsteeNew!AZ4-EsteeOld!AZ4=0,"",EsteeNew!AZ4-EsteeOld!AZ4)</f>
        <v/>
      </c>
      <c r="BA4" s="70" t="str">
        <f>IF(EsteeNew!BA4-EsteeOld!BA4=0,"",EsteeNew!BA4-EsteeOld!BA4)</f>
        <v/>
      </c>
      <c r="BB4" s="70" t="str">
        <f>IF(EsteeNew!BB4-EsteeOld!BB4=0,"",EsteeNew!BB4-EsteeOld!BB4)</f>
        <v/>
      </c>
      <c r="BC4" s="70" t="str">
        <f>IF(EsteeNew!BC4-EsteeOld!BC4=0,"",EsteeNew!BC4-EsteeOld!BC4)</f>
        <v/>
      </c>
      <c r="BD4" s="70" t="str">
        <f>IF(EsteeNew!BD4-EsteeOld!BD4=0,"",EsteeNew!BD4-EsteeOld!BD4)</f>
        <v/>
      </c>
    </row>
    <row r="5" spans="3:56" x14ac:dyDescent="0.25">
      <c r="C5" s="104"/>
      <c r="D5" s="41" t="s">
        <v>30</v>
      </c>
      <c r="E5" s="70" t="str">
        <f>IF(EsteeNew!E5-EsteeOld!E5=0,"",EsteeNew!E5-EsteeOld!E5)</f>
        <v/>
      </c>
      <c r="F5" s="70" t="str">
        <f>IF(EsteeNew!F5-EsteeOld!F5=0,"",EsteeNew!F5-EsteeOld!F5)</f>
        <v/>
      </c>
      <c r="G5" s="70" t="str">
        <f>IF(EsteeNew!G5-EsteeOld!G5=0,"",EsteeNew!G5-EsteeOld!G5)</f>
        <v/>
      </c>
      <c r="H5" s="70" t="str">
        <f>IF(EsteeNew!H5-EsteeOld!H5=0,"",EsteeNew!H5-EsteeOld!H5)</f>
        <v/>
      </c>
      <c r="I5" s="70" t="str">
        <f>IF(EsteeNew!I5-EsteeOld!I5=0,"",EsteeNew!I5-EsteeOld!I5)</f>
        <v/>
      </c>
      <c r="J5" s="70" t="str">
        <f>IF(EsteeNew!J5-EsteeOld!J5=0,"",EsteeNew!J5-EsteeOld!J5)</f>
        <v/>
      </c>
      <c r="K5" s="70" t="str">
        <f>IF(EsteeNew!K5-EsteeOld!K5=0,"",EsteeNew!K5-EsteeOld!K5)</f>
        <v/>
      </c>
      <c r="L5" s="70" t="str">
        <f>IF(EsteeNew!L5-EsteeOld!L5=0,"",EsteeNew!L5-EsteeOld!L5)</f>
        <v/>
      </c>
      <c r="M5" s="70" t="str">
        <f>IF(EsteeNew!M5-EsteeOld!M5=0,"",EsteeNew!M5-EsteeOld!M5)</f>
        <v/>
      </c>
      <c r="N5" s="70" t="str">
        <f>IF(EsteeNew!N5-EsteeOld!N5=0,"",EsteeNew!N5-EsteeOld!N5)</f>
        <v/>
      </c>
      <c r="O5" s="70" t="str">
        <f>IF(EsteeNew!O5-EsteeOld!O5=0,"",EsteeNew!O5-EsteeOld!O5)</f>
        <v/>
      </c>
      <c r="P5" s="70" t="str">
        <f>IF(EsteeNew!P5-EsteeOld!P5=0,"",EsteeNew!P5-EsteeOld!P5)</f>
        <v/>
      </c>
      <c r="Q5" s="70" t="str">
        <f>IF(EsteeNew!Q5-EsteeOld!Q5=0,"",EsteeNew!Q5-EsteeOld!Q5)</f>
        <v/>
      </c>
      <c r="R5" s="70" t="str">
        <f>IF(EsteeNew!R5-EsteeOld!R5=0,"",EsteeNew!R5-EsteeOld!R5)</f>
        <v/>
      </c>
      <c r="S5" s="70" t="str">
        <f>IF(EsteeNew!S5-EsteeOld!S5=0,"",EsteeNew!S5-EsteeOld!S5)</f>
        <v/>
      </c>
      <c r="T5" s="70" t="str">
        <f>IF(EsteeNew!T5-EsteeOld!T5=0,"",EsteeNew!T5-EsteeOld!T5)</f>
        <v/>
      </c>
      <c r="U5" s="70" t="str">
        <f>IF(EsteeNew!U5-EsteeOld!U5=0,"",EsteeNew!U5-EsteeOld!U5)</f>
        <v/>
      </c>
      <c r="V5" s="70" t="str">
        <f>IF(EsteeNew!V5-EsteeOld!V5=0,"",EsteeNew!V5-EsteeOld!V5)</f>
        <v/>
      </c>
      <c r="W5" s="70" t="str">
        <f>IF(EsteeNew!W5-EsteeOld!W5=0,"",EsteeNew!W5-EsteeOld!W5)</f>
        <v/>
      </c>
      <c r="X5" s="70" t="str">
        <f>IF(EsteeNew!X5-EsteeOld!X5=0,"",EsteeNew!X5-EsteeOld!X5)</f>
        <v/>
      </c>
      <c r="Y5" s="70" t="str">
        <f>IF(EsteeNew!Y5-EsteeOld!Y5=0,"",EsteeNew!Y5-EsteeOld!Y5)</f>
        <v/>
      </c>
      <c r="Z5" s="70" t="str">
        <f>IF(EsteeNew!Z5-EsteeOld!Z5=0,"",EsteeNew!Z5-EsteeOld!Z5)</f>
        <v/>
      </c>
      <c r="AA5" s="70" t="str">
        <f>IF(EsteeNew!AA5-EsteeOld!AA5=0,"",EsteeNew!AA5-EsteeOld!AA5)</f>
        <v/>
      </c>
      <c r="AB5" s="70" t="str">
        <f>IF(EsteeNew!AB5-EsteeOld!AB5=0,"",EsteeNew!AB5-EsteeOld!AB5)</f>
        <v/>
      </c>
      <c r="AC5" s="70" t="str">
        <f>IF(EsteeNew!AC5-EsteeOld!AC5=0,"",EsteeNew!AC5-EsteeOld!AC5)</f>
        <v/>
      </c>
      <c r="AD5" s="70" t="str">
        <f>IF(EsteeNew!AD5-EsteeOld!AD5=0,"",EsteeNew!AD5-EsteeOld!AD5)</f>
        <v/>
      </c>
      <c r="AE5" s="70" t="str">
        <f>IF(EsteeNew!AE5-EsteeOld!AE5=0,"",EsteeNew!AE5-EsteeOld!AE5)</f>
        <v/>
      </c>
      <c r="AF5" s="70" t="str">
        <f>IF(EsteeNew!AF5-EsteeOld!AF5=0,"",EsteeNew!AF5-EsteeOld!AF5)</f>
        <v/>
      </c>
      <c r="AG5" s="70" t="str">
        <f>IF(EsteeNew!AG5-EsteeOld!AG5=0,"",EsteeNew!AG5-EsteeOld!AG5)</f>
        <v/>
      </c>
      <c r="AH5" s="70" t="str">
        <f>IF(EsteeNew!AH5-EsteeOld!AH5=0,"",EsteeNew!AH5-EsteeOld!AH5)</f>
        <v/>
      </c>
      <c r="AI5" s="70" t="str">
        <f>IF(EsteeNew!AI5-EsteeOld!AI5=0,"",EsteeNew!AI5-EsteeOld!AI5)</f>
        <v/>
      </c>
      <c r="AJ5" s="70" t="str">
        <f>IF(EsteeNew!AJ5-EsteeOld!AJ5=0,"",EsteeNew!AJ5-EsteeOld!AJ5)</f>
        <v/>
      </c>
      <c r="AK5" s="70" t="str">
        <f>IF(EsteeNew!AK5-EsteeOld!AK5=0,"",EsteeNew!AK5-EsteeOld!AK5)</f>
        <v/>
      </c>
      <c r="AL5" s="70" t="str">
        <f>IF(EsteeNew!AL5-EsteeOld!AL5=0,"",EsteeNew!AL5-EsteeOld!AL5)</f>
        <v/>
      </c>
      <c r="AM5" s="70" t="str">
        <f>IF(EsteeNew!AM5-EsteeOld!AM5=0,"",EsteeNew!AM5-EsteeOld!AM5)</f>
        <v/>
      </c>
      <c r="AN5" s="70" t="str">
        <f>IF(EsteeNew!AN5-EsteeOld!AN5=0,"",EsteeNew!AN5-EsteeOld!AN5)</f>
        <v/>
      </c>
      <c r="AO5" s="70" t="str">
        <f>IF(EsteeNew!AO5-EsteeOld!AO5=0,"",EsteeNew!AO5-EsteeOld!AO5)</f>
        <v/>
      </c>
      <c r="AP5" s="70" t="str">
        <f>IF(EsteeNew!AP5-EsteeOld!AP5=0,"",EsteeNew!AP5-EsteeOld!AP5)</f>
        <v/>
      </c>
      <c r="AQ5" s="70" t="str">
        <f>IF(EsteeNew!AQ5-EsteeOld!AQ5=0,"",EsteeNew!AQ5-EsteeOld!AQ5)</f>
        <v/>
      </c>
      <c r="AR5" s="70" t="str">
        <f>IF(EsteeNew!AR5-EsteeOld!AR5=0,"",EsteeNew!AR5-EsteeOld!AR5)</f>
        <v/>
      </c>
      <c r="AS5" s="70" t="str">
        <f>IF(EsteeNew!AS5-EsteeOld!AS5=0,"",EsteeNew!AS5-EsteeOld!AS5)</f>
        <v/>
      </c>
      <c r="AT5" s="70" t="str">
        <f>IF(EsteeNew!AT5-EsteeOld!AT5=0,"",EsteeNew!AT5-EsteeOld!AT5)</f>
        <v/>
      </c>
      <c r="AU5" s="70" t="str">
        <f>IF(EsteeNew!AU5-EsteeOld!AU5=0,"",EsteeNew!AU5-EsteeOld!AU5)</f>
        <v/>
      </c>
      <c r="AV5" s="70" t="str">
        <f>IF(EsteeNew!AV5-EsteeOld!AV5=0,"",EsteeNew!AV5-EsteeOld!AV5)</f>
        <v/>
      </c>
      <c r="AW5" s="70" t="str">
        <f>IF(EsteeNew!AW5-EsteeOld!AW5=0,"",EsteeNew!AW5-EsteeOld!AW5)</f>
        <v/>
      </c>
      <c r="AX5" s="70" t="str">
        <f>IF(EsteeNew!AX5-EsteeOld!AX5=0,"",EsteeNew!AX5-EsteeOld!AX5)</f>
        <v/>
      </c>
      <c r="AY5" s="70" t="str">
        <f>IF(EsteeNew!AY5-EsteeOld!AY5=0,"",EsteeNew!AY5-EsteeOld!AY5)</f>
        <v/>
      </c>
      <c r="AZ5" s="70" t="str">
        <f>IF(EsteeNew!AZ5-EsteeOld!AZ5=0,"",EsteeNew!AZ5-EsteeOld!AZ5)</f>
        <v/>
      </c>
      <c r="BA5" s="70" t="str">
        <f>IF(EsteeNew!BA5-EsteeOld!BA5=0,"",EsteeNew!BA5-EsteeOld!BA5)</f>
        <v/>
      </c>
      <c r="BB5" s="70" t="str">
        <f>IF(EsteeNew!BB5-EsteeOld!BB5=0,"",EsteeNew!BB5-EsteeOld!BB5)</f>
        <v/>
      </c>
      <c r="BC5" s="70" t="str">
        <f>IF(EsteeNew!BC5-EsteeOld!BC5=0,"",EsteeNew!BC5-EsteeOld!BC5)</f>
        <v/>
      </c>
      <c r="BD5" s="70" t="str">
        <f>IF(EsteeNew!BD5-EsteeOld!BD5=0,"",EsteeNew!BD5-EsteeOld!BD5)</f>
        <v/>
      </c>
    </row>
    <row r="6" spans="3:56" x14ac:dyDescent="0.25">
      <c r="C6" s="104"/>
      <c r="D6" s="41" t="s">
        <v>31</v>
      </c>
      <c r="E6" s="70" t="str">
        <f>IF(EsteeNew!E6-EsteeOld!E6=0,"",EsteeNew!E6-EsteeOld!E6)</f>
        <v/>
      </c>
      <c r="F6" s="70" t="str">
        <f>IF(EsteeNew!F6-EsteeOld!F6=0,"",EsteeNew!F6-EsteeOld!F6)</f>
        <v/>
      </c>
      <c r="G6" s="70" t="str">
        <f>IF(EsteeNew!G6-EsteeOld!G6=0,"",EsteeNew!G6-EsteeOld!G6)</f>
        <v/>
      </c>
      <c r="H6" s="70" t="str">
        <f>IF(EsteeNew!H6-EsteeOld!H6=0,"",EsteeNew!H6-EsteeOld!H6)</f>
        <v/>
      </c>
      <c r="I6" s="70" t="str">
        <f>IF(EsteeNew!I6-EsteeOld!I6=0,"",EsteeNew!I6-EsteeOld!I6)</f>
        <v/>
      </c>
      <c r="J6" s="70" t="str">
        <f>IF(EsteeNew!J6-EsteeOld!J6=0,"",EsteeNew!J6-EsteeOld!J6)</f>
        <v/>
      </c>
      <c r="K6" s="70" t="str">
        <f>IF(EsteeNew!K6-EsteeOld!K6=0,"",EsteeNew!K6-EsteeOld!K6)</f>
        <v/>
      </c>
      <c r="L6" s="70" t="str">
        <f>IF(EsteeNew!L6-EsteeOld!L6=0,"",EsteeNew!L6-EsteeOld!L6)</f>
        <v/>
      </c>
      <c r="M6" s="70" t="str">
        <f>IF(EsteeNew!M6-EsteeOld!M6=0,"",EsteeNew!M6-EsteeOld!M6)</f>
        <v/>
      </c>
      <c r="N6" s="70" t="str">
        <f>IF(EsteeNew!N6-EsteeOld!N6=0,"",EsteeNew!N6-EsteeOld!N6)</f>
        <v/>
      </c>
      <c r="O6" s="70" t="str">
        <f>IF(EsteeNew!O6-EsteeOld!O6=0,"",EsteeNew!O6-EsteeOld!O6)</f>
        <v/>
      </c>
      <c r="P6" s="70" t="str">
        <f>IF(EsteeNew!P6-EsteeOld!P6=0,"",EsteeNew!P6-EsteeOld!P6)</f>
        <v/>
      </c>
      <c r="Q6" s="70" t="str">
        <f>IF(EsteeNew!Q6-EsteeOld!Q6=0,"",EsteeNew!Q6-EsteeOld!Q6)</f>
        <v/>
      </c>
      <c r="R6" s="70" t="str">
        <f>IF(EsteeNew!R6-EsteeOld!R6=0,"",EsteeNew!R6-EsteeOld!R6)</f>
        <v/>
      </c>
      <c r="S6" s="70" t="str">
        <f>IF(EsteeNew!S6-EsteeOld!S6=0,"",EsteeNew!S6-EsteeOld!S6)</f>
        <v/>
      </c>
      <c r="T6" s="70" t="str">
        <f>IF(EsteeNew!T6-EsteeOld!T6=0,"",EsteeNew!T6-EsteeOld!T6)</f>
        <v/>
      </c>
      <c r="U6" s="70" t="str">
        <f>IF(EsteeNew!U6-EsteeOld!U6=0,"",EsteeNew!U6-EsteeOld!U6)</f>
        <v/>
      </c>
      <c r="V6" s="70" t="str">
        <f>IF(EsteeNew!V6-EsteeOld!V6=0,"",EsteeNew!V6-EsteeOld!V6)</f>
        <v/>
      </c>
      <c r="W6" s="70" t="str">
        <f>IF(EsteeNew!W6-EsteeOld!W6=0,"",EsteeNew!W6-EsteeOld!W6)</f>
        <v/>
      </c>
      <c r="X6" s="70" t="str">
        <f>IF(EsteeNew!X6-EsteeOld!X6=0,"",EsteeNew!X6-EsteeOld!X6)</f>
        <v/>
      </c>
      <c r="Y6" s="70" t="str">
        <f>IF(EsteeNew!Y6-EsteeOld!Y6=0,"",EsteeNew!Y6-EsteeOld!Y6)</f>
        <v/>
      </c>
      <c r="Z6" s="70" t="str">
        <f>IF(EsteeNew!Z6-EsteeOld!Z6=0,"",EsteeNew!Z6-EsteeOld!Z6)</f>
        <v/>
      </c>
      <c r="AA6" s="70" t="str">
        <f>IF(EsteeNew!AA6-EsteeOld!AA6=0,"",EsteeNew!AA6-EsteeOld!AA6)</f>
        <v/>
      </c>
      <c r="AB6" s="70" t="str">
        <f>IF(EsteeNew!AB6-EsteeOld!AB6=0,"",EsteeNew!AB6-EsteeOld!AB6)</f>
        <v/>
      </c>
      <c r="AC6" s="70" t="str">
        <f>IF(EsteeNew!AC6-EsteeOld!AC6=0,"",EsteeNew!AC6-EsteeOld!AC6)</f>
        <v/>
      </c>
      <c r="AD6" s="70" t="str">
        <f>IF(EsteeNew!AD6-EsteeOld!AD6=0,"",EsteeNew!AD6-EsteeOld!AD6)</f>
        <v/>
      </c>
      <c r="AE6" s="70" t="str">
        <f>IF(EsteeNew!AE6-EsteeOld!AE6=0,"",EsteeNew!AE6-EsteeOld!AE6)</f>
        <v/>
      </c>
      <c r="AF6" s="70" t="str">
        <f>IF(EsteeNew!AF6-EsteeOld!AF6=0,"",EsteeNew!AF6-EsteeOld!AF6)</f>
        <v/>
      </c>
      <c r="AG6" s="70" t="str">
        <f>IF(EsteeNew!AG6-EsteeOld!AG6=0,"",EsteeNew!AG6-EsteeOld!AG6)</f>
        <v/>
      </c>
      <c r="AH6" s="70" t="str">
        <f>IF(EsteeNew!AH6-EsteeOld!AH6=0,"",EsteeNew!AH6-EsteeOld!AH6)</f>
        <v/>
      </c>
      <c r="AI6" s="70" t="str">
        <f>IF(EsteeNew!AI6-EsteeOld!AI6=0,"",EsteeNew!AI6-EsteeOld!AI6)</f>
        <v/>
      </c>
      <c r="AJ6" s="70" t="str">
        <f>IF(EsteeNew!AJ6-EsteeOld!AJ6=0,"",EsteeNew!AJ6-EsteeOld!AJ6)</f>
        <v/>
      </c>
      <c r="AK6" s="70" t="str">
        <f>IF(EsteeNew!AK6-EsteeOld!AK6=0,"",EsteeNew!AK6-EsteeOld!AK6)</f>
        <v/>
      </c>
      <c r="AL6" s="70" t="str">
        <f>IF(EsteeNew!AL6-EsteeOld!AL6=0,"",EsteeNew!AL6-EsteeOld!AL6)</f>
        <v/>
      </c>
      <c r="AM6" s="70" t="str">
        <f>IF(EsteeNew!AM6-EsteeOld!AM6=0,"",EsteeNew!AM6-EsteeOld!AM6)</f>
        <v/>
      </c>
      <c r="AN6" s="70" t="str">
        <f>IF(EsteeNew!AN6-EsteeOld!AN6=0,"",EsteeNew!AN6-EsteeOld!AN6)</f>
        <v/>
      </c>
      <c r="AO6" s="70" t="str">
        <f>IF(EsteeNew!AO6-EsteeOld!AO6=0,"",EsteeNew!AO6-EsteeOld!AO6)</f>
        <v/>
      </c>
      <c r="AP6" s="70" t="str">
        <f>IF(EsteeNew!AP6-EsteeOld!AP6=0,"",EsteeNew!AP6-EsteeOld!AP6)</f>
        <v/>
      </c>
      <c r="AQ6" s="70" t="str">
        <f>IF(EsteeNew!AQ6-EsteeOld!AQ6=0,"",EsteeNew!AQ6-EsteeOld!AQ6)</f>
        <v/>
      </c>
      <c r="AR6" s="70" t="str">
        <f>IF(EsteeNew!AR6-EsteeOld!AR6=0,"",EsteeNew!AR6-EsteeOld!AR6)</f>
        <v/>
      </c>
      <c r="AS6" s="70" t="str">
        <f>IF(EsteeNew!AS6-EsteeOld!AS6=0,"",EsteeNew!AS6-EsteeOld!AS6)</f>
        <v/>
      </c>
      <c r="AT6" s="70" t="str">
        <f>IF(EsteeNew!AT6-EsteeOld!AT6=0,"",EsteeNew!AT6-EsteeOld!AT6)</f>
        <v/>
      </c>
      <c r="AU6" s="70" t="str">
        <f>IF(EsteeNew!AU6-EsteeOld!AU6=0,"",EsteeNew!AU6-EsteeOld!AU6)</f>
        <v/>
      </c>
      <c r="AV6" s="70" t="str">
        <f>IF(EsteeNew!AV6-EsteeOld!AV6=0,"",EsteeNew!AV6-EsteeOld!AV6)</f>
        <v/>
      </c>
      <c r="AW6" s="70" t="str">
        <f>IF(EsteeNew!AW6-EsteeOld!AW6=0,"",EsteeNew!AW6-EsteeOld!AW6)</f>
        <v/>
      </c>
      <c r="AX6" s="70" t="str">
        <f>IF(EsteeNew!AX6-EsteeOld!AX6=0,"",EsteeNew!AX6-EsteeOld!AX6)</f>
        <v/>
      </c>
      <c r="AY6" s="70" t="str">
        <f>IF(EsteeNew!AY6-EsteeOld!AY6=0,"",EsteeNew!AY6-EsteeOld!AY6)</f>
        <v/>
      </c>
      <c r="AZ6" s="70" t="str">
        <f>IF(EsteeNew!AZ6-EsteeOld!AZ6=0,"",EsteeNew!AZ6-EsteeOld!AZ6)</f>
        <v/>
      </c>
      <c r="BA6" s="70" t="str">
        <f>IF(EsteeNew!BA6-EsteeOld!BA6=0,"",EsteeNew!BA6-EsteeOld!BA6)</f>
        <v/>
      </c>
      <c r="BB6" s="70" t="str">
        <f>IF(EsteeNew!BB6-EsteeOld!BB6=0,"",EsteeNew!BB6-EsteeOld!BB6)</f>
        <v/>
      </c>
      <c r="BC6" s="70" t="str">
        <f>IF(EsteeNew!BC6-EsteeOld!BC6=0,"",EsteeNew!BC6-EsteeOld!BC6)</f>
        <v/>
      </c>
      <c r="BD6" s="70" t="str">
        <f>IF(EsteeNew!BD6-EsteeOld!BD6=0,"",EsteeNew!BD6-EsteeOld!BD6)</f>
        <v/>
      </c>
    </row>
    <row r="7" spans="3:56" x14ac:dyDescent="0.25">
      <c r="C7" s="104"/>
      <c r="D7" s="41" t="s">
        <v>33</v>
      </c>
      <c r="E7" s="83" t="str">
        <f>IF(EsteeNew!E7-EsteeOld!E7=0,"",EsteeNew!E7-EsteeOld!E7)</f>
        <v/>
      </c>
      <c r="F7" s="83" t="str">
        <f>IF(EsteeNew!F7-EsteeOld!F7=0,"",EsteeNew!F7-EsteeOld!F7)</f>
        <v/>
      </c>
      <c r="G7" s="83" t="str">
        <f>IF(EsteeNew!G7-EsteeOld!G7=0,"",EsteeNew!G7-EsteeOld!G7)</f>
        <v/>
      </c>
      <c r="H7" s="83" t="str">
        <f>IF(EsteeNew!H7-EsteeOld!H7=0,"",EsteeNew!H7-EsteeOld!H7)</f>
        <v/>
      </c>
      <c r="I7" s="83" t="str">
        <f>IF(EsteeNew!I7-EsteeOld!I7=0,"",EsteeNew!I7-EsteeOld!I7)</f>
        <v/>
      </c>
      <c r="J7" s="83" t="str">
        <f>IF(EsteeNew!J7-EsteeOld!J7=0,"",EsteeNew!J7-EsteeOld!J7)</f>
        <v/>
      </c>
      <c r="K7" s="83" t="str">
        <f>IF(EsteeNew!K7-EsteeOld!K7=0,"",EsteeNew!K7-EsteeOld!K7)</f>
        <v/>
      </c>
      <c r="L7" s="83" t="str">
        <f>IF(EsteeNew!L7-EsteeOld!L7=0,"",EsteeNew!L7-EsteeOld!L7)</f>
        <v/>
      </c>
      <c r="M7" s="83" t="str">
        <f>IF(EsteeNew!M7-EsteeOld!M7=0,"",EsteeNew!M7-EsteeOld!M7)</f>
        <v/>
      </c>
      <c r="N7" s="83" t="str">
        <f>IF(EsteeNew!N7-EsteeOld!N7=0,"",EsteeNew!N7-EsteeOld!N7)</f>
        <v/>
      </c>
      <c r="O7" s="83" t="str">
        <f>IF(EsteeNew!O7-EsteeOld!O7=0,"",EsteeNew!O7-EsteeOld!O7)</f>
        <v/>
      </c>
      <c r="P7" s="83" t="str">
        <f>IF(EsteeNew!P7-EsteeOld!P7=0,"",EsteeNew!P7-EsteeOld!P7)</f>
        <v/>
      </c>
      <c r="Q7" s="83" t="str">
        <f>IF(EsteeNew!Q7-EsteeOld!Q7=0,"",EsteeNew!Q7-EsteeOld!Q7)</f>
        <v/>
      </c>
      <c r="R7" s="83" t="str">
        <f>IF(EsteeNew!R7-EsteeOld!R7=0,"",EsteeNew!R7-EsteeOld!R7)</f>
        <v/>
      </c>
      <c r="S7" s="83" t="str">
        <f>IF(EsteeNew!S7-EsteeOld!S7=0,"",EsteeNew!S7-EsteeOld!S7)</f>
        <v/>
      </c>
      <c r="T7" s="83" t="str">
        <f>IF(EsteeNew!T7-EsteeOld!T7=0,"",EsteeNew!T7-EsteeOld!T7)</f>
        <v/>
      </c>
      <c r="U7" s="83" t="str">
        <f>IF(EsteeNew!U7-EsteeOld!U7=0,"",EsteeNew!U7-EsteeOld!U7)</f>
        <v/>
      </c>
      <c r="V7" s="83" t="str">
        <f>IF(EsteeNew!V7-EsteeOld!V7=0,"",EsteeNew!V7-EsteeOld!V7)</f>
        <v/>
      </c>
      <c r="W7" s="83" t="str">
        <f>IF(EsteeNew!W7-EsteeOld!W7=0,"",EsteeNew!W7-EsteeOld!W7)</f>
        <v/>
      </c>
      <c r="X7" s="83" t="str">
        <f>IF(EsteeNew!X7-EsteeOld!X7=0,"",EsteeNew!X7-EsteeOld!X7)</f>
        <v/>
      </c>
      <c r="Y7" s="83" t="str">
        <f>IF(EsteeNew!Y7-EsteeOld!Y7=0,"",EsteeNew!Y7-EsteeOld!Y7)</f>
        <v/>
      </c>
      <c r="Z7" s="83" t="str">
        <f>IF(EsteeNew!Z7-EsteeOld!Z7=0,"",EsteeNew!Z7-EsteeOld!Z7)</f>
        <v/>
      </c>
      <c r="AA7" s="83" t="str">
        <f>IF(EsteeNew!AA7-EsteeOld!AA7=0,"",EsteeNew!AA7-EsteeOld!AA7)</f>
        <v/>
      </c>
      <c r="AB7" s="83" t="str">
        <f>IF(EsteeNew!AB7-EsteeOld!AB7=0,"",EsteeNew!AB7-EsteeOld!AB7)</f>
        <v/>
      </c>
      <c r="AC7" s="83" t="str">
        <f>IF(EsteeNew!AC7-EsteeOld!AC7=0,"",EsteeNew!AC7-EsteeOld!AC7)</f>
        <v/>
      </c>
      <c r="AD7" s="83" t="str">
        <f>IF(EsteeNew!AD7-EsteeOld!AD7=0,"",EsteeNew!AD7-EsteeOld!AD7)</f>
        <v/>
      </c>
      <c r="AE7" s="83" t="str">
        <f>IF(EsteeNew!AE7-EsteeOld!AE7=0,"",EsteeNew!AE7-EsteeOld!AE7)</f>
        <v/>
      </c>
      <c r="AF7" s="83" t="str">
        <f>IF(EsteeNew!AF7-EsteeOld!AF7=0,"",EsteeNew!AF7-EsteeOld!AF7)</f>
        <v/>
      </c>
      <c r="AG7" s="83" t="str">
        <f>IF(EsteeNew!AG7-EsteeOld!AG7=0,"",EsteeNew!AG7-EsteeOld!AG7)</f>
        <v/>
      </c>
      <c r="AH7" s="83" t="str">
        <f>IF(EsteeNew!AH7-EsteeOld!AH7=0,"",EsteeNew!AH7-EsteeOld!AH7)</f>
        <v/>
      </c>
      <c r="AI7" s="83" t="str">
        <f>IF(EsteeNew!AI7-EsteeOld!AI7=0,"",EsteeNew!AI7-EsteeOld!AI7)</f>
        <v/>
      </c>
      <c r="AJ7" s="83" t="str">
        <f>IF(EsteeNew!AJ7-EsteeOld!AJ7=0,"",EsteeNew!AJ7-EsteeOld!AJ7)</f>
        <v/>
      </c>
      <c r="AK7" s="83" t="str">
        <f>IF(EsteeNew!AK7-EsteeOld!AK7=0,"",EsteeNew!AK7-EsteeOld!AK7)</f>
        <v/>
      </c>
      <c r="AL7" s="83" t="str">
        <f>IF(EsteeNew!AL7-EsteeOld!AL7=0,"",EsteeNew!AL7-EsteeOld!AL7)</f>
        <v/>
      </c>
      <c r="AM7" s="83" t="str">
        <f>IF(EsteeNew!AM7-EsteeOld!AM7=0,"",EsteeNew!AM7-EsteeOld!AM7)</f>
        <v/>
      </c>
      <c r="AN7" s="83" t="str">
        <f>IF(EsteeNew!AN7-EsteeOld!AN7=0,"",EsteeNew!AN7-EsteeOld!AN7)</f>
        <v/>
      </c>
      <c r="AO7" s="83" t="str">
        <f>IF(EsteeNew!AO7-EsteeOld!AO7=0,"",EsteeNew!AO7-EsteeOld!AO7)</f>
        <v/>
      </c>
      <c r="AP7" s="83" t="str">
        <f>IF(EsteeNew!AP7-EsteeOld!AP7=0,"",EsteeNew!AP7-EsteeOld!AP7)</f>
        <v/>
      </c>
      <c r="AQ7" s="83" t="str">
        <f>IF(EsteeNew!AQ7-EsteeOld!AQ7=0,"",EsteeNew!AQ7-EsteeOld!AQ7)</f>
        <v/>
      </c>
      <c r="AR7" s="83" t="str">
        <f>IF(EsteeNew!AR7-EsteeOld!AR7=0,"",EsteeNew!AR7-EsteeOld!AR7)</f>
        <v/>
      </c>
      <c r="AS7" s="83" t="str">
        <f>IF(EsteeNew!AS7-EsteeOld!AS7=0,"",EsteeNew!AS7-EsteeOld!AS7)</f>
        <v/>
      </c>
      <c r="AT7" s="83" t="str">
        <f>IF(EsteeNew!AT7-EsteeOld!AT7=0,"",EsteeNew!AT7-EsteeOld!AT7)</f>
        <v/>
      </c>
      <c r="AU7" s="83" t="str">
        <f>IF(EsteeNew!AU7-EsteeOld!AU7=0,"",EsteeNew!AU7-EsteeOld!AU7)</f>
        <v/>
      </c>
      <c r="AV7" s="83" t="str">
        <f>IF(EsteeNew!AV7-EsteeOld!AV7=0,"",EsteeNew!AV7-EsteeOld!AV7)</f>
        <v/>
      </c>
      <c r="AW7" s="83" t="str">
        <f>IF(EsteeNew!AW7-EsteeOld!AW7=0,"",EsteeNew!AW7-EsteeOld!AW7)</f>
        <v/>
      </c>
      <c r="AX7" s="83" t="str">
        <f>IF(EsteeNew!AX7-EsteeOld!AX7=0,"",EsteeNew!AX7-EsteeOld!AX7)</f>
        <v/>
      </c>
      <c r="AY7" s="83" t="str">
        <f>IF(EsteeNew!AY7-EsteeOld!AY7=0,"",EsteeNew!AY7-EsteeOld!AY7)</f>
        <v/>
      </c>
      <c r="AZ7" s="83" t="str">
        <f>IF(EsteeNew!AZ7-EsteeOld!AZ7=0,"",EsteeNew!AZ7-EsteeOld!AZ7)</f>
        <v/>
      </c>
      <c r="BA7" s="83" t="str">
        <f>IF(EsteeNew!BA7-EsteeOld!BA7=0,"",EsteeNew!BA7-EsteeOld!BA7)</f>
        <v/>
      </c>
      <c r="BB7" s="83" t="str">
        <f>IF(EsteeNew!BB7-EsteeOld!BB7=0,"",EsteeNew!BB7-EsteeOld!BB7)</f>
        <v/>
      </c>
      <c r="BC7" s="83" t="str">
        <f>IF(EsteeNew!BC7-EsteeOld!BC7=0,"",EsteeNew!BC7-EsteeOld!BC7)</f>
        <v/>
      </c>
      <c r="BD7" s="83" t="str">
        <f>IF(EsteeNew!BD7-EsteeOld!BD7=0,"",EsteeNew!BD7-EsteeOld!BD7)</f>
        <v/>
      </c>
    </row>
    <row r="8" spans="3:56" x14ac:dyDescent="0.25">
      <c r="C8" s="48"/>
      <c r="E8" s="45"/>
      <c r="F8" s="45"/>
      <c r="G8" s="45"/>
      <c r="H8" s="45"/>
      <c r="I8" s="45"/>
      <c r="J8" s="45"/>
      <c r="K8" s="45"/>
      <c r="L8" s="45"/>
      <c r="M8" s="45"/>
    </row>
    <row r="9" spans="3:56" x14ac:dyDescent="0.25">
      <c r="C9" s="48"/>
      <c r="D9" s="58" t="s">
        <v>50</v>
      </c>
      <c r="E9" s="44"/>
      <c r="F9" s="44"/>
      <c r="G9" s="44"/>
      <c r="H9" s="44"/>
      <c r="I9" s="44"/>
      <c r="J9" s="44"/>
      <c r="K9" s="44"/>
      <c r="L9" s="44"/>
      <c r="M9" s="44"/>
    </row>
    <row r="10" spans="3:56" x14ac:dyDescent="0.25">
      <c r="C10" s="48"/>
      <c r="D10" s="57" t="s">
        <v>34</v>
      </c>
      <c r="E10" s="64" t="str">
        <f>IF(EsteeNew!E10-EsteeOld!E10=0,"",EsteeNew!E10-EsteeOld!E10)</f>
        <v/>
      </c>
      <c r="F10" s="64" t="str">
        <f>IF(EsteeNew!F10-EsteeOld!F10=0,"",EsteeNew!F10-EsteeOld!F10)</f>
        <v/>
      </c>
      <c r="G10" s="64" t="str">
        <f>IF(EsteeNew!G10-EsteeOld!G10=0,"",EsteeNew!G10-EsteeOld!G10)</f>
        <v/>
      </c>
      <c r="H10" s="64" t="str">
        <f>IF(EsteeNew!H10-EsteeOld!H10=0,"",EsteeNew!H10-EsteeOld!H10)</f>
        <v/>
      </c>
      <c r="I10" s="64" t="str">
        <f>IF(EsteeNew!I10-EsteeOld!I10=0,"",EsteeNew!I10-EsteeOld!I10)</f>
        <v/>
      </c>
      <c r="J10" s="64" t="str">
        <f>IF(EsteeNew!J10-EsteeOld!J10=0,"",EsteeNew!J10-EsteeOld!J10)</f>
        <v/>
      </c>
      <c r="K10" s="64" t="str">
        <f>IF(EsteeNew!K10-EsteeOld!K10=0,"",EsteeNew!K10-EsteeOld!K10)</f>
        <v/>
      </c>
      <c r="L10" s="64" t="str">
        <f>IF(EsteeNew!L10-EsteeOld!L10=0,"",EsteeNew!L10-EsteeOld!L10)</f>
        <v/>
      </c>
      <c r="M10" s="64" t="str">
        <f>IF(EsteeNew!M10-EsteeOld!M10=0,"",EsteeNew!M10-EsteeOld!M10)</f>
        <v/>
      </c>
      <c r="N10" s="64" t="str">
        <f>IF(EsteeNew!N10-EsteeOld!N10=0,"",EsteeNew!N10-EsteeOld!N10)</f>
        <v/>
      </c>
      <c r="O10" s="64" t="str">
        <f>IF(EsteeNew!O10-EsteeOld!O10=0,"",EsteeNew!O10-EsteeOld!O10)</f>
        <v/>
      </c>
      <c r="P10" s="64" t="str">
        <f>IF(EsteeNew!P10-EsteeOld!P10=0,"",EsteeNew!P10-EsteeOld!P10)</f>
        <v/>
      </c>
      <c r="Q10" s="64" t="str">
        <f>IF(EsteeNew!Q10-EsteeOld!Q10=0,"",EsteeNew!Q10-EsteeOld!Q10)</f>
        <v/>
      </c>
      <c r="R10" s="64" t="str">
        <f>IF(EsteeNew!R10-EsteeOld!R10=0,"",EsteeNew!R10-EsteeOld!R10)</f>
        <v/>
      </c>
      <c r="S10" s="64" t="str">
        <f>IF(EsteeNew!S10-EsteeOld!S10=0,"",EsteeNew!S10-EsteeOld!S10)</f>
        <v/>
      </c>
      <c r="T10" s="64" t="str">
        <f>IF(EsteeNew!T10-EsteeOld!T10=0,"",EsteeNew!T10-EsteeOld!T10)</f>
        <v/>
      </c>
      <c r="U10" s="64" t="str">
        <f>IF(EsteeNew!U10-EsteeOld!U10=0,"",EsteeNew!U10-EsteeOld!U10)</f>
        <v/>
      </c>
      <c r="V10" s="64" t="str">
        <f>IF(EsteeNew!V10-EsteeOld!V10=0,"",EsteeNew!V10-EsteeOld!V10)</f>
        <v/>
      </c>
      <c r="W10" s="64" t="str">
        <f>IF(EsteeNew!W10-EsteeOld!W10=0,"",EsteeNew!W10-EsteeOld!W10)</f>
        <v/>
      </c>
      <c r="X10" s="64" t="str">
        <f>IF(EsteeNew!X10-EsteeOld!X10=0,"",EsteeNew!X10-EsteeOld!X10)</f>
        <v/>
      </c>
      <c r="Y10" s="64" t="str">
        <f>IF(EsteeNew!Y10-EsteeOld!Y10=0,"",EsteeNew!Y10-EsteeOld!Y10)</f>
        <v/>
      </c>
      <c r="Z10" s="64" t="str">
        <f>IF(EsteeNew!Z10-EsteeOld!Z10=0,"",EsteeNew!Z10-EsteeOld!Z10)</f>
        <v/>
      </c>
      <c r="AA10" s="64" t="str">
        <f>IF(EsteeNew!AA10-EsteeOld!AA10=0,"",EsteeNew!AA10-EsteeOld!AA10)</f>
        <v/>
      </c>
      <c r="AB10" s="64" t="str">
        <f>IF(EsteeNew!AB10-EsteeOld!AB10=0,"",EsteeNew!AB10-EsteeOld!AB10)</f>
        <v/>
      </c>
      <c r="AC10" s="64" t="str">
        <f>IF(EsteeNew!AC10-EsteeOld!AC10=0,"",EsteeNew!AC10-EsteeOld!AC10)</f>
        <v/>
      </c>
      <c r="AD10" s="64" t="str">
        <f>IF(EsteeNew!AD10-EsteeOld!AD10=0,"",EsteeNew!AD10-EsteeOld!AD10)</f>
        <v/>
      </c>
      <c r="AE10" s="64" t="str">
        <f>IF(EsteeNew!AE10-EsteeOld!AE10=0,"",EsteeNew!AE10-EsteeOld!AE10)</f>
        <v/>
      </c>
      <c r="AF10" s="64" t="str">
        <f>IF(EsteeNew!AF10-EsteeOld!AF10=0,"",EsteeNew!AF10-EsteeOld!AF10)</f>
        <v/>
      </c>
      <c r="AG10" s="64" t="str">
        <f>IF(EsteeNew!AG10-EsteeOld!AG10=0,"",EsteeNew!AG10-EsteeOld!AG10)</f>
        <v/>
      </c>
      <c r="AH10" s="64" t="str">
        <f>IF(EsteeNew!AH10-EsteeOld!AH10=0,"",EsteeNew!AH10-EsteeOld!AH10)</f>
        <v/>
      </c>
      <c r="AI10" s="64" t="str">
        <f>IF(EsteeNew!AI10-EsteeOld!AI10=0,"",EsteeNew!AI10-EsteeOld!AI10)</f>
        <v/>
      </c>
      <c r="AJ10" s="64" t="str">
        <f>IF(EsteeNew!AJ10-EsteeOld!AJ10=0,"",EsteeNew!AJ10-EsteeOld!AJ10)</f>
        <v/>
      </c>
      <c r="AK10" s="64" t="str">
        <f>IF(EsteeNew!AK10-EsteeOld!AK10=0,"",EsteeNew!AK10-EsteeOld!AK10)</f>
        <v/>
      </c>
      <c r="AL10" s="64" t="str">
        <f>IF(EsteeNew!AL10-EsteeOld!AL10=0,"",EsteeNew!AL10-EsteeOld!AL10)</f>
        <v/>
      </c>
      <c r="AM10" s="64" t="str">
        <f>IF(EsteeNew!AM10-EsteeOld!AM10=0,"",EsteeNew!AM10-EsteeOld!AM10)</f>
        <v/>
      </c>
      <c r="AN10" s="64" t="str">
        <f>IF(EsteeNew!AN10-EsteeOld!AN10=0,"",EsteeNew!AN10-EsteeOld!AN10)</f>
        <v/>
      </c>
      <c r="AO10" s="64" t="str">
        <f>IF(EsteeNew!AO10-EsteeOld!AO10=0,"",EsteeNew!AO10-EsteeOld!AO10)</f>
        <v/>
      </c>
      <c r="AP10" s="64" t="str">
        <f>IF(EsteeNew!AP10-EsteeOld!AP10=0,"",EsteeNew!AP10-EsteeOld!AP10)</f>
        <v/>
      </c>
      <c r="AQ10" s="64" t="str">
        <f>IF(EsteeNew!AQ10-EsteeOld!AQ10=0,"",EsteeNew!AQ10-EsteeOld!AQ10)</f>
        <v/>
      </c>
      <c r="AR10" s="64" t="str">
        <f>IF(EsteeNew!AR10-EsteeOld!AR10=0,"",EsteeNew!AR10-EsteeOld!AR10)</f>
        <v/>
      </c>
      <c r="AS10" s="64" t="str">
        <f>IF(EsteeNew!AS10-EsteeOld!AS10=0,"",EsteeNew!AS10-EsteeOld!AS10)</f>
        <v/>
      </c>
      <c r="AT10" s="64" t="str">
        <f>IF(EsteeNew!AT10-EsteeOld!AT10=0,"",EsteeNew!AT10-EsteeOld!AT10)</f>
        <v/>
      </c>
      <c r="AU10" s="64" t="str">
        <f>IF(EsteeNew!AU10-EsteeOld!AU10=0,"",EsteeNew!AU10-EsteeOld!AU10)</f>
        <v/>
      </c>
      <c r="AV10" s="64" t="str">
        <f>IF(EsteeNew!AV10-EsteeOld!AV10=0,"",EsteeNew!AV10-EsteeOld!AV10)</f>
        <v/>
      </c>
      <c r="AW10" s="64" t="str">
        <f>IF(EsteeNew!AW10-EsteeOld!AW10=0,"",EsteeNew!AW10-EsteeOld!AW10)</f>
        <v/>
      </c>
      <c r="AX10" s="64" t="str">
        <f>IF(EsteeNew!AX10-EsteeOld!AX10=0,"",EsteeNew!AX10-EsteeOld!AX10)</f>
        <v/>
      </c>
      <c r="AY10" s="64" t="str">
        <f>IF(EsteeNew!AY10-EsteeOld!AY10=0,"",EsteeNew!AY10-EsteeOld!AY10)</f>
        <v/>
      </c>
      <c r="AZ10" s="64" t="str">
        <f>IF(EsteeNew!AZ10-EsteeOld!AZ10=0,"",EsteeNew!AZ10-EsteeOld!AZ10)</f>
        <v/>
      </c>
      <c r="BA10" s="64" t="str">
        <f>IF(EsteeNew!BA10-EsteeOld!BA10=0,"",EsteeNew!BA10-EsteeOld!BA10)</f>
        <v/>
      </c>
      <c r="BB10" s="64" t="str">
        <f>IF(EsteeNew!BB10-EsteeOld!BB10=0,"",EsteeNew!BB10-EsteeOld!BB10)</f>
        <v/>
      </c>
      <c r="BC10" s="64" t="str">
        <f>IF(EsteeNew!BC10-EsteeOld!BC10=0,"",EsteeNew!BC10-EsteeOld!BC10)</f>
        <v/>
      </c>
      <c r="BD10" s="64" t="str">
        <f>IF(EsteeNew!BD10-EsteeOld!BD10=0,"",EsteeNew!BD10-EsteeOld!BD10)</f>
        <v/>
      </c>
    </row>
    <row r="11" spans="3:56" x14ac:dyDescent="0.25">
      <c r="C11" s="48"/>
      <c r="D11" s="57" t="s">
        <v>35</v>
      </c>
      <c r="E11" s="64" t="str">
        <f>IF(EsteeNew!E11-EsteeOld!E11=0,"",EsteeNew!E11-EsteeOld!E11)</f>
        <v/>
      </c>
      <c r="F11" s="64" t="str">
        <f>IF(EsteeNew!F11-EsteeOld!F11=0,"",EsteeNew!F11-EsteeOld!F11)</f>
        <v/>
      </c>
      <c r="G11" s="64" t="str">
        <f>IF(EsteeNew!G11-EsteeOld!G11=0,"",EsteeNew!G11-EsteeOld!G11)</f>
        <v/>
      </c>
      <c r="H11" s="64" t="str">
        <f>IF(EsteeNew!H11-EsteeOld!H11=0,"",EsteeNew!H11-EsteeOld!H11)</f>
        <v/>
      </c>
      <c r="I11" s="64" t="str">
        <f>IF(EsteeNew!I11-EsteeOld!I11=0,"",EsteeNew!I11-EsteeOld!I11)</f>
        <v/>
      </c>
      <c r="J11" s="64" t="str">
        <f>IF(EsteeNew!J11-EsteeOld!J11=0,"",EsteeNew!J11-EsteeOld!J11)</f>
        <v/>
      </c>
      <c r="K11" s="64" t="str">
        <f>IF(EsteeNew!K11-EsteeOld!K11=0,"",EsteeNew!K11-EsteeOld!K11)</f>
        <v/>
      </c>
      <c r="L11" s="64" t="str">
        <f>IF(EsteeNew!L11-EsteeOld!L11=0,"",EsteeNew!L11-EsteeOld!L11)</f>
        <v/>
      </c>
      <c r="M11" s="64" t="str">
        <f>IF(EsteeNew!M11-EsteeOld!M11=0,"",EsteeNew!M11-EsteeOld!M11)</f>
        <v/>
      </c>
      <c r="N11" s="64" t="str">
        <f>IF(EsteeNew!N11-EsteeOld!N11=0,"",EsteeNew!N11-EsteeOld!N11)</f>
        <v/>
      </c>
      <c r="O11" s="64" t="str">
        <f>IF(EsteeNew!O11-EsteeOld!O11=0,"",EsteeNew!O11-EsteeOld!O11)</f>
        <v/>
      </c>
      <c r="P11" s="64" t="str">
        <f>IF(EsteeNew!P11-EsteeOld!P11=0,"",EsteeNew!P11-EsteeOld!P11)</f>
        <v/>
      </c>
      <c r="Q11" s="64" t="str">
        <f>IF(EsteeNew!Q11-EsteeOld!Q11=0,"",EsteeNew!Q11-EsteeOld!Q11)</f>
        <v/>
      </c>
      <c r="R11" s="64" t="str">
        <f>IF(EsteeNew!R11-EsteeOld!R11=0,"",EsteeNew!R11-EsteeOld!R11)</f>
        <v/>
      </c>
      <c r="S11" s="64" t="str">
        <f>IF(EsteeNew!S11-EsteeOld!S11=0,"",EsteeNew!S11-EsteeOld!S11)</f>
        <v/>
      </c>
      <c r="T11" s="64" t="str">
        <f>IF(EsteeNew!T11-EsteeOld!T11=0,"",EsteeNew!T11-EsteeOld!T11)</f>
        <v/>
      </c>
      <c r="U11" s="64" t="str">
        <f>IF(EsteeNew!U11-EsteeOld!U11=0,"",EsteeNew!U11-EsteeOld!U11)</f>
        <v/>
      </c>
      <c r="V11" s="64" t="str">
        <f>IF(EsteeNew!V11-EsteeOld!V11=0,"",EsteeNew!V11-EsteeOld!V11)</f>
        <v/>
      </c>
      <c r="W11" s="64" t="str">
        <f>IF(EsteeNew!W11-EsteeOld!W11=0,"",EsteeNew!W11-EsteeOld!W11)</f>
        <v/>
      </c>
      <c r="X11" s="64" t="str">
        <f>IF(EsteeNew!X11-EsteeOld!X11=0,"",EsteeNew!X11-EsteeOld!X11)</f>
        <v/>
      </c>
      <c r="Y11" s="64" t="str">
        <f>IF(EsteeNew!Y11-EsteeOld!Y11=0,"",EsteeNew!Y11-EsteeOld!Y11)</f>
        <v/>
      </c>
      <c r="Z11" s="64" t="str">
        <f>IF(EsteeNew!Z11-EsteeOld!Z11=0,"",EsteeNew!Z11-EsteeOld!Z11)</f>
        <v/>
      </c>
      <c r="AA11" s="64" t="str">
        <f>IF(EsteeNew!AA11-EsteeOld!AA11=0,"",EsteeNew!AA11-EsteeOld!AA11)</f>
        <v/>
      </c>
      <c r="AB11" s="64" t="str">
        <f>IF(EsteeNew!AB11-EsteeOld!AB11=0,"",EsteeNew!AB11-EsteeOld!AB11)</f>
        <v/>
      </c>
      <c r="AC11" s="64" t="str">
        <f>IF(EsteeNew!AC11-EsteeOld!AC11=0,"",EsteeNew!AC11-EsteeOld!AC11)</f>
        <v/>
      </c>
      <c r="AD11" s="64" t="str">
        <f>IF(EsteeNew!AD11-EsteeOld!AD11=0,"",EsteeNew!AD11-EsteeOld!AD11)</f>
        <v/>
      </c>
      <c r="AE11" s="64" t="str">
        <f>IF(EsteeNew!AE11-EsteeOld!AE11=0,"",EsteeNew!AE11-EsteeOld!AE11)</f>
        <v/>
      </c>
      <c r="AF11" s="64" t="str">
        <f>IF(EsteeNew!AF11-EsteeOld!AF11=0,"",EsteeNew!AF11-EsteeOld!AF11)</f>
        <v/>
      </c>
      <c r="AG11" s="64" t="str">
        <f>IF(EsteeNew!AG11-EsteeOld!AG11=0,"",EsteeNew!AG11-EsteeOld!AG11)</f>
        <v/>
      </c>
      <c r="AH11" s="64" t="str">
        <f>IF(EsteeNew!AH11-EsteeOld!AH11=0,"",EsteeNew!AH11-EsteeOld!AH11)</f>
        <v/>
      </c>
      <c r="AI11" s="64" t="str">
        <f>IF(EsteeNew!AI11-EsteeOld!AI11=0,"",EsteeNew!AI11-EsteeOld!AI11)</f>
        <v/>
      </c>
      <c r="AJ11" s="64" t="str">
        <f>IF(EsteeNew!AJ11-EsteeOld!AJ11=0,"",EsteeNew!AJ11-EsteeOld!AJ11)</f>
        <v/>
      </c>
      <c r="AK11" s="64" t="str">
        <f>IF(EsteeNew!AK11-EsteeOld!AK11=0,"",EsteeNew!AK11-EsteeOld!AK11)</f>
        <v/>
      </c>
      <c r="AL11" s="64" t="str">
        <f>IF(EsteeNew!AL11-EsteeOld!AL11=0,"",EsteeNew!AL11-EsteeOld!AL11)</f>
        <v/>
      </c>
      <c r="AM11" s="64" t="str">
        <f>IF(EsteeNew!AM11-EsteeOld!AM11=0,"",EsteeNew!AM11-EsteeOld!AM11)</f>
        <v/>
      </c>
      <c r="AN11" s="64" t="str">
        <f>IF(EsteeNew!AN11-EsteeOld!AN11=0,"",EsteeNew!AN11-EsteeOld!AN11)</f>
        <v/>
      </c>
      <c r="AO11" s="64" t="str">
        <f>IF(EsteeNew!AO11-EsteeOld!AO11=0,"",EsteeNew!AO11-EsteeOld!AO11)</f>
        <v/>
      </c>
      <c r="AP11" s="64" t="str">
        <f>IF(EsteeNew!AP11-EsteeOld!AP11=0,"",EsteeNew!AP11-EsteeOld!AP11)</f>
        <v/>
      </c>
      <c r="AQ11" s="64" t="str">
        <f>IF(EsteeNew!AQ11-EsteeOld!AQ11=0,"",EsteeNew!AQ11-EsteeOld!AQ11)</f>
        <v/>
      </c>
      <c r="AR11" s="64" t="str">
        <f>IF(EsteeNew!AR11-EsteeOld!AR11=0,"",EsteeNew!AR11-EsteeOld!AR11)</f>
        <v/>
      </c>
      <c r="AS11" s="64" t="str">
        <f>IF(EsteeNew!AS11-EsteeOld!AS11=0,"",EsteeNew!AS11-EsteeOld!AS11)</f>
        <v/>
      </c>
      <c r="AT11" s="64" t="str">
        <f>IF(EsteeNew!AT11-EsteeOld!AT11=0,"",EsteeNew!AT11-EsteeOld!AT11)</f>
        <v/>
      </c>
      <c r="AU11" s="64" t="str">
        <f>IF(EsteeNew!AU11-EsteeOld!AU11=0,"",EsteeNew!AU11-EsteeOld!AU11)</f>
        <v/>
      </c>
      <c r="AV11" s="64" t="str">
        <f>IF(EsteeNew!AV11-EsteeOld!AV11=0,"",EsteeNew!AV11-EsteeOld!AV11)</f>
        <v/>
      </c>
      <c r="AW11" s="64" t="str">
        <f>IF(EsteeNew!AW11-EsteeOld!AW11=0,"",EsteeNew!AW11-EsteeOld!AW11)</f>
        <v/>
      </c>
      <c r="AX11" s="64" t="str">
        <f>IF(EsteeNew!AX11-EsteeOld!AX11=0,"",EsteeNew!AX11-EsteeOld!AX11)</f>
        <v/>
      </c>
      <c r="AY11" s="64" t="str">
        <f>IF(EsteeNew!AY11-EsteeOld!AY11=0,"",EsteeNew!AY11-EsteeOld!AY11)</f>
        <v/>
      </c>
      <c r="AZ11" s="64" t="str">
        <f>IF(EsteeNew!AZ11-EsteeOld!AZ11=0,"",EsteeNew!AZ11-EsteeOld!AZ11)</f>
        <v/>
      </c>
      <c r="BA11" s="64" t="str">
        <f>IF(EsteeNew!BA11-EsteeOld!BA11=0,"",EsteeNew!BA11-EsteeOld!BA11)</f>
        <v/>
      </c>
      <c r="BB11" s="64" t="str">
        <f>IF(EsteeNew!BB11-EsteeOld!BB11=0,"",EsteeNew!BB11-EsteeOld!BB11)</f>
        <v/>
      </c>
      <c r="BC11" s="64" t="str">
        <f>IF(EsteeNew!BC11-EsteeOld!BC11=0,"",EsteeNew!BC11-EsteeOld!BC11)</f>
        <v/>
      </c>
      <c r="BD11" s="64" t="str">
        <f>IF(EsteeNew!BD11-EsteeOld!BD11=0,"",EsteeNew!BD11-EsteeOld!BD11)</f>
        <v/>
      </c>
    </row>
    <row r="12" spans="3:56" x14ac:dyDescent="0.25">
      <c r="C12" s="48"/>
      <c r="D12" s="57" t="s">
        <v>36</v>
      </c>
      <c r="E12" s="64" t="str">
        <f>IF(EsteeNew!E12-EsteeOld!E12=0,"",EsteeNew!E12-EsteeOld!E12)</f>
        <v/>
      </c>
      <c r="F12" s="64" t="str">
        <f>IF(EsteeNew!F12-EsteeOld!F12=0,"",EsteeNew!F12-EsteeOld!F12)</f>
        <v/>
      </c>
      <c r="G12" s="64" t="str">
        <f>IF(EsteeNew!G12-EsteeOld!G12=0,"",EsteeNew!G12-EsteeOld!G12)</f>
        <v/>
      </c>
      <c r="H12" s="64" t="str">
        <f>IF(EsteeNew!H12-EsteeOld!H12=0,"",EsteeNew!H12-EsteeOld!H12)</f>
        <v/>
      </c>
      <c r="I12" s="64" t="str">
        <f>IF(EsteeNew!I12-EsteeOld!I12=0,"",EsteeNew!I12-EsteeOld!I12)</f>
        <v/>
      </c>
      <c r="J12" s="64" t="str">
        <f>IF(EsteeNew!J12-EsteeOld!J12=0,"",EsteeNew!J12-EsteeOld!J12)</f>
        <v/>
      </c>
      <c r="K12" s="64" t="str">
        <f>IF(EsteeNew!K12-EsteeOld!K12=0,"",EsteeNew!K12-EsteeOld!K12)</f>
        <v/>
      </c>
      <c r="L12" s="64" t="str">
        <f>IF(EsteeNew!L12-EsteeOld!L12=0,"",EsteeNew!L12-EsteeOld!L12)</f>
        <v/>
      </c>
      <c r="M12" s="64" t="str">
        <f>IF(EsteeNew!M12-EsteeOld!M12=0,"",EsteeNew!M12-EsteeOld!M12)</f>
        <v/>
      </c>
      <c r="N12" s="64" t="str">
        <f>IF(EsteeNew!N12-EsteeOld!N12=0,"",EsteeNew!N12-EsteeOld!N12)</f>
        <v/>
      </c>
      <c r="O12" s="64" t="str">
        <f>IF(EsteeNew!O12-EsteeOld!O12=0,"",EsteeNew!O12-EsteeOld!O12)</f>
        <v/>
      </c>
      <c r="P12" s="64" t="str">
        <f>IF(EsteeNew!P12-EsteeOld!P12=0,"",EsteeNew!P12-EsteeOld!P12)</f>
        <v/>
      </c>
      <c r="Q12" s="64" t="str">
        <f>IF(EsteeNew!Q12-EsteeOld!Q12=0,"",EsteeNew!Q12-EsteeOld!Q12)</f>
        <v/>
      </c>
      <c r="R12" s="64" t="str">
        <f>IF(EsteeNew!R12-EsteeOld!R12=0,"",EsteeNew!R12-EsteeOld!R12)</f>
        <v/>
      </c>
      <c r="S12" s="64" t="str">
        <f>IF(EsteeNew!S12-EsteeOld!S12=0,"",EsteeNew!S12-EsteeOld!S12)</f>
        <v/>
      </c>
      <c r="T12" s="64" t="str">
        <f>IF(EsteeNew!T12-EsteeOld!T12=0,"",EsteeNew!T12-EsteeOld!T12)</f>
        <v/>
      </c>
      <c r="U12" s="64" t="str">
        <f>IF(EsteeNew!U12-EsteeOld!U12=0,"",EsteeNew!U12-EsteeOld!U12)</f>
        <v/>
      </c>
      <c r="V12" s="64" t="str">
        <f>IF(EsteeNew!V12-EsteeOld!V12=0,"",EsteeNew!V12-EsteeOld!V12)</f>
        <v/>
      </c>
      <c r="W12" s="64" t="str">
        <f>IF(EsteeNew!W12-EsteeOld!W12=0,"",EsteeNew!W12-EsteeOld!W12)</f>
        <v/>
      </c>
      <c r="X12" s="64" t="str">
        <f>IF(EsteeNew!X12-EsteeOld!X12=0,"",EsteeNew!X12-EsteeOld!X12)</f>
        <v/>
      </c>
      <c r="Y12" s="64" t="str">
        <f>IF(EsteeNew!Y12-EsteeOld!Y12=0,"",EsteeNew!Y12-EsteeOld!Y12)</f>
        <v/>
      </c>
      <c r="Z12" s="64" t="str">
        <f>IF(EsteeNew!Z12-EsteeOld!Z12=0,"",EsteeNew!Z12-EsteeOld!Z12)</f>
        <v/>
      </c>
      <c r="AA12" s="64" t="str">
        <f>IF(EsteeNew!AA12-EsteeOld!AA12=0,"",EsteeNew!AA12-EsteeOld!AA12)</f>
        <v/>
      </c>
      <c r="AB12" s="64" t="str">
        <f>IF(EsteeNew!AB12-EsteeOld!AB12=0,"",EsteeNew!AB12-EsteeOld!AB12)</f>
        <v/>
      </c>
      <c r="AC12" s="64" t="str">
        <f>IF(EsteeNew!AC12-EsteeOld!AC12=0,"",EsteeNew!AC12-EsteeOld!AC12)</f>
        <v/>
      </c>
      <c r="AD12" s="64" t="str">
        <f>IF(EsteeNew!AD12-EsteeOld!AD12=0,"",EsteeNew!AD12-EsteeOld!AD12)</f>
        <v/>
      </c>
      <c r="AE12" s="64" t="str">
        <f>IF(EsteeNew!AE12-EsteeOld!AE12=0,"",EsteeNew!AE12-EsteeOld!AE12)</f>
        <v/>
      </c>
      <c r="AF12" s="64" t="str">
        <f>IF(EsteeNew!AF12-EsteeOld!AF12=0,"",EsteeNew!AF12-EsteeOld!AF12)</f>
        <v/>
      </c>
      <c r="AG12" s="64" t="str">
        <f>IF(EsteeNew!AG12-EsteeOld!AG12=0,"",EsteeNew!AG12-EsteeOld!AG12)</f>
        <v/>
      </c>
      <c r="AH12" s="64" t="str">
        <f>IF(EsteeNew!AH12-EsteeOld!AH12=0,"",EsteeNew!AH12-EsteeOld!AH12)</f>
        <v/>
      </c>
      <c r="AI12" s="64" t="str">
        <f>IF(EsteeNew!AI12-EsteeOld!AI12=0,"",EsteeNew!AI12-EsteeOld!AI12)</f>
        <v/>
      </c>
      <c r="AJ12" s="64" t="str">
        <f>IF(EsteeNew!AJ12-EsteeOld!AJ12=0,"",EsteeNew!AJ12-EsteeOld!AJ12)</f>
        <v/>
      </c>
      <c r="AK12" s="64" t="str">
        <f>IF(EsteeNew!AK12-EsteeOld!AK12=0,"",EsteeNew!AK12-EsteeOld!AK12)</f>
        <v/>
      </c>
      <c r="AL12" s="64" t="str">
        <f>IF(EsteeNew!AL12-EsteeOld!AL12=0,"",EsteeNew!AL12-EsteeOld!AL12)</f>
        <v/>
      </c>
      <c r="AM12" s="64" t="str">
        <f>IF(EsteeNew!AM12-EsteeOld!AM12=0,"",EsteeNew!AM12-EsteeOld!AM12)</f>
        <v/>
      </c>
      <c r="AN12" s="64" t="str">
        <f>IF(EsteeNew!AN12-EsteeOld!AN12=0,"",EsteeNew!AN12-EsteeOld!AN12)</f>
        <v/>
      </c>
      <c r="AO12" s="64" t="str">
        <f>IF(EsteeNew!AO12-EsteeOld!AO12=0,"",EsteeNew!AO12-EsteeOld!AO12)</f>
        <v/>
      </c>
      <c r="AP12" s="64" t="str">
        <f>IF(EsteeNew!AP12-EsteeOld!AP12=0,"",EsteeNew!AP12-EsteeOld!AP12)</f>
        <v/>
      </c>
      <c r="AQ12" s="64" t="str">
        <f>IF(EsteeNew!AQ12-EsteeOld!AQ12=0,"",EsteeNew!AQ12-EsteeOld!AQ12)</f>
        <v/>
      </c>
      <c r="AR12" s="64" t="str">
        <f>IF(EsteeNew!AR12-EsteeOld!AR12=0,"",EsteeNew!AR12-EsteeOld!AR12)</f>
        <v/>
      </c>
      <c r="AS12" s="64" t="str">
        <f>IF(EsteeNew!AS12-EsteeOld!AS12=0,"",EsteeNew!AS12-EsteeOld!AS12)</f>
        <v/>
      </c>
      <c r="AT12" s="64" t="str">
        <f>IF(EsteeNew!AT12-EsteeOld!AT12=0,"",EsteeNew!AT12-EsteeOld!AT12)</f>
        <v/>
      </c>
      <c r="AU12" s="64" t="str">
        <f>IF(EsteeNew!AU12-EsteeOld!AU12=0,"",EsteeNew!AU12-EsteeOld!AU12)</f>
        <v/>
      </c>
      <c r="AV12" s="64" t="str">
        <f>IF(EsteeNew!AV12-EsteeOld!AV12=0,"",EsteeNew!AV12-EsteeOld!AV12)</f>
        <v/>
      </c>
      <c r="AW12" s="64" t="str">
        <f>IF(EsteeNew!AW12-EsteeOld!AW12=0,"",EsteeNew!AW12-EsteeOld!AW12)</f>
        <v/>
      </c>
      <c r="AX12" s="64" t="str">
        <f>IF(EsteeNew!AX12-EsteeOld!AX12=0,"",EsteeNew!AX12-EsteeOld!AX12)</f>
        <v/>
      </c>
      <c r="AY12" s="64" t="str">
        <f>IF(EsteeNew!AY12-EsteeOld!AY12=0,"",EsteeNew!AY12-EsteeOld!AY12)</f>
        <v/>
      </c>
      <c r="AZ12" s="64" t="str">
        <f>IF(EsteeNew!AZ12-EsteeOld!AZ12=0,"",EsteeNew!AZ12-EsteeOld!AZ12)</f>
        <v/>
      </c>
      <c r="BA12" s="64" t="str">
        <f>IF(EsteeNew!BA12-EsteeOld!BA12=0,"",EsteeNew!BA12-EsteeOld!BA12)</f>
        <v/>
      </c>
      <c r="BB12" s="64" t="str">
        <f>IF(EsteeNew!BB12-EsteeOld!BB12=0,"",EsteeNew!BB12-EsteeOld!BB12)</f>
        <v/>
      </c>
      <c r="BC12" s="64" t="str">
        <f>IF(EsteeNew!BC12-EsteeOld!BC12=0,"",EsteeNew!BC12-EsteeOld!BC12)</f>
        <v/>
      </c>
      <c r="BD12" s="64" t="str">
        <f>IF(EsteeNew!BD12-EsteeOld!BD12=0,"",EsteeNew!BD12-EsteeOld!BD12)</f>
        <v/>
      </c>
    </row>
    <row r="13" spans="3:56" x14ac:dyDescent="0.25">
      <c r="C13" s="48"/>
      <c r="D13" s="57" t="s">
        <v>37</v>
      </c>
      <c r="E13" s="64" t="str">
        <f>IF(EsteeNew!E13-EsteeOld!E13=0,"",EsteeNew!E13-EsteeOld!E13)</f>
        <v/>
      </c>
      <c r="F13" s="64" t="str">
        <f>IF(EsteeNew!F13-EsteeOld!F13=0,"",EsteeNew!F13-EsteeOld!F13)</f>
        <v/>
      </c>
      <c r="G13" s="64" t="str">
        <f>IF(EsteeNew!G13-EsteeOld!G13=0,"",EsteeNew!G13-EsteeOld!G13)</f>
        <v/>
      </c>
      <c r="H13" s="64" t="str">
        <f>IF(EsteeNew!H13-EsteeOld!H13=0,"",EsteeNew!H13-EsteeOld!H13)</f>
        <v/>
      </c>
      <c r="I13" s="64" t="str">
        <f>IF(EsteeNew!I13-EsteeOld!I13=0,"",EsteeNew!I13-EsteeOld!I13)</f>
        <v/>
      </c>
      <c r="J13" s="64" t="str">
        <f>IF(EsteeNew!J13-EsteeOld!J13=0,"",EsteeNew!J13-EsteeOld!J13)</f>
        <v/>
      </c>
      <c r="K13" s="64" t="str">
        <f>IF(EsteeNew!K13-EsteeOld!K13=0,"",EsteeNew!K13-EsteeOld!K13)</f>
        <v/>
      </c>
      <c r="L13" s="64" t="str">
        <f>IF(EsteeNew!L13-EsteeOld!L13=0,"",EsteeNew!L13-EsteeOld!L13)</f>
        <v/>
      </c>
      <c r="M13" s="64" t="str">
        <f>IF(EsteeNew!M13-EsteeOld!M13=0,"",EsteeNew!M13-EsteeOld!M13)</f>
        <v/>
      </c>
      <c r="N13" s="64" t="str">
        <f>IF(EsteeNew!N13-EsteeOld!N13=0,"",EsteeNew!N13-EsteeOld!N13)</f>
        <v/>
      </c>
      <c r="O13" s="64" t="str">
        <f>IF(EsteeNew!O13-EsteeOld!O13=0,"",EsteeNew!O13-EsteeOld!O13)</f>
        <v/>
      </c>
      <c r="P13" s="64" t="str">
        <f>IF(EsteeNew!P13-EsteeOld!P13=0,"",EsteeNew!P13-EsteeOld!P13)</f>
        <v/>
      </c>
      <c r="Q13" s="64" t="str">
        <f>IF(EsteeNew!Q13-EsteeOld!Q13=0,"",EsteeNew!Q13-EsteeOld!Q13)</f>
        <v/>
      </c>
      <c r="R13" s="64" t="str">
        <f>IF(EsteeNew!R13-EsteeOld!R13=0,"",EsteeNew!R13-EsteeOld!R13)</f>
        <v/>
      </c>
      <c r="S13" s="64" t="str">
        <f>IF(EsteeNew!S13-EsteeOld!S13=0,"",EsteeNew!S13-EsteeOld!S13)</f>
        <v/>
      </c>
      <c r="T13" s="64" t="str">
        <f>IF(EsteeNew!T13-EsteeOld!T13=0,"",EsteeNew!T13-EsteeOld!T13)</f>
        <v/>
      </c>
      <c r="U13" s="64" t="str">
        <f>IF(EsteeNew!U13-EsteeOld!U13=0,"",EsteeNew!U13-EsteeOld!U13)</f>
        <v/>
      </c>
      <c r="V13" s="64" t="str">
        <f>IF(EsteeNew!V13-EsteeOld!V13=0,"",EsteeNew!V13-EsteeOld!V13)</f>
        <v/>
      </c>
      <c r="W13" s="64" t="str">
        <f>IF(EsteeNew!W13-EsteeOld!W13=0,"",EsteeNew!W13-EsteeOld!W13)</f>
        <v/>
      </c>
      <c r="X13" s="64" t="str">
        <f>IF(EsteeNew!X13-EsteeOld!X13=0,"",EsteeNew!X13-EsteeOld!X13)</f>
        <v/>
      </c>
      <c r="Y13" s="64" t="str">
        <f>IF(EsteeNew!Y13-EsteeOld!Y13=0,"",EsteeNew!Y13-EsteeOld!Y13)</f>
        <v/>
      </c>
      <c r="Z13" s="64" t="str">
        <f>IF(EsteeNew!Z13-EsteeOld!Z13=0,"",EsteeNew!Z13-EsteeOld!Z13)</f>
        <v/>
      </c>
      <c r="AA13" s="64" t="str">
        <f>IF(EsteeNew!AA13-EsteeOld!AA13=0,"",EsteeNew!AA13-EsteeOld!AA13)</f>
        <v/>
      </c>
      <c r="AB13" s="64" t="str">
        <f>IF(EsteeNew!AB13-EsteeOld!AB13=0,"",EsteeNew!AB13-EsteeOld!AB13)</f>
        <v/>
      </c>
      <c r="AC13" s="64" t="str">
        <f>IF(EsteeNew!AC13-EsteeOld!AC13=0,"",EsteeNew!AC13-EsteeOld!AC13)</f>
        <v/>
      </c>
      <c r="AD13" s="64" t="str">
        <f>IF(EsteeNew!AD13-EsteeOld!AD13=0,"",EsteeNew!AD13-EsteeOld!AD13)</f>
        <v/>
      </c>
      <c r="AE13" s="64" t="str">
        <f>IF(EsteeNew!AE13-EsteeOld!AE13=0,"",EsteeNew!AE13-EsteeOld!AE13)</f>
        <v/>
      </c>
      <c r="AF13" s="64" t="str">
        <f>IF(EsteeNew!AF13-EsteeOld!AF13=0,"",EsteeNew!AF13-EsteeOld!AF13)</f>
        <v/>
      </c>
      <c r="AG13" s="64" t="str">
        <f>IF(EsteeNew!AG13-EsteeOld!AG13=0,"",EsteeNew!AG13-EsteeOld!AG13)</f>
        <v/>
      </c>
      <c r="AH13" s="64" t="str">
        <f>IF(EsteeNew!AH13-EsteeOld!AH13=0,"",EsteeNew!AH13-EsteeOld!AH13)</f>
        <v/>
      </c>
      <c r="AI13" s="64" t="str">
        <f>IF(EsteeNew!AI13-EsteeOld!AI13=0,"",EsteeNew!AI13-EsteeOld!AI13)</f>
        <v/>
      </c>
      <c r="AJ13" s="64" t="str">
        <f>IF(EsteeNew!AJ13-EsteeOld!AJ13=0,"",EsteeNew!AJ13-EsteeOld!AJ13)</f>
        <v/>
      </c>
      <c r="AK13" s="64" t="str">
        <f>IF(EsteeNew!AK13-EsteeOld!AK13=0,"",EsteeNew!AK13-EsteeOld!AK13)</f>
        <v/>
      </c>
      <c r="AL13" s="64" t="str">
        <f>IF(EsteeNew!AL13-EsteeOld!AL13=0,"",EsteeNew!AL13-EsteeOld!AL13)</f>
        <v/>
      </c>
      <c r="AM13" s="64" t="str">
        <f>IF(EsteeNew!AM13-EsteeOld!AM13=0,"",EsteeNew!AM13-EsteeOld!AM13)</f>
        <v/>
      </c>
      <c r="AN13" s="64" t="str">
        <f>IF(EsteeNew!AN13-EsteeOld!AN13=0,"",EsteeNew!AN13-EsteeOld!AN13)</f>
        <v/>
      </c>
      <c r="AO13" s="64" t="str">
        <f>IF(EsteeNew!AO13-EsteeOld!AO13=0,"",EsteeNew!AO13-EsteeOld!AO13)</f>
        <v/>
      </c>
      <c r="AP13" s="64" t="str">
        <f>IF(EsteeNew!AP13-EsteeOld!AP13=0,"",EsteeNew!AP13-EsteeOld!AP13)</f>
        <v/>
      </c>
      <c r="AQ13" s="64" t="str">
        <f>IF(EsteeNew!AQ13-EsteeOld!AQ13=0,"",EsteeNew!AQ13-EsteeOld!AQ13)</f>
        <v/>
      </c>
      <c r="AR13" s="64" t="str">
        <f>IF(EsteeNew!AR13-EsteeOld!AR13=0,"",EsteeNew!AR13-EsteeOld!AR13)</f>
        <v/>
      </c>
      <c r="AS13" s="64" t="str">
        <f>IF(EsteeNew!AS13-EsteeOld!AS13=0,"",EsteeNew!AS13-EsteeOld!AS13)</f>
        <v/>
      </c>
      <c r="AT13" s="64" t="str">
        <f>IF(EsteeNew!AT13-EsteeOld!AT13=0,"",EsteeNew!AT13-EsteeOld!AT13)</f>
        <v/>
      </c>
      <c r="AU13" s="64" t="str">
        <f>IF(EsteeNew!AU13-EsteeOld!AU13=0,"",EsteeNew!AU13-EsteeOld!AU13)</f>
        <v/>
      </c>
      <c r="AV13" s="64" t="str">
        <f>IF(EsteeNew!AV13-EsteeOld!AV13=0,"",EsteeNew!AV13-EsteeOld!AV13)</f>
        <v/>
      </c>
      <c r="AW13" s="64" t="str">
        <f>IF(EsteeNew!AW13-EsteeOld!AW13=0,"",EsteeNew!AW13-EsteeOld!AW13)</f>
        <v/>
      </c>
      <c r="AX13" s="64" t="str">
        <f>IF(EsteeNew!AX13-EsteeOld!AX13=0,"",EsteeNew!AX13-EsteeOld!AX13)</f>
        <v/>
      </c>
      <c r="AY13" s="64" t="str">
        <f>IF(EsteeNew!AY13-EsteeOld!AY13=0,"",EsteeNew!AY13-EsteeOld!AY13)</f>
        <v/>
      </c>
      <c r="AZ13" s="64" t="str">
        <f>IF(EsteeNew!AZ13-EsteeOld!AZ13=0,"",EsteeNew!AZ13-EsteeOld!AZ13)</f>
        <v/>
      </c>
      <c r="BA13" s="64" t="str">
        <f>IF(EsteeNew!BA13-EsteeOld!BA13=0,"",EsteeNew!BA13-EsteeOld!BA13)</f>
        <v/>
      </c>
      <c r="BB13" s="64" t="str">
        <f>IF(EsteeNew!BB13-EsteeOld!BB13=0,"",EsteeNew!BB13-EsteeOld!BB13)</f>
        <v/>
      </c>
      <c r="BC13" s="64" t="str">
        <f>IF(EsteeNew!BC13-EsteeOld!BC13=0,"",EsteeNew!BC13-EsteeOld!BC13)</f>
        <v/>
      </c>
      <c r="BD13" s="64" t="str">
        <f>IF(EsteeNew!BD13-EsteeOld!BD13=0,"",EsteeNew!BD13-EsteeOld!BD13)</f>
        <v/>
      </c>
    </row>
    <row r="14" spans="3:56" x14ac:dyDescent="0.25">
      <c r="C14" s="48"/>
      <c r="D14" s="57" t="str">
        <f>IF(D22="","",D22)</f>
        <v>Pueblo</v>
      </c>
      <c r="E14" s="64" t="str">
        <f>IF(EsteeNew!E14-EsteeOld!E14=0,"",EsteeNew!E14-EsteeOld!E14)</f>
        <v/>
      </c>
      <c r="F14" s="64" t="str">
        <f>IF(EsteeNew!F14-EsteeOld!F14=0,"",EsteeNew!F14-EsteeOld!F14)</f>
        <v/>
      </c>
      <c r="G14" s="64" t="str">
        <f>IF(EsteeNew!G14-EsteeOld!G14=0,"",EsteeNew!G14-EsteeOld!G14)</f>
        <v/>
      </c>
      <c r="H14" s="64" t="str">
        <f>IF(EsteeNew!H14-EsteeOld!H14=0,"",EsteeNew!H14-EsteeOld!H14)</f>
        <v/>
      </c>
      <c r="I14" s="64" t="str">
        <f>IF(EsteeNew!I14-EsteeOld!I14=0,"",EsteeNew!I14-EsteeOld!I14)</f>
        <v/>
      </c>
      <c r="J14" s="64" t="str">
        <f>IF(EsteeNew!J14-EsteeOld!J14=0,"",EsteeNew!J14-EsteeOld!J14)</f>
        <v/>
      </c>
      <c r="K14" s="64" t="str">
        <f>IF(EsteeNew!K14-EsteeOld!K14=0,"",EsteeNew!K14-EsteeOld!K14)</f>
        <v/>
      </c>
      <c r="L14" s="64" t="str">
        <f>IF(EsteeNew!L14-EsteeOld!L14=0,"",EsteeNew!L14-EsteeOld!L14)</f>
        <v/>
      </c>
      <c r="M14" s="64" t="str">
        <f>IF(EsteeNew!M14-EsteeOld!M14=0,"",EsteeNew!M14-EsteeOld!M14)</f>
        <v/>
      </c>
      <c r="N14" s="64" t="str">
        <f>IF(EsteeNew!N14-EsteeOld!N14=0,"",EsteeNew!N14-EsteeOld!N14)</f>
        <v/>
      </c>
      <c r="O14" s="64" t="str">
        <f>IF(EsteeNew!O14-EsteeOld!O14=0,"",EsteeNew!O14-EsteeOld!O14)</f>
        <v/>
      </c>
      <c r="P14" s="64" t="str">
        <f>IF(EsteeNew!P14-EsteeOld!P14=0,"",EsteeNew!P14-EsteeOld!P14)</f>
        <v/>
      </c>
      <c r="Q14" s="64" t="str">
        <f>IF(EsteeNew!Q14-EsteeOld!Q14=0,"",EsteeNew!Q14-EsteeOld!Q14)</f>
        <v/>
      </c>
      <c r="R14" s="64" t="str">
        <f>IF(EsteeNew!R14-EsteeOld!R14=0,"",EsteeNew!R14-EsteeOld!R14)</f>
        <v/>
      </c>
      <c r="S14" s="64" t="str">
        <f>IF(EsteeNew!S14-EsteeOld!S14=0,"",EsteeNew!S14-EsteeOld!S14)</f>
        <v/>
      </c>
      <c r="T14" s="64" t="str">
        <f>IF(EsteeNew!T14-EsteeOld!T14=0,"",EsteeNew!T14-EsteeOld!T14)</f>
        <v/>
      </c>
      <c r="U14" s="64" t="str">
        <f>IF(EsteeNew!U14-EsteeOld!U14=0,"",EsteeNew!U14-EsteeOld!U14)</f>
        <v/>
      </c>
      <c r="V14" s="64" t="str">
        <f>IF(EsteeNew!V14-EsteeOld!V14=0,"",EsteeNew!V14-EsteeOld!V14)</f>
        <v/>
      </c>
      <c r="W14" s="64" t="str">
        <f>IF(EsteeNew!W14-EsteeOld!W14=0,"",EsteeNew!W14-EsteeOld!W14)</f>
        <v/>
      </c>
      <c r="X14" s="64" t="str">
        <f>IF(EsteeNew!X14-EsteeOld!X14=0,"",EsteeNew!X14-EsteeOld!X14)</f>
        <v/>
      </c>
      <c r="Y14" s="64" t="str">
        <f>IF(EsteeNew!Y14-EsteeOld!Y14=0,"",EsteeNew!Y14-EsteeOld!Y14)</f>
        <v/>
      </c>
      <c r="Z14" s="64" t="str">
        <f>IF(EsteeNew!Z14-EsteeOld!Z14=0,"",EsteeNew!Z14-EsteeOld!Z14)</f>
        <v/>
      </c>
      <c r="AA14" s="64" t="str">
        <f>IF(EsteeNew!AA14-EsteeOld!AA14=0,"",EsteeNew!AA14-EsteeOld!AA14)</f>
        <v/>
      </c>
      <c r="AB14" s="64" t="str">
        <f>IF(EsteeNew!AB14-EsteeOld!AB14=0,"",EsteeNew!AB14-EsteeOld!AB14)</f>
        <v/>
      </c>
      <c r="AC14" s="64" t="str">
        <f>IF(EsteeNew!AC14-EsteeOld!AC14=0,"",EsteeNew!AC14-EsteeOld!AC14)</f>
        <v/>
      </c>
      <c r="AD14" s="64" t="str">
        <f>IF(EsteeNew!AD14-EsteeOld!AD14=0,"",EsteeNew!AD14-EsteeOld!AD14)</f>
        <v/>
      </c>
      <c r="AE14" s="64" t="str">
        <f>IF(EsteeNew!AE14-EsteeOld!AE14=0,"",EsteeNew!AE14-EsteeOld!AE14)</f>
        <v/>
      </c>
      <c r="AF14" s="64" t="str">
        <f>IF(EsteeNew!AF14-EsteeOld!AF14=0,"",EsteeNew!AF14-EsteeOld!AF14)</f>
        <v/>
      </c>
      <c r="AG14" s="64" t="str">
        <f>IF(EsteeNew!AG14-EsteeOld!AG14=0,"",EsteeNew!AG14-EsteeOld!AG14)</f>
        <v/>
      </c>
      <c r="AH14" s="64" t="str">
        <f>IF(EsteeNew!AH14-EsteeOld!AH14=0,"",EsteeNew!AH14-EsteeOld!AH14)</f>
        <v/>
      </c>
      <c r="AI14" s="64" t="str">
        <f>IF(EsteeNew!AI14-EsteeOld!AI14=0,"",EsteeNew!AI14-EsteeOld!AI14)</f>
        <v/>
      </c>
      <c r="AJ14" s="64" t="str">
        <f>IF(EsteeNew!AJ14-EsteeOld!AJ14=0,"",EsteeNew!AJ14-EsteeOld!AJ14)</f>
        <v/>
      </c>
      <c r="AK14" s="64" t="str">
        <f>IF(EsteeNew!AK14-EsteeOld!AK14=0,"",EsteeNew!AK14-EsteeOld!AK14)</f>
        <v/>
      </c>
      <c r="AL14" s="64" t="str">
        <f>IF(EsteeNew!AL14-EsteeOld!AL14=0,"",EsteeNew!AL14-EsteeOld!AL14)</f>
        <v/>
      </c>
      <c r="AM14" s="64" t="str">
        <f>IF(EsteeNew!AM14-EsteeOld!AM14=0,"",EsteeNew!AM14-EsteeOld!AM14)</f>
        <v/>
      </c>
      <c r="AN14" s="64" t="str">
        <f>IF(EsteeNew!AN14-EsteeOld!AN14=0,"",EsteeNew!AN14-EsteeOld!AN14)</f>
        <v/>
      </c>
      <c r="AO14" s="64" t="str">
        <f>IF(EsteeNew!AO14-EsteeOld!AO14=0,"",EsteeNew!AO14-EsteeOld!AO14)</f>
        <v/>
      </c>
      <c r="AP14" s="64" t="str">
        <f>IF(EsteeNew!AP14-EsteeOld!AP14=0,"",EsteeNew!AP14-EsteeOld!AP14)</f>
        <v/>
      </c>
      <c r="AQ14" s="64" t="str">
        <f>IF(EsteeNew!AQ14-EsteeOld!AQ14=0,"",EsteeNew!AQ14-EsteeOld!AQ14)</f>
        <v/>
      </c>
      <c r="AR14" s="64" t="str">
        <f>IF(EsteeNew!AR14-EsteeOld!AR14=0,"",EsteeNew!AR14-EsteeOld!AR14)</f>
        <v/>
      </c>
      <c r="AS14" s="64" t="str">
        <f>IF(EsteeNew!AS14-EsteeOld!AS14=0,"",EsteeNew!AS14-EsteeOld!AS14)</f>
        <v/>
      </c>
      <c r="AT14" s="64" t="str">
        <f>IF(EsteeNew!AT14-EsteeOld!AT14=0,"",EsteeNew!AT14-EsteeOld!AT14)</f>
        <v/>
      </c>
      <c r="AU14" s="64" t="str">
        <f>IF(EsteeNew!AU14-EsteeOld!AU14=0,"",EsteeNew!AU14-EsteeOld!AU14)</f>
        <v/>
      </c>
      <c r="AV14" s="64" t="str">
        <f>IF(EsteeNew!AV14-EsteeOld!AV14=0,"",EsteeNew!AV14-EsteeOld!AV14)</f>
        <v/>
      </c>
      <c r="AW14" s="64" t="str">
        <f>IF(EsteeNew!AW14-EsteeOld!AW14=0,"",EsteeNew!AW14-EsteeOld!AW14)</f>
        <v/>
      </c>
      <c r="AX14" s="64" t="str">
        <f>IF(EsteeNew!AX14-EsteeOld!AX14=0,"",EsteeNew!AX14-EsteeOld!AX14)</f>
        <v/>
      </c>
      <c r="AY14" s="64" t="str">
        <f>IF(EsteeNew!AY14-EsteeOld!AY14=0,"",EsteeNew!AY14-EsteeOld!AY14)</f>
        <v/>
      </c>
      <c r="AZ14" s="64" t="str">
        <f>IF(EsteeNew!AZ14-EsteeOld!AZ14=0,"",EsteeNew!AZ14-EsteeOld!AZ14)</f>
        <v/>
      </c>
      <c r="BA14" s="64" t="str">
        <f>IF(EsteeNew!BA14-EsteeOld!BA14=0,"",EsteeNew!BA14-EsteeOld!BA14)</f>
        <v/>
      </c>
      <c r="BB14" s="64" t="str">
        <f>IF(EsteeNew!BB14-EsteeOld!BB14=0,"",EsteeNew!BB14-EsteeOld!BB14)</f>
        <v/>
      </c>
      <c r="BC14" s="64" t="str">
        <f>IF(EsteeNew!BC14-EsteeOld!BC14=0,"",EsteeNew!BC14-EsteeOld!BC14)</f>
        <v/>
      </c>
      <c r="BD14" s="64" t="str">
        <f>IF(EsteeNew!BD14-EsteeOld!BD14=0,"",EsteeNew!BD14-EsteeOld!BD14)</f>
        <v/>
      </c>
    </row>
    <row r="15" spans="3:56" x14ac:dyDescent="0.25">
      <c r="C15" s="48"/>
      <c r="D15" s="57" t="str">
        <f>IF(D23="","",D23)</f>
        <v>Iloilo</v>
      </c>
      <c r="E15" s="64" t="str">
        <f>IF(EsteeNew!E15-EsteeOld!E15=0,"",EsteeNew!E15-EsteeOld!E15)</f>
        <v/>
      </c>
      <c r="F15" s="64" t="str">
        <f>IF(EsteeNew!F15-EsteeOld!F15=0,"",EsteeNew!F15-EsteeOld!F15)</f>
        <v/>
      </c>
      <c r="G15" s="64" t="str">
        <f>IF(EsteeNew!G15-EsteeOld!G15=0,"",EsteeNew!G15-EsteeOld!G15)</f>
        <v/>
      </c>
      <c r="H15" s="64" t="str">
        <f>IF(EsteeNew!H15-EsteeOld!H15=0,"",EsteeNew!H15-EsteeOld!H15)</f>
        <v/>
      </c>
      <c r="I15" s="64" t="str">
        <f>IF(EsteeNew!I15-EsteeOld!I15=0,"",EsteeNew!I15-EsteeOld!I15)</f>
        <v/>
      </c>
      <c r="J15" s="64" t="str">
        <f>IF(EsteeNew!J15-EsteeOld!J15=0,"",EsteeNew!J15-EsteeOld!J15)</f>
        <v/>
      </c>
      <c r="K15" s="64" t="str">
        <f>IF(EsteeNew!K15-EsteeOld!K15=0,"",EsteeNew!K15-EsteeOld!K15)</f>
        <v/>
      </c>
      <c r="L15" s="64" t="str">
        <f>IF(EsteeNew!L15-EsteeOld!L15=0,"",EsteeNew!L15-EsteeOld!L15)</f>
        <v/>
      </c>
      <c r="M15" s="64" t="str">
        <f>IF(EsteeNew!M15-EsteeOld!M15=0,"",EsteeNew!M15-EsteeOld!M15)</f>
        <v/>
      </c>
      <c r="N15" s="64" t="str">
        <f>IF(EsteeNew!N15-EsteeOld!N15=0,"",EsteeNew!N15-EsteeOld!N15)</f>
        <v/>
      </c>
      <c r="O15" s="64" t="str">
        <f>IF(EsteeNew!O15-EsteeOld!O15=0,"",EsteeNew!O15-EsteeOld!O15)</f>
        <v/>
      </c>
      <c r="P15" s="64" t="str">
        <f>IF(EsteeNew!P15-EsteeOld!P15=0,"",EsteeNew!P15-EsteeOld!P15)</f>
        <v/>
      </c>
      <c r="Q15" s="64" t="str">
        <f>IF(EsteeNew!Q15-EsteeOld!Q15=0,"",EsteeNew!Q15-EsteeOld!Q15)</f>
        <v/>
      </c>
      <c r="R15" s="64" t="str">
        <f>IF(EsteeNew!R15-EsteeOld!R15=0,"",EsteeNew!R15-EsteeOld!R15)</f>
        <v/>
      </c>
      <c r="S15" s="64" t="str">
        <f>IF(EsteeNew!S15-EsteeOld!S15=0,"",EsteeNew!S15-EsteeOld!S15)</f>
        <v/>
      </c>
      <c r="T15" s="64" t="str">
        <f>IF(EsteeNew!T15-EsteeOld!T15=0,"",EsteeNew!T15-EsteeOld!T15)</f>
        <v/>
      </c>
      <c r="U15" s="64" t="str">
        <f>IF(EsteeNew!U15-EsteeOld!U15=0,"",EsteeNew!U15-EsteeOld!U15)</f>
        <v/>
      </c>
      <c r="V15" s="64" t="str">
        <f>IF(EsteeNew!V15-EsteeOld!V15=0,"",EsteeNew!V15-EsteeOld!V15)</f>
        <v/>
      </c>
      <c r="W15" s="64" t="str">
        <f>IF(EsteeNew!W15-EsteeOld!W15=0,"",EsteeNew!W15-EsteeOld!W15)</f>
        <v/>
      </c>
      <c r="X15" s="64" t="str">
        <f>IF(EsteeNew!X15-EsteeOld!X15=0,"",EsteeNew!X15-EsteeOld!X15)</f>
        <v/>
      </c>
      <c r="Y15" s="64" t="str">
        <f>IF(EsteeNew!Y15-EsteeOld!Y15=0,"",EsteeNew!Y15-EsteeOld!Y15)</f>
        <v/>
      </c>
      <c r="Z15" s="64" t="str">
        <f>IF(EsteeNew!Z15-EsteeOld!Z15=0,"",EsteeNew!Z15-EsteeOld!Z15)</f>
        <v/>
      </c>
      <c r="AA15" s="64" t="str">
        <f>IF(EsteeNew!AA15-EsteeOld!AA15=0,"",EsteeNew!AA15-EsteeOld!AA15)</f>
        <v/>
      </c>
      <c r="AB15" s="64" t="str">
        <f>IF(EsteeNew!AB15-EsteeOld!AB15=0,"",EsteeNew!AB15-EsteeOld!AB15)</f>
        <v/>
      </c>
      <c r="AC15" s="64" t="str">
        <f>IF(EsteeNew!AC15-EsteeOld!AC15=0,"",EsteeNew!AC15-EsteeOld!AC15)</f>
        <v/>
      </c>
      <c r="AD15" s="64" t="str">
        <f>IF(EsteeNew!AD15-EsteeOld!AD15=0,"",EsteeNew!AD15-EsteeOld!AD15)</f>
        <v/>
      </c>
      <c r="AE15" s="64" t="str">
        <f>IF(EsteeNew!AE15-EsteeOld!AE15=0,"",EsteeNew!AE15-EsteeOld!AE15)</f>
        <v/>
      </c>
      <c r="AF15" s="64" t="str">
        <f>IF(EsteeNew!AF15-EsteeOld!AF15=0,"",EsteeNew!AF15-EsteeOld!AF15)</f>
        <v/>
      </c>
      <c r="AG15" s="64" t="str">
        <f>IF(EsteeNew!AG15-EsteeOld!AG15=0,"",EsteeNew!AG15-EsteeOld!AG15)</f>
        <v/>
      </c>
      <c r="AH15" s="64" t="str">
        <f>IF(EsteeNew!AH15-EsteeOld!AH15=0,"",EsteeNew!AH15-EsteeOld!AH15)</f>
        <v/>
      </c>
      <c r="AI15" s="64" t="str">
        <f>IF(EsteeNew!AI15-EsteeOld!AI15=0,"",EsteeNew!AI15-EsteeOld!AI15)</f>
        <v/>
      </c>
      <c r="AJ15" s="64" t="str">
        <f>IF(EsteeNew!AJ15-EsteeOld!AJ15=0,"",EsteeNew!AJ15-EsteeOld!AJ15)</f>
        <v/>
      </c>
      <c r="AK15" s="64" t="str">
        <f>IF(EsteeNew!AK15-EsteeOld!AK15=0,"",EsteeNew!AK15-EsteeOld!AK15)</f>
        <v/>
      </c>
      <c r="AL15" s="64" t="str">
        <f>IF(EsteeNew!AL15-EsteeOld!AL15=0,"",EsteeNew!AL15-EsteeOld!AL15)</f>
        <v/>
      </c>
      <c r="AM15" s="64" t="str">
        <f>IF(EsteeNew!AM15-EsteeOld!AM15=0,"",EsteeNew!AM15-EsteeOld!AM15)</f>
        <v/>
      </c>
      <c r="AN15" s="64" t="str">
        <f>IF(EsteeNew!AN15-EsteeOld!AN15=0,"",EsteeNew!AN15-EsteeOld!AN15)</f>
        <v/>
      </c>
      <c r="AO15" s="64" t="str">
        <f>IF(EsteeNew!AO15-EsteeOld!AO15=0,"",EsteeNew!AO15-EsteeOld!AO15)</f>
        <v/>
      </c>
      <c r="AP15" s="64" t="str">
        <f>IF(EsteeNew!AP15-EsteeOld!AP15=0,"",EsteeNew!AP15-EsteeOld!AP15)</f>
        <v/>
      </c>
      <c r="AQ15" s="64" t="str">
        <f>IF(EsteeNew!AQ15-EsteeOld!AQ15=0,"",EsteeNew!AQ15-EsteeOld!AQ15)</f>
        <v/>
      </c>
      <c r="AR15" s="64" t="str">
        <f>IF(EsteeNew!AR15-EsteeOld!AR15=0,"",EsteeNew!AR15-EsteeOld!AR15)</f>
        <v/>
      </c>
      <c r="AS15" s="64" t="str">
        <f>IF(EsteeNew!AS15-EsteeOld!AS15=0,"",EsteeNew!AS15-EsteeOld!AS15)</f>
        <v/>
      </c>
      <c r="AT15" s="64" t="str">
        <f>IF(EsteeNew!AT15-EsteeOld!AT15=0,"",EsteeNew!AT15-EsteeOld!AT15)</f>
        <v/>
      </c>
      <c r="AU15" s="64" t="str">
        <f>IF(EsteeNew!AU15-EsteeOld!AU15=0,"",EsteeNew!AU15-EsteeOld!AU15)</f>
        <v/>
      </c>
      <c r="AV15" s="64" t="str">
        <f>IF(EsteeNew!AV15-EsteeOld!AV15=0,"",EsteeNew!AV15-EsteeOld!AV15)</f>
        <v/>
      </c>
      <c r="AW15" s="64" t="str">
        <f>IF(EsteeNew!AW15-EsteeOld!AW15=0,"",EsteeNew!AW15-EsteeOld!AW15)</f>
        <v/>
      </c>
      <c r="AX15" s="64" t="str">
        <f>IF(EsteeNew!AX15-EsteeOld!AX15=0,"",EsteeNew!AX15-EsteeOld!AX15)</f>
        <v/>
      </c>
      <c r="AY15" s="64" t="str">
        <f>IF(EsteeNew!AY15-EsteeOld!AY15=0,"",EsteeNew!AY15-EsteeOld!AY15)</f>
        <v/>
      </c>
      <c r="AZ15" s="64" t="str">
        <f>IF(EsteeNew!AZ15-EsteeOld!AZ15=0,"",EsteeNew!AZ15-EsteeOld!AZ15)</f>
        <v/>
      </c>
      <c r="BA15" s="64" t="str">
        <f>IF(EsteeNew!BA15-EsteeOld!BA15=0,"",EsteeNew!BA15-EsteeOld!BA15)</f>
        <v/>
      </c>
      <c r="BB15" s="64" t="str">
        <f>IF(EsteeNew!BB15-EsteeOld!BB15=0,"",EsteeNew!BB15-EsteeOld!BB15)</f>
        <v/>
      </c>
      <c r="BC15" s="64" t="str">
        <f>IF(EsteeNew!BC15-EsteeOld!BC15=0,"",EsteeNew!BC15-EsteeOld!BC15)</f>
        <v/>
      </c>
      <c r="BD15" s="64" t="str">
        <f>IF(EsteeNew!BD15-EsteeOld!BD15=0,"",EsteeNew!BD15-EsteeOld!BD15)</f>
        <v/>
      </c>
    </row>
    <row r="16" spans="3:56" x14ac:dyDescent="0.25">
      <c r="C16" s="48"/>
      <c r="D16" s="57" t="str">
        <f>IF(D24="","",D24)</f>
        <v>Belize</v>
      </c>
      <c r="E16" s="64" t="str">
        <f>IF(EsteeNew!E16-EsteeOld!E16=0,"",EsteeNew!E16-EsteeOld!E16)</f>
        <v/>
      </c>
      <c r="F16" s="64" t="str">
        <f>IF(EsteeNew!F16-EsteeOld!F16=0,"",EsteeNew!F16-EsteeOld!F16)</f>
        <v/>
      </c>
      <c r="G16" s="64" t="str">
        <f>IF(EsteeNew!G16-EsteeOld!G16=0,"",EsteeNew!G16-EsteeOld!G16)</f>
        <v/>
      </c>
      <c r="H16" s="64" t="str">
        <f>IF(EsteeNew!H16-EsteeOld!H16=0,"",EsteeNew!H16-EsteeOld!H16)</f>
        <v/>
      </c>
      <c r="I16" s="64" t="str">
        <f>IF(EsteeNew!I16-EsteeOld!I16=0,"",EsteeNew!I16-EsteeOld!I16)</f>
        <v/>
      </c>
      <c r="J16" s="64" t="str">
        <f>IF(EsteeNew!J16-EsteeOld!J16=0,"",EsteeNew!J16-EsteeOld!J16)</f>
        <v/>
      </c>
      <c r="K16" s="64" t="str">
        <f>IF(EsteeNew!K16-EsteeOld!K16=0,"",EsteeNew!K16-EsteeOld!K16)</f>
        <v/>
      </c>
      <c r="L16" s="64" t="str">
        <f>IF(EsteeNew!L16-EsteeOld!L16=0,"",EsteeNew!L16-EsteeOld!L16)</f>
        <v/>
      </c>
      <c r="M16" s="64" t="str">
        <f>IF(EsteeNew!M16-EsteeOld!M16=0,"",EsteeNew!M16-EsteeOld!M16)</f>
        <v/>
      </c>
      <c r="N16" s="64" t="str">
        <f>IF(EsteeNew!N16-EsteeOld!N16=0,"",EsteeNew!N16-EsteeOld!N16)</f>
        <v/>
      </c>
      <c r="O16" s="64" t="str">
        <f>IF(EsteeNew!O16-EsteeOld!O16=0,"",EsteeNew!O16-EsteeOld!O16)</f>
        <v/>
      </c>
      <c r="P16" s="64" t="str">
        <f>IF(EsteeNew!P16-EsteeOld!P16=0,"",EsteeNew!P16-EsteeOld!P16)</f>
        <v/>
      </c>
      <c r="Q16" s="64" t="str">
        <f>IF(EsteeNew!Q16-EsteeOld!Q16=0,"",EsteeNew!Q16-EsteeOld!Q16)</f>
        <v/>
      </c>
      <c r="R16" s="64" t="str">
        <f>IF(EsteeNew!R16-EsteeOld!R16=0,"",EsteeNew!R16-EsteeOld!R16)</f>
        <v/>
      </c>
      <c r="S16" s="64" t="str">
        <f>IF(EsteeNew!S16-EsteeOld!S16=0,"",EsteeNew!S16-EsteeOld!S16)</f>
        <v/>
      </c>
      <c r="T16" s="64" t="str">
        <f>IF(EsteeNew!T16-EsteeOld!T16=0,"",EsteeNew!T16-EsteeOld!T16)</f>
        <v/>
      </c>
      <c r="U16" s="64" t="str">
        <f>IF(EsteeNew!U16-EsteeOld!U16=0,"",EsteeNew!U16-EsteeOld!U16)</f>
        <v/>
      </c>
      <c r="V16" s="64" t="str">
        <f>IF(EsteeNew!V16-EsteeOld!V16=0,"",EsteeNew!V16-EsteeOld!V16)</f>
        <v/>
      </c>
      <c r="W16" s="64" t="str">
        <f>IF(EsteeNew!W16-EsteeOld!W16=0,"",EsteeNew!W16-EsteeOld!W16)</f>
        <v/>
      </c>
      <c r="X16" s="64" t="str">
        <f>IF(EsteeNew!X16-EsteeOld!X16=0,"",EsteeNew!X16-EsteeOld!X16)</f>
        <v/>
      </c>
      <c r="Y16" s="64" t="str">
        <f>IF(EsteeNew!Y16-EsteeOld!Y16=0,"",EsteeNew!Y16-EsteeOld!Y16)</f>
        <v/>
      </c>
      <c r="Z16" s="64" t="str">
        <f>IF(EsteeNew!Z16-EsteeOld!Z16=0,"",EsteeNew!Z16-EsteeOld!Z16)</f>
        <v/>
      </c>
      <c r="AA16" s="64" t="str">
        <f>IF(EsteeNew!AA16-EsteeOld!AA16=0,"",EsteeNew!AA16-EsteeOld!AA16)</f>
        <v/>
      </c>
      <c r="AB16" s="64" t="str">
        <f>IF(EsteeNew!AB16-EsteeOld!AB16=0,"",EsteeNew!AB16-EsteeOld!AB16)</f>
        <v/>
      </c>
      <c r="AC16" s="64" t="str">
        <f>IF(EsteeNew!AC16-EsteeOld!AC16=0,"",EsteeNew!AC16-EsteeOld!AC16)</f>
        <v/>
      </c>
      <c r="AD16" s="64" t="str">
        <f>IF(EsteeNew!AD16-EsteeOld!AD16=0,"",EsteeNew!AD16-EsteeOld!AD16)</f>
        <v/>
      </c>
      <c r="AE16" s="64" t="str">
        <f>IF(EsteeNew!AE16-EsteeOld!AE16=0,"",EsteeNew!AE16-EsteeOld!AE16)</f>
        <v/>
      </c>
      <c r="AF16" s="64" t="str">
        <f>IF(EsteeNew!AF16-EsteeOld!AF16=0,"",EsteeNew!AF16-EsteeOld!AF16)</f>
        <v/>
      </c>
      <c r="AG16" s="64" t="str">
        <f>IF(EsteeNew!AG16-EsteeOld!AG16=0,"",EsteeNew!AG16-EsteeOld!AG16)</f>
        <v/>
      </c>
      <c r="AH16" s="64" t="str">
        <f>IF(EsteeNew!AH16-EsteeOld!AH16=0,"",EsteeNew!AH16-EsteeOld!AH16)</f>
        <v/>
      </c>
      <c r="AI16" s="64" t="str">
        <f>IF(EsteeNew!AI16-EsteeOld!AI16=0,"",EsteeNew!AI16-EsteeOld!AI16)</f>
        <v/>
      </c>
      <c r="AJ16" s="64" t="str">
        <f>IF(EsteeNew!AJ16-EsteeOld!AJ16=0,"",EsteeNew!AJ16-EsteeOld!AJ16)</f>
        <v/>
      </c>
      <c r="AK16" s="64" t="str">
        <f>IF(EsteeNew!AK16-EsteeOld!AK16=0,"",EsteeNew!AK16-EsteeOld!AK16)</f>
        <v/>
      </c>
      <c r="AL16" s="64" t="str">
        <f>IF(EsteeNew!AL16-EsteeOld!AL16=0,"",EsteeNew!AL16-EsteeOld!AL16)</f>
        <v/>
      </c>
      <c r="AM16" s="64" t="str">
        <f>IF(EsteeNew!AM16-EsteeOld!AM16=0,"",EsteeNew!AM16-EsteeOld!AM16)</f>
        <v/>
      </c>
      <c r="AN16" s="64" t="str">
        <f>IF(EsteeNew!AN16-EsteeOld!AN16=0,"",EsteeNew!AN16-EsteeOld!AN16)</f>
        <v/>
      </c>
      <c r="AO16" s="64" t="str">
        <f>IF(EsteeNew!AO16-EsteeOld!AO16=0,"",EsteeNew!AO16-EsteeOld!AO16)</f>
        <v/>
      </c>
      <c r="AP16" s="64" t="str">
        <f>IF(EsteeNew!AP16-EsteeOld!AP16=0,"",EsteeNew!AP16-EsteeOld!AP16)</f>
        <v/>
      </c>
      <c r="AQ16" s="64" t="str">
        <f>IF(EsteeNew!AQ16-EsteeOld!AQ16=0,"",EsteeNew!AQ16-EsteeOld!AQ16)</f>
        <v/>
      </c>
      <c r="AR16" s="64" t="str">
        <f>IF(EsteeNew!AR16-EsteeOld!AR16=0,"",EsteeNew!AR16-EsteeOld!AR16)</f>
        <v/>
      </c>
      <c r="AS16" s="64" t="str">
        <f>IF(EsteeNew!AS16-EsteeOld!AS16=0,"",EsteeNew!AS16-EsteeOld!AS16)</f>
        <v/>
      </c>
      <c r="AT16" s="64" t="str">
        <f>IF(EsteeNew!AT16-EsteeOld!AT16=0,"",EsteeNew!AT16-EsteeOld!AT16)</f>
        <v/>
      </c>
      <c r="AU16" s="64" t="str">
        <f>IF(EsteeNew!AU16-EsteeOld!AU16=0,"",EsteeNew!AU16-EsteeOld!AU16)</f>
        <v/>
      </c>
      <c r="AV16" s="64" t="str">
        <f>IF(EsteeNew!AV16-EsteeOld!AV16=0,"",EsteeNew!AV16-EsteeOld!AV16)</f>
        <v/>
      </c>
      <c r="AW16" s="64" t="str">
        <f>IF(EsteeNew!AW16-EsteeOld!AW16=0,"",EsteeNew!AW16-EsteeOld!AW16)</f>
        <v/>
      </c>
      <c r="AX16" s="64" t="str">
        <f>IF(EsteeNew!AX16-EsteeOld!AX16=0,"",EsteeNew!AX16-EsteeOld!AX16)</f>
        <v/>
      </c>
      <c r="AY16" s="64" t="str">
        <f>IF(EsteeNew!AY16-EsteeOld!AY16=0,"",EsteeNew!AY16-EsteeOld!AY16)</f>
        <v/>
      </c>
      <c r="AZ16" s="64" t="str">
        <f>IF(EsteeNew!AZ16-EsteeOld!AZ16=0,"",EsteeNew!AZ16-EsteeOld!AZ16)</f>
        <v/>
      </c>
      <c r="BA16" s="64" t="str">
        <f>IF(EsteeNew!BA16-EsteeOld!BA16=0,"",EsteeNew!BA16-EsteeOld!BA16)</f>
        <v/>
      </c>
      <c r="BB16" s="64" t="str">
        <f>IF(EsteeNew!BB16-EsteeOld!BB16=0,"",EsteeNew!BB16-EsteeOld!BB16)</f>
        <v/>
      </c>
      <c r="BC16" s="64" t="str">
        <f>IF(EsteeNew!BC16-EsteeOld!BC16=0,"",EsteeNew!BC16-EsteeOld!BC16)</f>
        <v/>
      </c>
      <c r="BD16" s="64" t="str">
        <f>IF(EsteeNew!BD16-EsteeOld!BD16=0,"",EsteeNew!BD16-EsteeOld!BD16)</f>
        <v/>
      </c>
    </row>
    <row r="17" spans="3:56" x14ac:dyDescent="0.25">
      <c r="C17" s="48"/>
      <c r="E17" s="45"/>
      <c r="F17" s="45"/>
      <c r="G17" s="45"/>
      <c r="H17" s="45"/>
      <c r="I17" s="45"/>
      <c r="J17" s="45"/>
      <c r="K17" s="45"/>
      <c r="L17" s="45"/>
      <c r="M17" s="45"/>
    </row>
    <row r="18" spans="3:56" x14ac:dyDescent="0.25">
      <c r="C18" s="48"/>
      <c r="D18" s="49" t="s">
        <v>34</v>
      </c>
      <c r="E18" s="65" t="str">
        <f>IF(EsteeNew!E18-EsteeOld!E18=0,"",EsteeNew!E18-EsteeOld!E18)</f>
        <v/>
      </c>
      <c r="F18" s="65" t="str">
        <f>IF(EsteeNew!F18-EsteeOld!F18=0,"",EsteeNew!F18-EsteeOld!F18)</f>
        <v/>
      </c>
      <c r="G18" s="65" t="str">
        <f>IF(EsteeNew!G18-EsteeOld!G18=0,"",EsteeNew!G18-EsteeOld!G18)</f>
        <v/>
      </c>
      <c r="H18" s="65" t="str">
        <f>IF(EsteeNew!H18-EsteeOld!H18=0,"",EsteeNew!H18-EsteeOld!H18)</f>
        <v/>
      </c>
      <c r="I18" s="65" t="str">
        <f>IF(EsteeNew!I18-EsteeOld!I18=0,"",EsteeNew!I18-EsteeOld!I18)</f>
        <v/>
      </c>
      <c r="J18" s="65" t="str">
        <f>IF(EsteeNew!J18-EsteeOld!J18=0,"",EsteeNew!J18-EsteeOld!J18)</f>
        <v/>
      </c>
      <c r="K18" s="65" t="str">
        <f>IF(EsteeNew!K18-EsteeOld!K18=0,"",EsteeNew!K18-EsteeOld!K18)</f>
        <v/>
      </c>
      <c r="L18" s="65" t="str">
        <f>IF(EsteeNew!L18-EsteeOld!L18=0,"",EsteeNew!L18-EsteeOld!L18)</f>
        <v/>
      </c>
      <c r="M18" s="65" t="str">
        <f>IF(EsteeNew!M18-EsteeOld!M18=0,"",EsteeNew!M18-EsteeOld!M18)</f>
        <v/>
      </c>
      <c r="N18" s="65" t="str">
        <f>IF(EsteeNew!N18-EsteeOld!N18=0,"",EsteeNew!N18-EsteeOld!N18)</f>
        <v/>
      </c>
      <c r="O18" s="65" t="str">
        <f>IF(EsteeNew!O18-EsteeOld!O18=0,"",EsteeNew!O18-EsteeOld!O18)</f>
        <v/>
      </c>
      <c r="P18" s="65" t="str">
        <f>IF(EsteeNew!P18-EsteeOld!P18=0,"",EsteeNew!P18-EsteeOld!P18)</f>
        <v/>
      </c>
      <c r="Q18" s="65" t="str">
        <f>IF(EsteeNew!Q18-EsteeOld!Q18=0,"",EsteeNew!Q18-EsteeOld!Q18)</f>
        <v/>
      </c>
      <c r="R18" s="65" t="str">
        <f>IF(EsteeNew!R18-EsteeOld!R18=0,"",EsteeNew!R18-EsteeOld!R18)</f>
        <v/>
      </c>
      <c r="S18" s="65" t="str">
        <f>IF(EsteeNew!S18-EsteeOld!S18=0,"",EsteeNew!S18-EsteeOld!S18)</f>
        <v/>
      </c>
      <c r="T18" s="65" t="str">
        <f>IF(EsteeNew!T18-EsteeOld!T18=0,"",EsteeNew!T18-EsteeOld!T18)</f>
        <v/>
      </c>
      <c r="U18" s="65" t="str">
        <f>IF(EsteeNew!U18-EsteeOld!U18=0,"",EsteeNew!U18-EsteeOld!U18)</f>
        <v/>
      </c>
      <c r="V18" s="65" t="str">
        <f>IF(EsteeNew!V18-EsteeOld!V18=0,"",EsteeNew!V18-EsteeOld!V18)</f>
        <v/>
      </c>
      <c r="W18" s="65" t="str">
        <f>IF(EsteeNew!W18-EsteeOld!W18=0,"",EsteeNew!W18-EsteeOld!W18)</f>
        <v/>
      </c>
      <c r="X18" s="65" t="str">
        <f>IF(EsteeNew!X18-EsteeOld!X18=0,"",EsteeNew!X18-EsteeOld!X18)</f>
        <v/>
      </c>
      <c r="Y18" s="65" t="str">
        <f>IF(EsteeNew!Y18-EsteeOld!Y18=0,"",EsteeNew!Y18-EsteeOld!Y18)</f>
        <v/>
      </c>
      <c r="Z18" s="65" t="str">
        <f>IF(EsteeNew!Z18-EsteeOld!Z18=0,"",EsteeNew!Z18-EsteeOld!Z18)</f>
        <v/>
      </c>
      <c r="AA18" s="65" t="str">
        <f>IF(EsteeNew!AA18-EsteeOld!AA18=0,"",EsteeNew!AA18-EsteeOld!AA18)</f>
        <v/>
      </c>
      <c r="AB18" s="65" t="str">
        <f>IF(EsteeNew!AB18-EsteeOld!AB18=0,"",EsteeNew!AB18-EsteeOld!AB18)</f>
        <v/>
      </c>
      <c r="AC18" s="65" t="str">
        <f>IF(EsteeNew!AC18-EsteeOld!AC18=0,"",EsteeNew!AC18-EsteeOld!AC18)</f>
        <v/>
      </c>
      <c r="AD18" s="65" t="str">
        <f>IF(EsteeNew!AD18-EsteeOld!AD18=0,"",EsteeNew!AD18-EsteeOld!AD18)</f>
        <v/>
      </c>
      <c r="AE18" s="65" t="str">
        <f>IF(EsteeNew!AE18-EsteeOld!AE18=0,"",EsteeNew!AE18-EsteeOld!AE18)</f>
        <v/>
      </c>
      <c r="AF18" s="65" t="str">
        <f>IF(EsteeNew!AF18-EsteeOld!AF18=0,"",EsteeNew!AF18-EsteeOld!AF18)</f>
        <v/>
      </c>
      <c r="AG18" s="65" t="str">
        <f>IF(EsteeNew!AG18-EsteeOld!AG18=0,"",EsteeNew!AG18-EsteeOld!AG18)</f>
        <v/>
      </c>
      <c r="AH18" s="65" t="str">
        <f>IF(EsteeNew!AH18-EsteeOld!AH18=0,"",EsteeNew!AH18-EsteeOld!AH18)</f>
        <v/>
      </c>
      <c r="AI18" s="65" t="str">
        <f>IF(EsteeNew!AI18-EsteeOld!AI18=0,"",EsteeNew!AI18-EsteeOld!AI18)</f>
        <v/>
      </c>
      <c r="AJ18" s="65" t="str">
        <f>IF(EsteeNew!AJ18-EsteeOld!AJ18=0,"",EsteeNew!AJ18-EsteeOld!AJ18)</f>
        <v/>
      </c>
      <c r="AK18" s="65" t="str">
        <f>IF(EsteeNew!AK18-EsteeOld!AK18=0,"",EsteeNew!AK18-EsteeOld!AK18)</f>
        <v/>
      </c>
      <c r="AL18" s="65" t="str">
        <f>IF(EsteeNew!AL18-EsteeOld!AL18=0,"",EsteeNew!AL18-EsteeOld!AL18)</f>
        <v/>
      </c>
      <c r="AM18" s="65" t="str">
        <f>IF(EsteeNew!AM18-EsteeOld!AM18=0,"",EsteeNew!AM18-EsteeOld!AM18)</f>
        <v/>
      </c>
      <c r="AN18" s="65" t="str">
        <f>IF(EsteeNew!AN18-EsteeOld!AN18=0,"",EsteeNew!AN18-EsteeOld!AN18)</f>
        <v/>
      </c>
      <c r="AO18" s="65" t="str">
        <f>IF(EsteeNew!AO18-EsteeOld!AO18=0,"",EsteeNew!AO18-EsteeOld!AO18)</f>
        <v/>
      </c>
      <c r="AP18" s="65" t="str">
        <f>IF(EsteeNew!AP18-EsteeOld!AP18=0,"",EsteeNew!AP18-EsteeOld!AP18)</f>
        <v/>
      </c>
      <c r="AQ18" s="65" t="str">
        <f>IF(EsteeNew!AQ18-EsteeOld!AQ18=0,"",EsteeNew!AQ18-EsteeOld!AQ18)</f>
        <v/>
      </c>
      <c r="AR18" s="65" t="str">
        <f>IF(EsteeNew!AR18-EsteeOld!AR18=0,"",EsteeNew!AR18-EsteeOld!AR18)</f>
        <v/>
      </c>
      <c r="AS18" s="65" t="str">
        <f>IF(EsteeNew!AS18-EsteeOld!AS18=0,"",EsteeNew!AS18-EsteeOld!AS18)</f>
        <v/>
      </c>
      <c r="AT18" s="65" t="str">
        <f>IF(EsteeNew!AT18-EsteeOld!AT18=0,"",EsteeNew!AT18-EsteeOld!AT18)</f>
        <v/>
      </c>
      <c r="AU18" s="65" t="str">
        <f>IF(EsteeNew!AU18-EsteeOld!AU18=0,"",EsteeNew!AU18-EsteeOld!AU18)</f>
        <v/>
      </c>
      <c r="AV18" s="65" t="str">
        <f>IF(EsteeNew!AV18-EsteeOld!AV18=0,"",EsteeNew!AV18-EsteeOld!AV18)</f>
        <v/>
      </c>
      <c r="AW18" s="65" t="str">
        <f>IF(EsteeNew!AW18-EsteeOld!AW18=0,"",EsteeNew!AW18-EsteeOld!AW18)</f>
        <v/>
      </c>
      <c r="AX18" s="65" t="str">
        <f>IF(EsteeNew!AX18-EsteeOld!AX18=0,"",EsteeNew!AX18-EsteeOld!AX18)</f>
        <v/>
      </c>
      <c r="AY18" s="65" t="str">
        <f>IF(EsteeNew!AY18-EsteeOld!AY18=0,"",EsteeNew!AY18-EsteeOld!AY18)</f>
        <v/>
      </c>
      <c r="AZ18" s="65" t="str">
        <f>IF(EsteeNew!AZ18-EsteeOld!AZ18=0,"",EsteeNew!AZ18-EsteeOld!AZ18)</f>
        <v/>
      </c>
      <c r="BA18" s="65" t="str">
        <f>IF(EsteeNew!BA18-EsteeOld!BA18=0,"",EsteeNew!BA18-EsteeOld!BA18)</f>
        <v/>
      </c>
      <c r="BB18" s="65" t="str">
        <f>IF(EsteeNew!BB18-EsteeOld!BB18=0,"",EsteeNew!BB18-EsteeOld!BB18)</f>
        <v/>
      </c>
      <c r="BC18" s="65" t="str">
        <f>IF(EsteeNew!BC18-EsteeOld!BC18=0,"",EsteeNew!BC18-EsteeOld!BC18)</f>
        <v/>
      </c>
      <c r="BD18" s="65" t="str">
        <f>IF(EsteeNew!BD18-EsteeOld!BD18=0,"",EsteeNew!BD18-EsteeOld!BD18)</f>
        <v/>
      </c>
    </row>
    <row r="19" spans="3:56" x14ac:dyDescent="0.25">
      <c r="C19" s="48"/>
      <c r="D19" s="49" t="s">
        <v>35</v>
      </c>
      <c r="E19" s="65" t="str">
        <f>IF(EsteeNew!E19-EsteeOld!E19=0,"",EsteeNew!E19-EsteeOld!E19)</f>
        <v/>
      </c>
      <c r="F19" s="65" t="str">
        <f>IF(EsteeNew!F19-EsteeOld!F19=0,"",EsteeNew!F19-EsteeOld!F19)</f>
        <v/>
      </c>
      <c r="G19" s="65" t="str">
        <f>IF(EsteeNew!G19-EsteeOld!G19=0,"",EsteeNew!G19-EsteeOld!G19)</f>
        <v/>
      </c>
      <c r="H19" s="65" t="str">
        <f>IF(EsteeNew!H19-EsteeOld!H19=0,"",EsteeNew!H19-EsteeOld!H19)</f>
        <v/>
      </c>
      <c r="I19" s="65" t="str">
        <f>IF(EsteeNew!I19-EsteeOld!I19=0,"",EsteeNew!I19-EsteeOld!I19)</f>
        <v/>
      </c>
      <c r="J19" s="65" t="str">
        <f>IF(EsteeNew!J19-EsteeOld!J19=0,"",EsteeNew!J19-EsteeOld!J19)</f>
        <v/>
      </c>
      <c r="K19" s="65" t="str">
        <f>IF(EsteeNew!K19-EsteeOld!K19=0,"",EsteeNew!K19-EsteeOld!K19)</f>
        <v/>
      </c>
      <c r="L19" s="65" t="str">
        <f>IF(EsteeNew!L19-EsteeOld!L19=0,"",EsteeNew!L19-EsteeOld!L19)</f>
        <v/>
      </c>
      <c r="M19" s="65" t="str">
        <f>IF(EsteeNew!M19-EsteeOld!M19=0,"",EsteeNew!M19-EsteeOld!M19)</f>
        <v/>
      </c>
      <c r="N19" s="65" t="str">
        <f>IF(EsteeNew!N19-EsteeOld!N19=0,"",EsteeNew!N19-EsteeOld!N19)</f>
        <v/>
      </c>
      <c r="O19" s="65" t="str">
        <f>IF(EsteeNew!O19-EsteeOld!O19=0,"",EsteeNew!O19-EsteeOld!O19)</f>
        <v/>
      </c>
      <c r="P19" s="65" t="str">
        <f>IF(EsteeNew!P19-EsteeOld!P19=0,"",EsteeNew!P19-EsteeOld!P19)</f>
        <v/>
      </c>
      <c r="Q19" s="65" t="str">
        <f>IF(EsteeNew!Q19-EsteeOld!Q19=0,"",EsteeNew!Q19-EsteeOld!Q19)</f>
        <v/>
      </c>
      <c r="R19" s="65" t="str">
        <f>IF(EsteeNew!R19-EsteeOld!R19=0,"",EsteeNew!R19-EsteeOld!R19)</f>
        <v/>
      </c>
      <c r="S19" s="65" t="str">
        <f>IF(EsteeNew!S19-EsteeOld!S19=0,"",EsteeNew!S19-EsteeOld!S19)</f>
        <v/>
      </c>
      <c r="T19" s="65" t="str">
        <f>IF(EsteeNew!T19-EsteeOld!T19=0,"",EsteeNew!T19-EsteeOld!T19)</f>
        <v/>
      </c>
      <c r="U19" s="65" t="str">
        <f>IF(EsteeNew!U19-EsteeOld!U19=0,"",EsteeNew!U19-EsteeOld!U19)</f>
        <v/>
      </c>
      <c r="V19" s="65" t="str">
        <f>IF(EsteeNew!V19-EsteeOld!V19=0,"",EsteeNew!V19-EsteeOld!V19)</f>
        <v/>
      </c>
      <c r="W19" s="65" t="str">
        <f>IF(EsteeNew!W19-EsteeOld!W19=0,"",EsteeNew!W19-EsteeOld!W19)</f>
        <v/>
      </c>
      <c r="X19" s="65" t="str">
        <f>IF(EsteeNew!X19-EsteeOld!X19=0,"",EsteeNew!X19-EsteeOld!X19)</f>
        <v/>
      </c>
      <c r="Y19" s="65" t="str">
        <f>IF(EsteeNew!Y19-EsteeOld!Y19=0,"",EsteeNew!Y19-EsteeOld!Y19)</f>
        <v/>
      </c>
      <c r="Z19" s="65" t="str">
        <f>IF(EsteeNew!Z19-EsteeOld!Z19=0,"",EsteeNew!Z19-EsteeOld!Z19)</f>
        <v/>
      </c>
      <c r="AA19" s="65" t="str">
        <f>IF(EsteeNew!AA19-EsteeOld!AA19=0,"",EsteeNew!AA19-EsteeOld!AA19)</f>
        <v/>
      </c>
      <c r="AB19" s="65" t="str">
        <f>IF(EsteeNew!AB19-EsteeOld!AB19=0,"",EsteeNew!AB19-EsteeOld!AB19)</f>
        <v/>
      </c>
      <c r="AC19" s="65" t="str">
        <f>IF(EsteeNew!AC19-EsteeOld!AC19=0,"",EsteeNew!AC19-EsteeOld!AC19)</f>
        <v/>
      </c>
      <c r="AD19" s="65" t="str">
        <f>IF(EsteeNew!AD19-EsteeOld!AD19=0,"",EsteeNew!AD19-EsteeOld!AD19)</f>
        <v/>
      </c>
      <c r="AE19" s="65" t="str">
        <f>IF(EsteeNew!AE19-EsteeOld!AE19=0,"",EsteeNew!AE19-EsteeOld!AE19)</f>
        <v/>
      </c>
      <c r="AF19" s="65" t="str">
        <f>IF(EsteeNew!AF19-EsteeOld!AF19=0,"",EsteeNew!AF19-EsteeOld!AF19)</f>
        <v/>
      </c>
      <c r="AG19" s="65" t="str">
        <f>IF(EsteeNew!AG19-EsteeOld!AG19=0,"",EsteeNew!AG19-EsteeOld!AG19)</f>
        <v/>
      </c>
      <c r="AH19" s="65" t="str">
        <f>IF(EsteeNew!AH19-EsteeOld!AH19=0,"",EsteeNew!AH19-EsteeOld!AH19)</f>
        <v/>
      </c>
      <c r="AI19" s="65" t="str">
        <f>IF(EsteeNew!AI19-EsteeOld!AI19=0,"",EsteeNew!AI19-EsteeOld!AI19)</f>
        <v/>
      </c>
      <c r="AJ19" s="65" t="str">
        <f>IF(EsteeNew!AJ19-EsteeOld!AJ19=0,"",EsteeNew!AJ19-EsteeOld!AJ19)</f>
        <v/>
      </c>
      <c r="AK19" s="65" t="str">
        <f>IF(EsteeNew!AK19-EsteeOld!AK19=0,"",EsteeNew!AK19-EsteeOld!AK19)</f>
        <v/>
      </c>
      <c r="AL19" s="65" t="str">
        <f>IF(EsteeNew!AL19-EsteeOld!AL19=0,"",EsteeNew!AL19-EsteeOld!AL19)</f>
        <v/>
      </c>
      <c r="AM19" s="65" t="str">
        <f>IF(EsteeNew!AM19-EsteeOld!AM19=0,"",EsteeNew!AM19-EsteeOld!AM19)</f>
        <v/>
      </c>
      <c r="AN19" s="65" t="str">
        <f>IF(EsteeNew!AN19-EsteeOld!AN19=0,"",EsteeNew!AN19-EsteeOld!AN19)</f>
        <v/>
      </c>
      <c r="AO19" s="65" t="str">
        <f>IF(EsteeNew!AO19-EsteeOld!AO19=0,"",EsteeNew!AO19-EsteeOld!AO19)</f>
        <v/>
      </c>
      <c r="AP19" s="65" t="str">
        <f>IF(EsteeNew!AP19-EsteeOld!AP19=0,"",EsteeNew!AP19-EsteeOld!AP19)</f>
        <v/>
      </c>
      <c r="AQ19" s="65" t="str">
        <f>IF(EsteeNew!AQ19-EsteeOld!AQ19=0,"",EsteeNew!AQ19-EsteeOld!AQ19)</f>
        <v/>
      </c>
      <c r="AR19" s="65" t="str">
        <f>IF(EsteeNew!AR19-EsteeOld!AR19=0,"",EsteeNew!AR19-EsteeOld!AR19)</f>
        <v/>
      </c>
      <c r="AS19" s="65" t="str">
        <f>IF(EsteeNew!AS19-EsteeOld!AS19=0,"",EsteeNew!AS19-EsteeOld!AS19)</f>
        <v/>
      </c>
      <c r="AT19" s="65" t="str">
        <f>IF(EsteeNew!AT19-EsteeOld!AT19=0,"",EsteeNew!AT19-EsteeOld!AT19)</f>
        <v/>
      </c>
      <c r="AU19" s="65" t="str">
        <f>IF(EsteeNew!AU19-EsteeOld!AU19=0,"",EsteeNew!AU19-EsteeOld!AU19)</f>
        <v/>
      </c>
      <c r="AV19" s="65" t="str">
        <f>IF(EsteeNew!AV19-EsteeOld!AV19=0,"",EsteeNew!AV19-EsteeOld!AV19)</f>
        <v/>
      </c>
      <c r="AW19" s="65" t="str">
        <f>IF(EsteeNew!AW19-EsteeOld!AW19=0,"",EsteeNew!AW19-EsteeOld!AW19)</f>
        <v/>
      </c>
      <c r="AX19" s="65" t="str">
        <f>IF(EsteeNew!AX19-EsteeOld!AX19=0,"",EsteeNew!AX19-EsteeOld!AX19)</f>
        <v/>
      </c>
      <c r="AY19" s="65" t="str">
        <f>IF(EsteeNew!AY19-EsteeOld!AY19=0,"",EsteeNew!AY19-EsteeOld!AY19)</f>
        <v/>
      </c>
      <c r="AZ19" s="65" t="str">
        <f>IF(EsteeNew!AZ19-EsteeOld!AZ19=0,"",EsteeNew!AZ19-EsteeOld!AZ19)</f>
        <v/>
      </c>
      <c r="BA19" s="65" t="str">
        <f>IF(EsteeNew!BA19-EsteeOld!BA19=0,"",EsteeNew!BA19-EsteeOld!BA19)</f>
        <v/>
      </c>
      <c r="BB19" s="65" t="str">
        <f>IF(EsteeNew!BB19-EsteeOld!BB19=0,"",EsteeNew!BB19-EsteeOld!BB19)</f>
        <v/>
      </c>
      <c r="BC19" s="65" t="str">
        <f>IF(EsteeNew!BC19-EsteeOld!BC19=0,"",EsteeNew!BC19-EsteeOld!BC19)</f>
        <v/>
      </c>
      <c r="BD19" s="65" t="str">
        <f>IF(EsteeNew!BD19-EsteeOld!BD19=0,"",EsteeNew!BD19-EsteeOld!BD19)</f>
        <v/>
      </c>
    </row>
    <row r="20" spans="3:56" x14ac:dyDescent="0.25">
      <c r="C20" s="48"/>
      <c r="D20" s="49" t="s">
        <v>36</v>
      </c>
      <c r="E20" s="65" t="str">
        <f>IF(EsteeNew!E20-EsteeOld!E20=0,"",EsteeNew!E20-EsteeOld!E20)</f>
        <v/>
      </c>
      <c r="F20" s="65" t="str">
        <f>IF(EsteeNew!F20-EsteeOld!F20=0,"",EsteeNew!F20-EsteeOld!F20)</f>
        <v/>
      </c>
      <c r="G20" s="65" t="str">
        <f>IF(EsteeNew!G20-EsteeOld!G20=0,"",EsteeNew!G20-EsteeOld!G20)</f>
        <v/>
      </c>
      <c r="H20" s="65" t="str">
        <f>IF(EsteeNew!H20-EsteeOld!H20=0,"",EsteeNew!H20-EsteeOld!H20)</f>
        <v/>
      </c>
      <c r="I20" s="65" t="str">
        <f>IF(EsteeNew!I20-EsteeOld!I20=0,"",EsteeNew!I20-EsteeOld!I20)</f>
        <v/>
      </c>
      <c r="J20" s="65" t="str">
        <f>IF(EsteeNew!J20-EsteeOld!J20=0,"",EsteeNew!J20-EsteeOld!J20)</f>
        <v/>
      </c>
      <c r="K20" s="65" t="str">
        <f>IF(EsteeNew!K20-EsteeOld!K20=0,"",EsteeNew!K20-EsteeOld!K20)</f>
        <v/>
      </c>
      <c r="L20" s="65" t="str">
        <f>IF(EsteeNew!L20-EsteeOld!L20=0,"",EsteeNew!L20-EsteeOld!L20)</f>
        <v/>
      </c>
      <c r="M20" s="65" t="str">
        <f>IF(EsteeNew!M20-EsteeOld!M20=0,"",EsteeNew!M20-EsteeOld!M20)</f>
        <v/>
      </c>
      <c r="N20" s="65" t="str">
        <f>IF(EsteeNew!N20-EsteeOld!N20=0,"",EsteeNew!N20-EsteeOld!N20)</f>
        <v/>
      </c>
      <c r="O20" s="65" t="str">
        <f>IF(EsteeNew!O20-EsteeOld!O20=0,"",EsteeNew!O20-EsteeOld!O20)</f>
        <v/>
      </c>
      <c r="P20" s="65" t="str">
        <f>IF(EsteeNew!P20-EsteeOld!P20=0,"",EsteeNew!P20-EsteeOld!P20)</f>
        <v/>
      </c>
      <c r="Q20" s="65" t="str">
        <f>IF(EsteeNew!Q20-EsteeOld!Q20=0,"",EsteeNew!Q20-EsteeOld!Q20)</f>
        <v/>
      </c>
      <c r="R20" s="65" t="str">
        <f>IF(EsteeNew!R20-EsteeOld!R20=0,"",EsteeNew!R20-EsteeOld!R20)</f>
        <v/>
      </c>
      <c r="S20" s="65" t="str">
        <f>IF(EsteeNew!S20-EsteeOld!S20=0,"",EsteeNew!S20-EsteeOld!S20)</f>
        <v/>
      </c>
      <c r="T20" s="65" t="str">
        <f>IF(EsteeNew!T20-EsteeOld!T20=0,"",EsteeNew!T20-EsteeOld!T20)</f>
        <v/>
      </c>
      <c r="U20" s="65" t="str">
        <f>IF(EsteeNew!U20-EsteeOld!U20=0,"",EsteeNew!U20-EsteeOld!U20)</f>
        <v/>
      </c>
      <c r="V20" s="65" t="str">
        <f>IF(EsteeNew!V20-EsteeOld!V20=0,"",EsteeNew!V20-EsteeOld!V20)</f>
        <v/>
      </c>
      <c r="W20" s="65" t="str">
        <f>IF(EsteeNew!W20-EsteeOld!W20=0,"",EsteeNew!W20-EsteeOld!W20)</f>
        <v/>
      </c>
      <c r="X20" s="65" t="str">
        <f>IF(EsteeNew!X20-EsteeOld!X20=0,"",EsteeNew!X20-EsteeOld!X20)</f>
        <v/>
      </c>
      <c r="Y20" s="65" t="str">
        <f>IF(EsteeNew!Y20-EsteeOld!Y20=0,"",EsteeNew!Y20-EsteeOld!Y20)</f>
        <v/>
      </c>
      <c r="Z20" s="65" t="str">
        <f>IF(EsteeNew!Z20-EsteeOld!Z20=0,"",EsteeNew!Z20-EsteeOld!Z20)</f>
        <v/>
      </c>
      <c r="AA20" s="65" t="str">
        <f>IF(EsteeNew!AA20-EsteeOld!AA20=0,"",EsteeNew!AA20-EsteeOld!AA20)</f>
        <v/>
      </c>
      <c r="AB20" s="65" t="str">
        <f>IF(EsteeNew!AB20-EsteeOld!AB20=0,"",EsteeNew!AB20-EsteeOld!AB20)</f>
        <v/>
      </c>
      <c r="AC20" s="65" t="str">
        <f>IF(EsteeNew!AC20-EsteeOld!AC20=0,"",EsteeNew!AC20-EsteeOld!AC20)</f>
        <v/>
      </c>
      <c r="AD20" s="65" t="str">
        <f>IF(EsteeNew!AD20-EsteeOld!AD20=0,"",EsteeNew!AD20-EsteeOld!AD20)</f>
        <v/>
      </c>
      <c r="AE20" s="65" t="str">
        <f>IF(EsteeNew!AE20-EsteeOld!AE20=0,"",EsteeNew!AE20-EsteeOld!AE20)</f>
        <v/>
      </c>
      <c r="AF20" s="65" t="str">
        <f>IF(EsteeNew!AF20-EsteeOld!AF20=0,"",EsteeNew!AF20-EsteeOld!AF20)</f>
        <v/>
      </c>
      <c r="AG20" s="65" t="str">
        <f>IF(EsteeNew!AG20-EsteeOld!AG20=0,"",EsteeNew!AG20-EsteeOld!AG20)</f>
        <v/>
      </c>
      <c r="AH20" s="65" t="str">
        <f>IF(EsteeNew!AH20-EsteeOld!AH20=0,"",EsteeNew!AH20-EsteeOld!AH20)</f>
        <v/>
      </c>
      <c r="AI20" s="65" t="str">
        <f>IF(EsteeNew!AI20-EsteeOld!AI20=0,"",EsteeNew!AI20-EsteeOld!AI20)</f>
        <v/>
      </c>
      <c r="AJ20" s="65" t="str">
        <f>IF(EsteeNew!AJ20-EsteeOld!AJ20=0,"",EsteeNew!AJ20-EsteeOld!AJ20)</f>
        <v/>
      </c>
      <c r="AK20" s="65" t="str">
        <f>IF(EsteeNew!AK20-EsteeOld!AK20=0,"",EsteeNew!AK20-EsteeOld!AK20)</f>
        <v/>
      </c>
      <c r="AL20" s="65" t="str">
        <f>IF(EsteeNew!AL20-EsteeOld!AL20=0,"",EsteeNew!AL20-EsteeOld!AL20)</f>
        <v/>
      </c>
      <c r="AM20" s="65" t="str">
        <f>IF(EsteeNew!AM20-EsteeOld!AM20=0,"",EsteeNew!AM20-EsteeOld!AM20)</f>
        <v/>
      </c>
      <c r="AN20" s="65" t="str">
        <f>IF(EsteeNew!AN20-EsteeOld!AN20=0,"",EsteeNew!AN20-EsteeOld!AN20)</f>
        <v/>
      </c>
      <c r="AO20" s="65" t="str">
        <f>IF(EsteeNew!AO20-EsteeOld!AO20=0,"",EsteeNew!AO20-EsteeOld!AO20)</f>
        <v/>
      </c>
      <c r="AP20" s="65" t="str">
        <f>IF(EsteeNew!AP20-EsteeOld!AP20=0,"",EsteeNew!AP20-EsteeOld!AP20)</f>
        <v/>
      </c>
      <c r="AQ20" s="65" t="str">
        <f>IF(EsteeNew!AQ20-EsteeOld!AQ20=0,"",EsteeNew!AQ20-EsteeOld!AQ20)</f>
        <v/>
      </c>
      <c r="AR20" s="65" t="str">
        <f>IF(EsteeNew!AR20-EsteeOld!AR20=0,"",EsteeNew!AR20-EsteeOld!AR20)</f>
        <v/>
      </c>
      <c r="AS20" s="65" t="str">
        <f>IF(EsteeNew!AS20-EsteeOld!AS20=0,"",EsteeNew!AS20-EsteeOld!AS20)</f>
        <v/>
      </c>
      <c r="AT20" s="65" t="str">
        <f>IF(EsteeNew!AT20-EsteeOld!AT20=0,"",EsteeNew!AT20-EsteeOld!AT20)</f>
        <v/>
      </c>
      <c r="AU20" s="65" t="str">
        <f>IF(EsteeNew!AU20-EsteeOld!AU20=0,"",EsteeNew!AU20-EsteeOld!AU20)</f>
        <v/>
      </c>
      <c r="AV20" s="65" t="str">
        <f>IF(EsteeNew!AV20-EsteeOld!AV20=0,"",EsteeNew!AV20-EsteeOld!AV20)</f>
        <v/>
      </c>
      <c r="AW20" s="65" t="str">
        <f>IF(EsteeNew!AW20-EsteeOld!AW20=0,"",EsteeNew!AW20-EsteeOld!AW20)</f>
        <v/>
      </c>
      <c r="AX20" s="65" t="str">
        <f>IF(EsteeNew!AX20-EsteeOld!AX20=0,"",EsteeNew!AX20-EsteeOld!AX20)</f>
        <v/>
      </c>
      <c r="AY20" s="65" t="str">
        <f>IF(EsteeNew!AY20-EsteeOld!AY20=0,"",EsteeNew!AY20-EsteeOld!AY20)</f>
        <v/>
      </c>
      <c r="AZ20" s="65" t="str">
        <f>IF(EsteeNew!AZ20-EsteeOld!AZ20=0,"",EsteeNew!AZ20-EsteeOld!AZ20)</f>
        <v/>
      </c>
      <c r="BA20" s="65" t="str">
        <f>IF(EsteeNew!BA20-EsteeOld!BA20=0,"",EsteeNew!BA20-EsteeOld!BA20)</f>
        <v/>
      </c>
      <c r="BB20" s="65" t="str">
        <f>IF(EsteeNew!BB20-EsteeOld!BB20=0,"",EsteeNew!BB20-EsteeOld!BB20)</f>
        <v/>
      </c>
      <c r="BC20" s="65" t="str">
        <f>IF(EsteeNew!BC20-EsteeOld!BC20=0,"",EsteeNew!BC20-EsteeOld!BC20)</f>
        <v/>
      </c>
      <c r="BD20" s="65" t="str">
        <f>IF(EsteeNew!BD20-EsteeOld!BD20=0,"",EsteeNew!BD20-EsteeOld!BD20)</f>
        <v/>
      </c>
    </row>
    <row r="21" spans="3:56" x14ac:dyDescent="0.25">
      <c r="C21" s="48"/>
      <c r="D21" s="49" t="s">
        <v>37</v>
      </c>
      <c r="E21" s="65" t="str">
        <f>IF(EsteeNew!E21-EsteeOld!E21=0,"",EsteeNew!E21-EsteeOld!E21)</f>
        <v/>
      </c>
      <c r="F21" s="65" t="str">
        <f>IF(EsteeNew!F21-EsteeOld!F21=0,"",EsteeNew!F21-EsteeOld!F21)</f>
        <v/>
      </c>
      <c r="G21" s="65" t="str">
        <f>IF(EsteeNew!G21-EsteeOld!G21=0,"",EsteeNew!G21-EsteeOld!G21)</f>
        <v/>
      </c>
      <c r="H21" s="65" t="str">
        <f>IF(EsteeNew!H21-EsteeOld!H21=0,"",EsteeNew!H21-EsteeOld!H21)</f>
        <v/>
      </c>
      <c r="I21" s="65" t="str">
        <f>IF(EsteeNew!I21-EsteeOld!I21=0,"",EsteeNew!I21-EsteeOld!I21)</f>
        <v/>
      </c>
      <c r="J21" s="65" t="str">
        <f>IF(EsteeNew!J21-EsteeOld!J21=0,"",EsteeNew!J21-EsteeOld!J21)</f>
        <v/>
      </c>
      <c r="K21" s="65" t="str">
        <f>IF(EsteeNew!K21-EsteeOld!K21=0,"",EsteeNew!K21-EsteeOld!K21)</f>
        <v/>
      </c>
      <c r="L21" s="65" t="str">
        <f>IF(EsteeNew!L21-EsteeOld!L21=0,"",EsteeNew!L21-EsteeOld!L21)</f>
        <v/>
      </c>
      <c r="M21" s="65" t="str">
        <f>IF(EsteeNew!M21-EsteeOld!M21=0,"",EsteeNew!M21-EsteeOld!M21)</f>
        <v/>
      </c>
      <c r="N21" s="65" t="str">
        <f>IF(EsteeNew!N21-EsteeOld!N21=0,"",EsteeNew!N21-EsteeOld!N21)</f>
        <v/>
      </c>
      <c r="O21" s="65" t="str">
        <f>IF(EsteeNew!O21-EsteeOld!O21=0,"",EsteeNew!O21-EsteeOld!O21)</f>
        <v/>
      </c>
      <c r="P21" s="65" t="str">
        <f>IF(EsteeNew!P21-EsteeOld!P21=0,"",EsteeNew!P21-EsteeOld!P21)</f>
        <v/>
      </c>
      <c r="Q21" s="65" t="str">
        <f>IF(EsteeNew!Q21-EsteeOld!Q21=0,"",EsteeNew!Q21-EsteeOld!Q21)</f>
        <v/>
      </c>
      <c r="R21" s="65" t="str">
        <f>IF(EsteeNew!R21-EsteeOld!R21=0,"",EsteeNew!R21-EsteeOld!R21)</f>
        <v/>
      </c>
      <c r="S21" s="65" t="str">
        <f>IF(EsteeNew!S21-EsteeOld!S21=0,"",EsteeNew!S21-EsteeOld!S21)</f>
        <v/>
      </c>
      <c r="T21" s="65" t="str">
        <f>IF(EsteeNew!T21-EsteeOld!T21=0,"",EsteeNew!T21-EsteeOld!T21)</f>
        <v/>
      </c>
      <c r="U21" s="65" t="str">
        <f>IF(EsteeNew!U21-EsteeOld!U21=0,"",EsteeNew!U21-EsteeOld!U21)</f>
        <v/>
      </c>
      <c r="V21" s="65" t="str">
        <f>IF(EsteeNew!V21-EsteeOld!V21=0,"",EsteeNew!V21-EsteeOld!V21)</f>
        <v/>
      </c>
      <c r="W21" s="65" t="str">
        <f>IF(EsteeNew!W21-EsteeOld!W21=0,"",EsteeNew!W21-EsteeOld!W21)</f>
        <v/>
      </c>
      <c r="X21" s="65" t="str">
        <f>IF(EsteeNew!X21-EsteeOld!X21=0,"",EsteeNew!X21-EsteeOld!X21)</f>
        <v/>
      </c>
      <c r="Y21" s="65" t="str">
        <f>IF(EsteeNew!Y21-EsteeOld!Y21=0,"",EsteeNew!Y21-EsteeOld!Y21)</f>
        <v/>
      </c>
      <c r="Z21" s="65" t="str">
        <f>IF(EsteeNew!Z21-EsteeOld!Z21=0,"",EsteeNew!Z21-EsteeOld!Z21)</f>
        <v/>
      </c>
      <c r="AA21" s="65" t="str">
        <f>IF(EsteeNew!AA21-EsteeOld!AA21=0,"",EsteeNew!AA21-EsteeOld!AA21)</f>
        <v/>
      </c>
      <c r="AB21" s="65" t="str">
        <f>IF(EsteeNew!AB21-EsteeOld!AB21=0,"",EsteeNew!AB21-EsteeOld!AB21)</f>
        <v/>
      </c>
      <c r="AC21" s="65" t="str">
        <f>IF(EsteeNew!AC21-EsteeOld!AC21=0,"",EsteeNew!AC21-EsteeOld!AC21)</f>
        <v/>
      </c>
      <c r="AD21" s="65" t="str">
        <f>IF(EsteeNew!AD21-EsteeOld!AD21=0,"",EsteeNew!AD21-EsteeOld!AD21)</f>
        <v/>
      </c>
      <c r="AE21" s="65" t="str">
        <f>IF(EsteeNew!AE21-EsteeOld!AE21=0,"",EsteeNew!AE21-EsteeOld!AE21)</f>
        <v/>
      </c>
      <c r="AF21" s="65" t="str">
        <f>IF(EsteeNew!AF21-EsteeOld!AF21=0,"",EsteeNew!AF21-EsteeOld!AF21)</f>
        <v/>
      </c>
      <c r="AG21" s="65" t="str">
        <f>IF(EsteeNew!AG21-EsteeOld!AG21=0,"",EsteeNew!AG21-EsteeOld!AG21)</f>
        <v/>
      </c>
      <c r="AH21" s="65" t="str">
        <f>IF(EsteeNew!AH21-EsteeOld!AH21=0,"",EsteeNew!AH21-EsteeOld!AH21)</f>
        <v/>
      </c>
      <c r="AI21" s="65" t="str">
        <f>IF(EsteeNew!AI21-EsteeOld!AI21=0,"",EsteeNew!AI21-EsteeOld!AI21)</f>
        <v/>
      </c>
      <c r="AJ21" s="65" t="str">
        <f>IF(EsteeNew!AJ21-EsteeOld!AJ21=0,"",EsteeNew!AJ21-EsteeOld!AJ21)</f>
        <v/>
      </c>
      <c r="AK21" s="65" t="str">
        <f>IF(EsteeNew!AK21-EsteeOld!AK21=0,"",EsteeNew!AK21-EsteeOld!AK21)</f>
        <v/>
      </c>
      <c r="AL21" s="65" t="str">
        <f>IF(EsteeNew!AL21-EsteeOld!AL21=0,"",EsteeNew!AL21-EsteeOld!AL21)</f>
        <v/>
      </c>
      <c r="AM21" s="65" t="str">
        <f>IF(EsteeNew!AM21-EsteeOld!AM21=0,"",EsteeNew!AM21-EsteeOld!AM21)</f>
        <v/>
      </c>
      <c r="AN21" s="65" t="str">
        <f>IF(EsteeNew!AN21-EsteeOld!AN21=0,"",EsteeNew!AN21-EsteeOld!AN21)</f>
        <v/>
      </c>
      <c r="AO21" s="65" t="str">
        <f>IF(EsteeNew!AO21-EsteeOld!AO21=0,"",EsteeNew!AO21-EsteeOld!AO21)</f>
        <v/>
      </c>
      <c r="AP21" s="65" t="str">
        <f>IF(EsteeNew!AP21-EsteeOld!AP21=0,"",EsteeNew!AP21-EsteeOld!AP21)</f>
        <v/>
      </c>
      <c r="AQ21" s="65" t="str">
        <f>IF(EsteeNew!AQ21-EsteeOld!AQ21=0,"",EsteeNew!AQ21-EsteeOld!AQ21)</f>
        <v/>
      </c>
      <c r="AR21" s="65" t="str">
        <f>IF(EsteeNew!AR21-EsteeOld!AR21=0,"",EsteeNew!AR21-EsteeOld!AR21)</f>
        <v/>
      </c>
      <c r="AS21" s="65" t="str">
        <f>IF(EsteeNew!AS21-EsteeOld!AS21=0,"",EsteeNew!AS21-EsteeOld!AS21)</f>
        <v/>
      </c>
      <c r="AT21" s="65" t="str">
        <f>IF(EsteeNew!AT21-EsteeOld!AT21=0,"",EsteeNew!AT21-EsteeOld!AT21)</f>
        <v/>
      </c>
      <c r="AU21" s="65" t="str">
        <f>IF(EsteeNew!AU21-EsteeOld!AU21=0,"",EsteeNew!AU21-EsteeOld!AU21)</f>
        <v/>
      </c>
      <c r="AV21" s="65" t="str">
        <f>IF(EsteeNew!AV21-EsteeOld!AV21=0,"",EsteeNew!AV21-EsteeOld!AV21)</f>
        <v/>
      </c>
      <c r="AW21" s="65" t="str">
        <f>IF(EsteeNew!AW21-EsteeOld!AW21=0,"",EsteeNew!AW21-EsteeOld!AW21)</f>
        <v/>
      </c>
      <c r="AX21" s="65" t="str">
        <f>IF(EsteeNew!AX21-EsteeOld!AX21=0,"",EsteeNew!AX21-EsteeOld!AX21)</f>
        <v/>
      </c>
      <c r="AY21" s="65" t="str">
        <f>IF(EsteeNew!AY21-EsteeOld!AY21=0,"",EsteeNew!AY21-EsteeOld!AY21)</f>
        <v/>
      </c>
      <c r="AZ21" s="65" t="str">
        <f>IF(EsteeNew!AZ21-EsteeOld!AZ21=0,"",EsteeNew!AZ21-EsteeOld!AZ21)</f>
        <v/>
      </c>
      <c r="BA21" s="65" t="str">
        <f>IF(EsteeNew!BA21-EsteeOld!BA21=0,"",EsteeNew!BA21-EsteeOld!BA21)</f>
        <v/>
      </c>
      <c r="BB21" s="65" t="str">
        <f>IF(EsteeNew!BB21-EsteeOld!BB21=0,"",EsteeNew!BB21-EsteeOld!BB21)</f>
        <v/>
      </c>
      <c r="BC21" s="65" t="str">
        <f>IF(EsteeNew!BC21-EsteeOld!BC21=0,"",EsteeNew!BC21-EsteeOld!BC21)</f>
        <v/>
      </c>
      <c r="BD21" s="65" t="str">
        <f>IF(EsteeNew!BD21-EsteeOld!BD21=0,"",EsteeNew!BD21-EsteeOld!BD21)</f>
        <v/>
      </c>
    </row>
    <row r="22" spans="3:56" x14ac:dyDescent="0.25">
      <c r="C22" s="48"/>
      <c r="D22" s="49" t="s">
        <v>38</v>
      </c>
      <c r="E22" s="65" t="str">
        <f>IF(EsteeNew!E22-EsteeOld!E22=0,"",EsteeNew!E22-EsteeOld!E22)</f>
        <v/>
      </c>
      <c r="F22" s="65" t="str">
        <f>IF(EsteeNew!F22-EsteeOld!F22=0,"",EsteeNew!F22-EsteeOld!F22)</f>
        <v/>
      </c>
      <c r="G22" s="65" t="str">
        <f>IF(EsteeNew!G22-EsteeOld!G22=0,"",EsteeNew!G22-EsteeOld!G22)</f>
        <v/>
      </c>
      <c r="H22" s="65" t="str">
        <f>IF(EsteeNew!H22-EsteeOld!H22=0,"",EsteeNew!H22-EsteeOld!H22)</f>
        <v/>
      </c>
      <c r="I22" s="65" t="str">
        <f>IF(EsteeNew!I22-EsteeOld!I22=0,"",EsteeNew!I22-EsteeOld!I22)</f>
        <v/>
      </c>
      <c r="J22" s="65" t="str">
        <f>IF(EsteeNew!J22-EsteeOld!J22=0,"",EsteeNew!J22-EsteeOld!J22)</f>
        <v/>
      </c>
      <c r="K22" s="65" t="str">
        <f>IF(EsteeNew!K22-EsteeOld!K22=0,"",EsteeNew!K22-EsteeOld!K22)</f>
        <v/>
      </c>
      <c r="L22" s="65" t="str">
        <f>IF(EsteeNew!L22-EsteeOld!L22=0,"",EsteeNew!L22-EsteeOld!L22)</f>
        <v/>
      </c>
      <c r="M22" s="65" t="str">
        <f>IF(EsteeNew!M22-EsteeOld!M22=0,"",EsteeNew!M22-EsteeOld!M22)</f>
        <v/>
      </c>
      <c r="N22" s="65" t="str">
        <f>IF(EsteeNew!N22-EsteeOld!N22=0,"",EsteeNew!N22-EsteeOld!N22)</f>
        <v/>
      </c>
      <c r="O22" s="65" t="str">
        <f>IF(EsteeNew!O22-EsteeOld!O22=0,"",EsteeNew!O22-EsteeOld!O22)</f>
        <v/>
      </c>
      <c r="P22" s="65" t="str">
        <f>IF(EsteeNew!P22-EsteeOld!P22=0,"",EsteeNew!P22-EsteeOld!P22)</f>
        <v/>
      </c>
      <c r="Q22" s="65" t="str">
        <f>IF(EsteeNew!Q22-EsteeOld!Q22=0,"",EsteeNew!Q22-EsteeOld!Q22)</f>
        <v/>
      </c>
      <c r="R22" s="65" t="str">
        <f>IF(EsteeNew!R22-EsteeOld!R22=0,"",EsteeNew!R22-EsteeOld!R22)</f>
        <v/>
      </c>
      <c r="S22" s="65" t="str">
        <f>IF(EsteeNew!S22-EsteeOld!S22=0,"",EsteeNew!S22-EsteeOld!S22)</f>
        <v/>
      </c>
      <c r="T22" s="65" t="str">
        <f>IF(EsteeNew!T22-EsteeOld!T22=0,"",EsteeNew!T22-EsteeOld!T22)</f>
        <v/>
      </c>
      <c r="U22" s="65" t="str">
        <f>IF(EsteeNew!U22-EsteeOld!U22=0,"",EsteeNew!U22-EsteeOld!U22)</f>
        <v/>
      </c>
      <c r="V22" s="65" t="str">
        <f>IF(EsteeNew!V22-EsteeOld!V22=0,"",EsteeNew!V22-EsteeOld!V22)</f>
        <v/>
      </c>
      <c r="W22" s="65" t="str">
        <f>IF(EsteeNew!W22-EsteeOld!W22=0,"",EsteeNew!W22-EsteeOld!W22)</f>
        <v/>
      </c>
      <c r="X22" s="65" t="str">
        <f>IF(EsteeNew!X22-EsteeOld!X22=0,"",EsteeNew!X22-EsteeOld!X22)</f>
        <v/>
      </c>
      <c r="Y22" s="65" t="str">
        <f>IF(EsteeNew!Y22-EsteeOld!Y22=0,"",EsteeNew!Y22-EsteeOld!Y22)</f>
        <v/>
      </c>
      <c r="Z22" s="65" t="str">
        <f>IF(EsteeNew!Z22-EsteeOld!Z22=0,"",EsteeNew!Z22-EsteeOld!Z22)</f>
        <v/>
      </c>
      <c r="AA22" s="65" t="str">
        <f>IF(EsteeNew!AA22-EsteeOld!AA22=0,"",EsteeNew!AA22-EsteeOld!AA22)</f>
        <v/>
      </c>
      <c r="AB22" s="65" t="str">
        <f>IF(EsteeNew!AB22-EsteeOld!AB22=0,"",EsteeNew!AB22-EsteeOld!AB22)</f>
        <v/>
      </c>
      <c r="AC22" s="65" t="str">
        <f>IF(EsteeNew!AC22-EsteeOld!AC22=0,"",EsteeNew!AC22-EsteeOld!AC22)</f>
        <v/>
      </c>
      <c r="AD22" s="65" t="str">
        <f>IF(EsteeNew!AD22-EsteeOld!AD22=0,"",EsteeNew!AD22-EsteeOld!AD22)</f>
        <v/>
      </c>
      <c r="AE22" s="65" t="str">
        <f>IF(EsteeNew!AE22-EsteeOld!AE22=0,"",EsteeNew!AE22-EsteeOld!AE22)</f>
        <v/>
      </c>
      <c r="AF22" s="65" t="str">
        <f>IF(EsteeNew!AF22-EsteeOld!AF22=0,"",EsteeNew!AF22-EsteeOld!AF22)</f>
        <v/>
      </c>
      <c r="AG22" s="65" t="str">
        <f>IF(EsteeNew!AG22-EsteeOld!AG22=0,"",EsteeNew!AG22-EsteeOld!AG22)</f>
        <v/>
      </c>
      <c r="AH22" s="65" t="str">
        <f>IF(EsteeNew!AH22-EsteeOld!AH22=0,"",EsteeNew!AH22-EsteeOld!AH22)</f>
        <v/>
      </c>
      <c r="AI22" s="65" t="str">
        <f>IF(EsteeNew!AI22-EsteeOld!AI22=0,"",EsteeNew!AI22-EsteeOld!AI22)</f>
        <v/>
      </c>
      <c r="AJ22" s="65" t="str">
        <f>IF(EsteeNew!AJ22-EsteeOld!AJ22=0,"",EsteeNew!AJ22-EsteeOld!AJ22)</f>
        <v/>
      </c>
      <c r="AK22" s="65" t="str">
        <f>IF(EsteeNew!AK22-EsteeOld!AK22=0,"",EsteeNew!AK22-EsteeOld!AK22)</f>
        <v/>
      </c>
      <c r="AL22" s="65" t="str">
        <f>IF(EsteeNew!AL22-EsteeOld!AL22=0,"",EsteeNew!AL22-EsteeOld!AL22)</f>
        <v/>
      </c>
      <c r="AM22" s="65" t="str">
        <f>IF(EsteeNew!AM22-EsteeOld!AM22=0,"",EsteeNew!AM22-EsteeOld!AM22)</f>
        <v/>
      </c>
      <c r="AN22" s="65" t="str">
        <f>IF(EsteeNew!AN22-EsteeOld!AN22=0,"",EsteeNew!AN22-EsteeOld!AN22)</f>
        <v/>
      </c>
      <c r="AO22" s="65" t="str">
        <f>IF(EsteeNew!AO22-EsteeOld!AO22=0,"",EsteeNew!AO22-EsteeOld!AO22)</f>
        <v/>
      </c>
      <c r="AP22" s="65" t="str">
        <f>IF(EsteeNew!AP22-EsteeOld!AP22=0,"",EsteeNew!AP22-EsteeOld!AP22)</f>
        <v/>
      </c>
      <c r="AQ22" s="65" t="str">
        <f>IF(EsteeNew!AQ22-EsteeOld!AQ22=0,"",EsteeNew!AQ22-EsteeOld!AQ22)</f>
        <v/>
      </c>
      <c r="AR22" s="65" t="str">
        <f>IF(EsteeNew!AR22-EsteeOld!AR22=0,"",EsteeNew!AR22-EsteeOld!AR22)</f>
        <v/>
      </c>
      <c r="AS22" s="65" t="str">
        <f>IF(EsteeNew!AS22-EsteeOld!AS22=0,"",EsteeNew!AS22-EsteeOld!AS22)</f>
        <v/>
      </c>
      <c r="AT22" s="65" t="str">
        <f>IF(EsteeNew!AT22-EsteeOld!AT22=0,"",EsteeNew!AT22-EsteeOld!AT22)</f>
        <v/>
      </c>
      <c r="AU22" s="65" t="str">
        <f>IF(EsteeNew!AU22-EsteeOld!AU22=0,"",EsteeNew!AU22-EsteeOld!AU22)</f>
        <v/>
      </c>
      <c r="AV22" s="65" t="str">
        <f>IF(EsteeNew!AV22-EsteeOld!AV22=0,"",EsteeNew!AV22-EsteeOld!AV22)</f>
        <v/>
      </c>
      <c r="AW22" s="65" t="str">
        <f>IF(EsteeNew!AW22-EsteeOld!AW22=0,"",EsteeNew!AW22-EsteeOld!AW22)</f>
        <v/>
      </c>
      <c r="AX22" s="65" t="str">
        <f>IF(EsteeNew!AX22-EsteeOld!AX22=0,"",EsteeNew!AX22-EsteeOld!AX22)</f>
        <v/>
      </c>
      <c r="AY22" s="65" t="str">
        <f>IF(EsteeNew!AY22-EsteeOld!AY22=0,"",EsteeNew!AY22-EsteeOld!AY22)</f>
        <v/>
      </c>
      <c r="AZ22" s="65" t="str">
        <f>IF(EsteeNew!AZ22-EsteeOld!AZ22=0,"",EsteeNew!AZ22-EsteeOld!AZ22)</f>
        <v/>
      </c>
      <c r="BA22" s="65" t="str">
        <f>IF(EsteeNew!BA22-EsteeOld!BA22=0,"",EsteeNew!BA22-EsteeOld!BA22)</f>
        <v/>
      </c>
      <c r="BB22" s="65" t="str">
        <f>IF(EsteeNew!BB22-EsteeOld!BB22=0,"",EsteeNew!BB22-EsteeOld!BB22)</f>
        <v/>
      </c>
      <c r="BC22" s="65" t="str">
        <f>IF(EsteeNew!BC22-EsteeOld!BC22=0,"",EsteeNew!BC22-EsteeOld!BC22)</f>
        <v/>
      </c>
      <c r="BD22" s="65" t="str">
        <f>IF(EsteeNew!BD22-EsteeOld!BD22=0,"",EsteeNew!BD22-EsteeOld!BD22)</f>
        <v/>
      </c>
    </row>
    <row r="23" spans="3:56" x14ac:dyDescent="0.25">
      <c r="C23" s="48"/>
      <c r="D23" s="49" t="s">
        <v>39</v>
      </c>
      <c r="E23" s="65" t="str">
        <f>IF(EsteeNew!E23-EsteeOld!E23=0,"",EsteeNew!E23-EsteeOld!E23)</f>
        <v/>
      </c>
      <c r="F23" s="65" t="str">
        <f>IF(EsteeNew!F23-EsteeOld!F23=0,"",EsteeNew!F23-EsteeOld!F23)</f>
        <v/>
      </c>
      <c r="G23" s="65" t="str">
        <f>IF(EsteeNew!G23-EsteeOld!G23=0,"",EsteeNew!G23-EsteeOld!G23)</f>
        <v/>
      </c>
      <c r="H23" s="65" t="str">
        <f>IF(EsteeNew!H23-EsteeOld!H23=0,"",EsteeNew!H23-EsteeOld!H23)</f>
        <v/>
      </c>
      <c r="I23" s="65" t="str">
        <f>IF(EsteeNew!I23-EsteeOld!I23=0,"",EsteeNew!I23-EsteeOld!I23)</f>
        <v/>
      </c>
      <c r="J23" s="65" t="str">
        <f>IF(EsteeNew!J23-EsteeOld!J23=0,"",EsteeNew!J23-EsteeOld!J23)</f>
        <v/>
      </c>
      <c r="K23" s="65" t="str">
        <f>IF(EsteeNew!K23-EsteeOld!K23=0,"",EsteeNew!K23-EsteeOld!K23)</f>
        <v/>
      </c>
      <c r="L23" s="65" t="str">
        <f>IF(EsteeNew!L23-EsteeOld!L23=0,"",EsteeNew!L23-EsteeOld!L23)</f>
        <v/>
      </c>
      <c r="M23" s="65" t="str">
        <f>IF(EsteeNew!M23-EsteeOld!M23=0,"",EsteeNew!M23-EsteeOld!M23)</f>
        <v/>
      </c>
      <c r="N23" s="65" t="str">
        <f>IF(EsteeNew!N23-EsteeOld!N23=0,"",EsteeNew!N23-EsteeOld!N23)</f>
        <v/>
      </c>
      <c r="O23" s="65" t="str">
        <f>IF(EsteeNew!O23-EsteeOld!O23=0,"",EsteeNew!O23-EsteeOld!O23)</f>
        <v/>
      </c>
      <c r="P23" s="65" t="str">
        <f>IF(EsteeNew!P23-EsteeOld!P23=0,"",EsteeNew!P23-EsteeOld!P23)</f>
        <v/>
      </c>
      <c r="Q23" s="65" t="str">
        <f>IF(EsteeNew!Q23-EsteeOld!Q23=0,"",EsteeNew!Q23-EsteeOld!Q23)</f>
        <v/>
      </c>
      <c r="R23" s="65" t="str">
        <f>IF(EsteeNew!R23-EsteeOld!R23=0,"",EsteeNew!R23-EsteeOld!R23)</f>
        <v/>
      </c>
      <c r="S23" s="65" t="str">
        <f>IF(EsteeNew!S23-EsteeOld!S23=0,"",EsteeNew!S23-EsteeOld!S23)</f>
        <v/>
      </c>
      <c r="T23" s="65" t="str">
        <f>IF(EsteeNew!T23-EsteeOld!T23=0,"",EsteeNew!T23-EsteeOld!T23)</f>
        <v/>
      </c>
      <c r="U23" s="65" t="str">
        <f>IF(EsteeNew!U23-EsteeOld!U23=0,"",EsteeNew!U23-EsteeOld!U23)</f>
        <v/>
      </c>
      <c r="V23" s="65" t="str">
        <f>IF(EsteeNew!V23-EsteeOld!V23=0,"",EsteeNew!V23-EsteeOld!V23)</f>
        <v/>
      </c>
      <c r="W23" s="65" t="str">
        <f>IF(EsteeNew!W23-EsteeOld!W23=0,"",EsteeNew!W23-EsteeOld!W23)</f>
        <v/>
      </c>
      <c r="X23" s="65" t="str">
        <f>IF(EsteeNew!X23-EsteeOld!X23=0,"",EsteeNew!X23-EsteeOld!X23)</f>
        <v/>
      </c>
      <c r="Y23" s="65" t="str">
        <f>IF(EsteeNew!Y23-EsteeOld!Y23=0,"",EsteeNew!Y23-EsteeOld!Y23)</f>
        <v/>
      </c>
      <c r="Z23" s="65" t="str">
        <f>IF(EsteeNew!Z23-EsteeOld!Z23=0,"",EsteeNew!Z23-EsteeOld!Z23)</f>
        <v/>
      </c>
      <c r="AA23" s="65" t="str">
        <f>IF(EsteeNew!AA23-EsteeOld!AA23=0,"",EsteeNew!AA23-EsteeOld!AA23)</f>
        <v/>
      </c>
      <c r="AB23" s="65" t="str">
        <f>IF(EsteeNew!AB23-EsteeOld!AB23=0,"",EsteeNew!AB23-EsteeOld!AB23)</f>
        <v/>
      </c>
      <c r="AC23" s="65" t="str">
        <f>IF(EsteeNew!AC23-EsteeOld!AC23=0,"",EsteeNew!AC23-EsteeOld!AC23)</f>
        <v/>
      </c>
      <c r="AD23" s="65" t="str">
        <f>IF(EsteeNew!AD23-EsteeOld!AD23=0,"",EsteeNew!AD23-EsteeOld!AD23)</f>
        <v/>
      </c>
      <c r="AE23" s="65" t="str">
        <f>IF(EsteeNew!AE23-EsteeOld!AE23=0,"",EsteeNew!AE23-EsteeOld!AE23)</f>
        <v/>
      </c>
      <c r="AF23" s="65" t="str">
        <f>IF(EsteeNew!AF23-EsteeOld!AF23=0,"",EsteeNew!AF23-EsteeOld!AF23)</f>
        <v/>
      </c>
      <c r="AG23" s="65" t="str">
        <f>IF(EsteeNew!AG23-EsteeOld!AG23=0,"",EsteeNew!AG23-EsteeOld!AG23)</f>
        <v/>
      </c>
      <c r="AH23" s="65" t="str">
        <f>IF(EsteeNew!AH23-EsteeOld!AH23=0,"",EsteeNew!AH23-EsteeOld!AH23)</f>
        <v/>
      </c>
      <c r="AI23" s="65" t="str">
        <f>IF(EsteeNew!AI23-EsteeOld!AI23=0,"",EsteeNew!AI23-EsteeOld!AI23)</f>
        <v/>
      </c>
      <c r="AJ23" s="65" t="str">
        <f>IF(EsteeNew!AJ23-EsteeOld!AJ23=0,"",EsteeNew!AJ23-EsteeOld!AJ23)</f>
        <v/>
      </c>
      <c r="AK23" s="65" t="str">
        <f>IF(EsteeNew!AK23-EsteeOld!AK23=0,"",EsteeNew!AK23-EsteeOld!AK23)</f>
        <v/>
      </c>
      <c r="AL23" s="65" t="str">
        <f>IF(EsteeNew!AL23-EsteeOld!AL23=0,"",EsteeNew!AL23-EsteeOld!AL23)</f>
        <v/>
      </c>
      <c r="AM23" s="65" t="str">
        <f>IF(EsteeNew!AM23-EsteeOld!AM23=0,"",EsteeNew!AM23-EsteeOld!AM23)</f>
        <v/>
      </c>
      <c r="AN23" s="65" t="str">
        <f>IF(EsteeNew!AN23-EsteeOld!AN23=0,"",EsteeNew!AN23-EsteeOld!AN23)</f>
        <v/>
      </c>
      <c r="AO23" s="65" t="str">
        <f>IF(EsteeNew!AO23-EsteeOld!AO23=0,"",EsteeNew!AO23-EsteeOld!AO23)</f>
        <v/>
      </c>
      <c r="AP23" s="65" t="str">
        <f>IF(EsteeNew!AP23-EsteeOld!AP23=0,"",EsteeNew!AP23-EsteeOld!AP23)</f>
        <v/>
      </c>
      <c r="AQ23" s="65" t="str">
        <f>IF(EsteeNew!AQ23-EsteeOld!AQ23=0,"",EsteeNew!AQ23-EsteeOld!AQ23)</f>
        <v/>
      </c>
      <c r="AR23" s="65" t="str">
        <f>IF(EsteeNew!AR23-EsteeOld!AR23=0,"",EsteeNew!AR23-EsteeOld!AR23)</f>
        <v/>
      </c>
      <c r="AS23" s="65" t="str">
        <f>IF(EsteeNew!AS23-EsteeOld!AS23=0,"",EsteeNew!AS23-EsteeOld!AS23)</f>
        <v/>
      </c>
      <c r="AT23" s="65" t="str">
        <f>IF(EsteeNew!AT23-EsteeOld!AT23=0,"",EsteeNew!AT23-EsteeOld!AT23)</f>
        <v/>
      </c>
      <c r="AU23" s="65" t="str">
        <f>IF(EsteeNew!AU23-EsteeOld!AU23=0,"",EsteeNew!AU23-EsteeOld!AU23)</f>
        <v/>
      </c>
      <c r="AV23" s="65" t="str">
        <f>IF(EsteeNew!AV23-EsteeOld!AV23=0,"",EsteeNew!AV23-EsteeOld!AV23)</f>
        <v/>
      </c>
      <c r="AW23" s="65" t="str">
        <f>IF(EsteeNew!AW23-EsteeOld!AW23=0,"",EsteeNew!AW23-EsteeOld!AW23)</f>
        <v/>
      </c>
      <c r="AX23" s="65" t="str">
        <f>IF(EsteeNew!AX23-EsteeOld!AX23=0,"",EsteeNew!AX23-EsteeOld!AX23)</f>
        <v/>
      </c>
      <c r="AY23" s="65" t="str">
        <f>IF(EsteeNew!AY23-EsteeOld!AY23=0,"",EsteeNew!AY23-EsteeOld!AY23)</f>
        <v/>
      </c>
      <c r="AZ23" s="65" t="str">
        <f>IF(EsteeNew!AZ23-EsteeOld!AZ23=0,"",EsteeNew!AZ23-EsteeOld!AZ23)</f>
        <v/>
      </c>
      <c r="BA23" s="65" t="str">
        <f>IF(EsteeNew!BA23-EsteeOld!BA23=0,"",EsteeNew!BA23-EsteeOld!BA23)</f>
        <v/>
      </c>
      <c r="BB23" s="65" t="str">
        <f>IF(EsteeNew!BB23-EsteeOld!BB23=0,"",EsteeNew!BB23-EsteeOld!BB23)</f>
        <v/>
      </c>
      <c r="BC23" s="65" t="str">
        <f>IF(EsteeNew!BC23-EsteeOld!BC23=0,"",EsteeNew!BC23-EsteeOld!BC23)</f>
        <v/>
      </c>
      <c r="BD23" s="65" t="str">
        <f>IF(EsteeNew!BD23-EsteeOld!BD23=0,"",EsteeNew!BD23-EsteeOld!BD23)</f>
        <v/>
      </c>
    </row>
    <row r="24" spans="3:56" x14ac:dyDescent="0.25">
      <c r="C24" s="48"/>
      <c r="D24" s="49" t="s">
        <v>40</v>
      </c>
      <c r="E24" s="65" t="str">
        <f>IF(EsteeNew!E24-EsteeOld!E24=0,"",EsteeNew!E24-EsteeOld!E24)</f>
        <v/>
      </c>
      <c r="F24" s="65" t="str">
        <f>IF(EsteeNew!F24-EsteeOld!F24=0,"",EsteeNew!F24-EsteeOld!F24)</f>
        <v/>
      </c>
      <c r="G24" s="65" t="str">
        <f>IF(EsteeNew!G24-EsteeOld!G24=0,"",EsteeNew!G24-EsteeOld!G24)</f>
        <v/>
      </c>
      <c r="H24" s="65" t="str">
        <f>IF(EsteeNew!H24-EsteeOld!H24=0,"",EsteeNew!H24-EsteeOld!H24)</f>
        <v/>
      </c>
      <c r="I24" s="65" t="str">
        <f>IF(EsteeNew!I24-EsteeOld!I24=0,"",EsteeNew!I24-EsteeOld!I24)</f>
        <v/>
      </c>
      <c r="J24" s="65" t="str">
        <f>IF(EsteeNew!J24-EsteeOld!J24=0,"",EsteeNew!J24-EsteeOld!J24)</f>
        <v/>
      </c>
      <c r="K24" s="65" t="str">
        <f>IF(EsteeNew!K24-EsteeOld!K24=0,"",EsteeNew!K24-EsteeOld!K24)</f>
        <v/>
      </c>
      <c r="L24" s="65" t="str">
        <f>IF(EsteeNew!L24-EsteeOld!L24=0,"",EsteeNew!L24-EsteeOld!L24)</f>
        <v/>
      </c>
      <c r="M24" s="65" t="str">
        <f>IF(EsteeNew!M24-EsteeOld!M24=0,"",EsteeNew!M24-EsteeOld!M24)</f>
        <v/>
      </c>
      <c r="N24" s="65" t="str">
        <f>IF(EsteeNew!N24-EsteeOld!N24=0,"",EsteeNew!N24-EsteeOld!N24)</f>
        <v/>
      </c>
      <c r="O24" s="65" t="str">
        <f>IF(EsteeNew!O24-EsteeOld!O24=0,"",EsteeNew!O24-EsteeOld!O24)</f>
        <v/>
      </c>
      <c r="P24" s="65" t="str">
        <f>IF(EsteeNew!P24-EsteeOld!P24=0,"",EsteeNew!P24-EsteeOld!P24)</f>
        <v/>
      </c>
      <c r="Q24" s="65" t="str">
        <f>IF(EsteeNew!Q24-EsteeOld!Q24=0,"",EsteeNew!Q24-EsteeOld!Q24)</f>
        <v/>
      </c>
      <c r="R24" s="65" t="str">
        <f>IF(EsteeNew!R24-EsteeOld!R24=0,"",EsteeNew!R24-EsteeOld!R24)</f>
        <v/>
      </c>
      <c r="S24" s="65" t="str">
        <f>IF(EsteeNew!S24-EsteeOld!S24=0,"",EsteeNew!S24-EsteeOld!S24)</f>
        <v/>
      </c>
      <c r="T24" s="65" t="str">
        <f>IF(EsteeNew!T24-EsteeOld!T24=0,"",EsteeNew!T24-EsteeOld!T24)</f>
        <v/>
      </c>
      <c r="U24" s="65" t="str">
        <f>IF(EsteeNew!U24-EsteeOld!U24=0,"",EsteeNew!U24-EsteeOld!U24)</f>
        <v/>
      </c>
      <c r="V24" s="65" t="str">
        <f>IF(EsteeNew!V24-EsteeOld!V24=0,"",EsteeNew!V24-EsteeOld!V24)</f>
        <v/>
      </c>
      <c r="W24" s="65" t="str">
        <f>IF(EsteeNew!W24-EsteeOld!W24=0,"",EsteeNew!W24-EsteeOld!W24)</f>
        <v/>
      </c>
      <c r="X24" s="65" t="str">
        <f>IF(EsteeNew!X24-EsteeOld!X24=0,"",EsteeNew!X24-EsteeOld!X24)</f>
        <v/>
      </c>
      <c r="Y24" s="65" t="str">
        <f>IF(EsteeNew!Y24-EsteeOld!Y24=0,"",EsteeNew!Y24-EsteeOld!Y24)</f>
        <v/>
      </c>
      <c r="Z24" s="65" t="str">
        <f>IF(EsteeNew!Z24-EsteeOld!Z24=0,"",EsteeNew!Z24-EsteeOld!Z24)</f>
        <v/>
      </c>
      <c r="AA24" s="65" t="str">
        <f>IF(EsteeNew!AA24-EsteeOld!AA24=0,"",EsteeNew!AA24-EsteeOld!AA24)</f>
        <v/>
      </c>
      <c r="AB24" s="65" t="str">
        <f>IF(EsteeNew!AB24-EsteeOld!AB24=0,"",EsteeNew!AB24-EsteeOld!AB24)</f>
        <v/>
      </c>
      <c r="AC24" s="65" t="str">
        <f>IF(EsteeNew!AC24-EsteeOld!AC24=0,"",EsteeNew!AC24-EsteeOld!AC24)</f>
        <v/>
      </c>
      <c r="AD24" s="65" t="str">
        <f>IF(EsteeNew!AD24-EsteeOld!AD24=0,"",EsteeNew!AD24-EsteeOld!AD24)</f>
        <v/>
      </c>
      <c r="AE24" s="65" t="str">
        <f>IF(EsteeNew!AE24-EsteeOld!AE24=0,"",EsteeNew!AE24-EsteeOld!AE24)</f>
        <v/>
      </c>
      <c r="AF24" s="65" t="str">
        <f>IF(EsteeNew!AF24-EsteeOld!AF24=0,"",EsteeNew!AF24-EsteeOld!AF24)</f>
        <v/>
      </c>
      <c r="AG24" s="65" t="str">
        <f>IF(EsteeNew!AG24-EsteeOld!AG24=0,"",EsteeNew!AG24-EsteeOld!AG24)</f>
        <v/>
      </c>
      <c r="AH24" s="65" t="str">
        <f>IF(EsteeNew!AH24-EsteeOld!AH24=0,"",EsteeNew!AH24-EsteeOld!AH24)</f>
        <v/>
      </c>
      <c r="AI24" s="65" t="str">
        <f>IF(EsteeNew!AI24-EsteeOld!AI24=0,"",EsteeNew!AI24-EsteeOld!AI24)</f>
        <v/>
      </c>
      <c r="AJ24" s="65" t="str">
        <f>IF(EsteeNew!AJ24-EsteeOld!AJ24=0,"",EsteeNew!AJ24-EsteeOld!AJ24)</f>
        <v/>
      </c>
      <c r="AK24" s="65" t="str">
        <f>IF(EsteeNew!AK24-EsteeOld!AK24=0,"",EsteeNew!AK24-EsteeOld!AK24)</f>
        <v/>
      </c>
      <c r="AL24" s="65" t="str">
        <f>IF(EsteeNew!AL24-EsteeOld!AL24=0,"",EsteeNew!AL24-EsteeOld!AL24)</f>
        <v/>
      </c>
      <c r="AM24" s="65" t="str">
        <f>IF(EsteeNew!AM24-EsteeOld!AM24=0,"",EsteeNew!AM24-EsteeOld!AM24)</f>
        <v/>
      </c>
      <c r="AN24" s="65" t="str">
        <f>IF(EsteeNew!AN24-EsteeOld!AN24=0,"",EsteeNew!AN24-EsteeOld!AN24)</f>
        <v/>
      </c>
      <c r="AO24" s="65" t="str">
        <f>IF(EsteeNew!AO24-EsteeOld!AO24=0,"",EsteeNew!AO24-EsteeOld!AO24)</f>
        <v/>
      </c>
      <c r="AP24" s="65" t="str">
        <f>IF(EsteeNew!AP24-EsteeOld!AP24=0,"",EsteeNew!AP24-EsteeOld!AP24)</f>
        <v/>
      </c>
      <c r="AQ24" s="65" t="str">
        <f>IF(EsteeNew!AQ24-EsteeOld!AQ24=0,"",EsteeNew!AQ24-EsteeOld!AQ24)</f>
        <v/>
      </c>
      <c r="AR24" s="65" t="str">
        <f>IF(EsteeNew!AR24-EsteeOld!AR24=0,"",EsteeNew!AR24-EsteeOld!AR24)</f>
        <v/>
      </c>
      <c r="AS24" s="65" t="str">
        <f>IF(EsteeNew!AS24-EsteeOld!AS24=0,"",EsteeNew!AS24-EsteeOld!AS24)</f>
        <v/>
      </c>
      <c r="AT24" s="65" t="str">
        <f>IF(EsteeNew!AT24-EsteeOld!AT24=0,"",EsteeNew!AT24-EsteeOld!AT24)</f>
        <v/>
      </c>
      <c r="AU24" s="65" t="str">
        <f>IF(EsteeNew!AU24-EsteeOld!AU24=0,"",EsteeNew!AU24-EsteeOld!AU24)</f>
        <v/>
      </c>
      <c r="AV24" s="65" t="str">
        <f>IF(EsteeNew!AV24-EsteeOld!AV24=0,"",EsteeNew!AV24-EsteeOld!AV24)</f>
        <v/>
      </c>
      <c r="AW24" s="65" t="str">
        <f>IF(EsteeNew!AW24-EsteeOld!AW24=0,"",EsteeNew!AW24-EsteeOld!AW24)</f>
        <v/>
      </c>
      <c r="AX24" s="65" t="str">
        <f>IF(EsteeNew!AX24-EsteeOld!AX24=0,"",EsteeNew!AX24-EsteeOld!AX24)</f>
        <v/>
      </c>
      <c r="AY24" s="65" t="str">
        <f>IF(EsteeNew!AY24-EsteeOld!AY24=0,"",EsteeNew!AY24-EsteeOld!AY24)</f>
        <v/>
      </c>
      <c r="AZ24" s="65" t="str">
        <f>IF(EsteeNew!AZ24-EsteeOld!AZ24=0,"",EsteeNew!AZ24-EsteeOld!AZ24)</f>
        <v/>
      </c>
      <c r="BA24" s="65" t="str">
        <f>IF(EsteeNew!BA24-EsteeOld!BA24=0,"",EsteeNew!BA24-EsteeOld!BA24)</f>
        <v/>
      </c>
      <c r="BB24" s="65" t="str">
        <f>IF(EsteeNew!BB24-EsteeOld!BB24=0,"",EsteeNew!BB24-EsteeOld!BB24)</f>
        <v/>
      </c>
      <c r="BC24" s="65" t="str">
        <f>IF(EsteeNew!BC24-EsteeOld!BC24=0,"",EsteeNew!BC24-EsteeOld!BC24)</f>
        <v/>
      </c>
      <c r="BD24" s="65" t="str">
        <f>IF(EsteeNew!BD24-EsteeOld!BD24=0,"",EsteeNew!BD24-EsteeOld!BD24)</f>
        <v/>
      </c>
    </row>
    <row r="25" spans="3:56" x14ac:dyDescent="0.25">
      <c r="C25" s="48"/>
      <c r="D25" s="50" t="s">
        <v>41</v>
      </c>
      <c r="E25" s="66" t="str">
        <f>IFERROR((SUM(E18:E24)*E27)/((40*(1-E26)+40)),"")</f>
        <v/>
      </c>
      <c r="F25" s="66" t="str">
        <f t="shared" ref="F25:BD25" si="1">IFERROR((SUM(F18:F24)*F27)/((40*(1-F26)+40)),"")</f>
        <v/>
      </c>
      <c r="G25" s="66" t="str">
        <f t="shared" si="1"/>
        <v/>
      </c>
      <c r="H25" s="66" t="str">
        <f t="shared" si="1"/>
        <v/>
      </c>
      <c r="I25" s="66" t="str">
        <f t="shared" si="1"/>
        <v/>
      </c>
      <c r="J25" s="66" t="str">
        <f t="shared" si="1"/>
        <v/>
      </c>
      <c r="K25" s="66" t="str">
        <f t="shared" si="1"/>
        <v/>
      </c>
      <c r="L25" s="66" t="str">
        <f t="shared" si="1"/>
        <v/>
      </c>
      <c r="M25" s="66" t="str">
        <f t="shared" si="1"/>
        <v/>
      </c>
      <c r="N25" s="66" t="str">
        <f t="shared" si="1"/>
        <v/>
      </c>
      <c r="O25" s="66" t="str">
        <f t="shared" si="1"/>
        <v/>
      </c>
      <c r="P25" s="66" t="str">
        <f t="shared" si="1"/>
        <v/>
      </c>
      <c r="Q25" s="66" t="str">
        <f t="shared" si="1"/>
        <v/>
      </c>
      <c r="R25" s="66" t="str">
        <f t="shared" si="1"/>
        <v/>
      </c>
      <c r="S25" s="66" t="str">
        <f t="shared" si="1"/>
        <v/>
      </c>
      <c r="T25" s="66" t="str">
        <f t="shared" si="1"/>
        <v/>
      </c>
      <c r="U25" s="66" t="str">
        <f t="shared" si="1"/>
        <v/>
      </c>
      <c r="V25" s="66" t="str">
        <f t="shared" si="1"/>
        <v/>
      </c>
      <c r="W25" s="66" t="str">
        <f t="shared" si="1"/>
        <v/>
      </c>
      <c r="X25" s="66" t="str">
        <f t="shared" si="1"/>
        <v/>
      </c>
      <c r="Y25" s="66" t="str">
        <f t="shared" si="1"/>
        <v/>
      </c>
      <c r="Z25" s="66" t="str">
        <f t="shared" si="1"/>
        <v/>
      </c>
      <c r="AA25" s="66" t="str">
        <f t="shared" si="1"/>
        <v/>
      </c>
      <c r="AB25" s="66" t="str">
        <f t="shared" si="1"/>
        <v/>
      </c>
      <c r="AC25" s="66" t="str">
        <f t="shared" si="1"/>
        <v/>
      </c>
      <c r="AD25" s="66" t="str">
        <f t="shared" si="1"/>
        <v/>
      </c>
      <c r="AE25" s="66" t="str">
        <f t="shared" si="1"/>
        <v/>
      </c>
      <c r="AF25" s="66" t="str">
        <f t="shared" si="1"/>
        <v/>
      </c>
      <c r="AG25" s="66" t="str">
        <f t="shared" si="1"/>
        <v/>
      </c>
      <c r="AH25" s="66" t="str">
        <f t="shared" si="1"/>
        <v/>
      </c>
      <c r="AI25" s="66" t="str">
        <f t="shared" si="1"/>
        <v/>
      </c>
      <c r="AJ25" s="66" t="str">
        <f t="shared" si="1"/>
        <v/>
      </c>
      <c r="AK25" s="66" t="str">
        <f t="shared" si="1"/>
        <v/>
      </c>
      <c r="AL25" s="66" t="str">
        <f t="shared" si="1"/>
        <v/>
      </c>
      <c r="AM25" s="66" t="str">
        <f t="shared" si="1"/>
        <v/>
      </c>
      <c r="AN25" s="66" t="str">
        <f t="shared" si="1"/>
        <v/>
      </c>
      <c r="AO25" s="66" t="str">
        <f t="shared" si="1"/>
        <v/>
      </c>
      <c r="AP25" s="66" t="str">
        <f t="shared" si="1"/>
        <v/>
      </c>
      <c r="AQ25" s="66" t="str">
        <f t="shared" si="1"/>
        <v/>
      </c>
      <c r="AR25" s="66" t="str">
        <f t="shared" si="1"/>
        <v/>
      </c>
      <c r="AS25" s="66" t="str">
        <f t="shared" si="1"/>
        <v/>
      </c>
      <c r="AT25" s="66" t="str">
        <f t="shared" si="1"/>
        <v/>
      </c>
      <c r="AU25" s="66" t="str">
        <f t="shared" si="1"/>
        <v/>
      </c>
      <c r="AV25" s="66" t="str">
        <f t="shared" si="1"/>
        <v/>
      </c>
      <c r="AW25" s="66" t="str">
        <f t="shared" si="1"/>
        <v/>
      </c>
      <c r="AX25" s="66" t="str">
        <f t="shared" si="1"/>
        <v/>
      </c>
      <c r="AY25" s="66" t="str">
        <f t="shared" si="1"/>
        <v/>
      </c>
      <c r="AZ25" s="66" t="str">
        <f t="shared" si="1"/>
        <v/>
      </c>
      <c r="BA25" s="66" t="str">
        <f t="shared" si="1"/>
        <v/>
      </c>
      <c r="BB25" s="66" t="str">
        <f t="shared" si="1"/>
        <v/>
      </c>
      <c r="BC25" s="66" t="str">
        <f t="shared" si="1"/>
        <v/>
      </c>
      <c r="BD25" s="66" t="str">
        <f t="shared" si="1"/>
        <v/>
      </c>
    </row>
    <row r="26" spans="3:56" x14ac:dyDescent="0.25">
      <c r="C26" s="48"/>
      <c r="D26" s="50" t="s">
        <v>42</v>
      </c>
      <c r="E26" s="67" t="str">
        <f>IF(EsteeNew!E26-EsteeOld!E26=0,"",EsteeNew!E26-EsteeOld!E26)</f>
        <v/>
      </c>
      <c r="F26" s="67" t="str">
        <f>IF(EsteeNew!F26-EsteeOld!F26=0,"",EsteeNew!F26-EsteeOld!F26)</f>
        <v/>
      </c>
      <c r="G26" s="67" t="str">
        <f>IF(EsteeNew!G26-EsteeOld!G26=0,"",EsteeNew!G26-EsteeOld!G26)</f>
        <v/>
      </c>
      <c r="H26" s="67" t="str">
        <f>IF(EsteeNew!H26-EsteeOld!H26=0,"",EsteeNew!H26-EsteeOld!H26)</f>
        <v/>
      </c>
      <c r="I26" s="67" t="str">
        <f>IF(EsteeNew!I26-EsteeOld!I26=0,"",EsteeNew!I26-EsteeOld!I26)</f>
        <v/>
      </c>
      <c r="J26" s="67" t="str">
        <f>IF(EsteeNew!J26-EsteeOld!J26=0,"",EsteeNew!J26-EsteeOld!J26)</f>
        <v/>
      </c>
      <c r="K26" s="67" t="str">
        <f>IF(EsteeNew!K26-EsteeOld!K26=0,"",EsteeNew!K26-EsteeOld!K26)</f>
        <v/>
      </c>
      <c r="L26" s="67" t="str">
        <f>IF(EsteeNew!L26-EsteeOld!L26=0,"",EsteeNew!L26-EsteeOld!L26)</f>
        <v/>
      </c>
      <c r="M26" s="67" t="str">
        <f>IF(EsteeNew!M26-EsteeOld!M26=0,"",EsteeNew!M26-EsteeOld!M26)</f>
        <v/>
      </c>
      <c r="N26" s="67" t="str">
        <f>IF(EsteeNew!N26-EsteeOld!N26=0,"",EsteeNew!N26-EsteeOld!N26)</f>
        <v/>
      </c>
      <c r="O26" s="67" t="str">
        <f>IF(EsteeNew!O26-EsteeOld!O26=0,"",EsteeNew!O26-EsteeOld!O26)</f>
        <v/>
      </c>
      <c r="P26" s="67" t="str">
        <f>IF(EsteeNew!P26-EsteeOld!P26=0,"",EsteeNew!P26-EsteeOld!P26)</f>
        <v/>
      </c>
      <c r="Q26" s="67" t="str">
        <f>IF(EsteeNew!Q26-EsteeOld!Q26=0,"",EsteeNew!Q26-EsteeOld!Q26)</f>
        <v/>
      </c>
      <c r="R26" s="67" t="str">
        <f>IF(EsteeNew!R26-EsteeOld!R26=0,"",EsteeNew!R26-EsteeOld!R26)</f>
        <v/>
      </c>
      <c r="S26" s="67" t="str">
        <f>IF(EsteeNew!S26-EsteeOld!S26=0,"",EsteeNew!S26-EsteeOld!S26)</f>
        <v/>
      </c>
      <c r="T26" s="67" t="str">
        <f>IF(EsteeNew!T26-EsteeOld!T26=0,"",EsteeNew!T26-EsteeOld!T26)</f>
        <v/>
      </c>
      <c r="U26" s="67" t="str">
        <f>IF(EsteeNew!U26-EsteeOld!U26=0,"",EsteeNew!U26-EsteeOld!U26)</f>
        <v/>
      </c>
      <c r="V26" s="67" t="str">
        <f>IF(EsteeNew!V26-EsteeOld!V26=0,"",EsteeNew!V26-EsteeOld!V26)</f>
        <v/>
      </c>
      <c r="W26" s="67" t="str">
        <f>IF(EsteeNew!W26-EsteeOld!W26=0,"",EsteeNew!W26-EsteeOld!W26)</f>
        <v/>
      </c>
      <c r="X26" s="67" t="str">
        <f>IF(EsteeNew!X26-EsteeOld!X26=0,"",EsteeNew!X26-EsteeOld!X26)</f>
        <v/>
      </c>
      <c r="Y26" s="67" t="str">
        <f>IF(EsteeNew!Y26-EsteeOld!Y26=0,"",EsteeNew!Y26-EsteeOld!Y26)</f>
        <v/>
      </c>
      <c r="Z26" s="67" t="str">
        <f>IF(EsteeNew!Z26-EsteeOld!Z26=0,"",EsteeNew!Z26-EsteeOld!Z26)</f>
        <v/>
      </c>
      <c r="AA26" s="67" t="str">
        <f>IF(EsteeNew!AA26-EsteeOld!AA26=0,"",EsteeNew!AA26-EsteeOld!AA26)</f>
        <v/>
      </c>
      <c r="AB26" s="67" t="str">
        <f>IF(EsteeNew!AB26-EsteeOld!AB26=0,"",EsteeNew!AB26-EsteeOld!AB26)</f>
        <v/>
      </c>
      <c r="AC26" s="67" t="str">
        <f>IF(EsteeNew!AC26-EsteeOld!AC26=0,"",EsteeNew!AC26-EsteeOld!AC26)</f>
        <v/>
      </c>
      <c r="AD26" s="67" t="str">
        <f>IF(EsteeNew!AD26-EsteeOld!AD26=0,"",EsteeNew!AD26-EsteeOld!AD26)</f>
        <v/>
      </c>
      <c r="AE26" s="67" t="str">
        <f>IF(EsteeNew!AE26-EsteeOld!AE26=0,"",EsteeNew!AE26-EsteeOld!AE26)</f>
        <v/>
      </c>
      <c r="AF26" s="67" t="str">
        <f>IF(EsteeNew!AF26-EsteeOld!AF26=0,"",EsteeNew!AF26-EsteeOld!AF26)</f>
        <v/>
      </c>
      <c r="AG26" s="67" t="str">
        <f>IF(EsteeNew!AG26-EsteeOld!AG26=0,"",EsteeNew!AG26-EsteeOld!AG26)</f>
        <v/>
      </c>
      <c r="AH26" s="67" t="str">
        <f>IF(EsteeNew!AH26-EsteeOld!AH26=0,"",EsteeNew!AH26-EsteeOld!AH26)</f>
        <v/>
      </c>
      <c r="AI26" s="67" t="str">
        <f>IF(EsteeNew!AI26-EsteeOld!AI26=0,"",EsteeNew!AI26-EsteeOld!AI26)</f>
        <v/>
      </c>
      <c r="AJ26" s="67" t="str">
        <f>IF(EsteeNew!AJ26-EsteeOld!AJ26=0,"",EsteeNew!AJ26-EsteeOld!AJ26)</f>
        <v/>
      </c>
      <c r="AK26" s="67" t="str">
        <f>IF(EsteeNew!AK26-EsteeOld!AK26=0,"",EsteeNew!AK26-EsteeOld!AK26)</f>
        <v/>
      </c>
      <c r="AL26" s="67" t="str">
        <f>IF(EsteeNew!AL26-EsteeOld!AL26=0,"",EsteeNew!AL26-EsteeOld!AL26)</f>
        <v/>
      </c>
      <c r="AM26" s="67" t="str">
        <f>IF(EsteeNew!AM26-EsteeOld!AM26=0,"",EsteeNew!AM26-EsteeOld!AM26)</f>
        <v/>
      </c>
      <c r="AN26" s="67" t="str">
        <f>IF(EsteeNew!AN26-EsteeOld!AN26=0,"",EsteeNew!AN26-EsteeOld!AN26)</f>
        <v/>
      </c>
      <c r="AO26" s="67" t="str">
        <f>IF(EsteeNew!AO26-EsteeOld!AO26=0,"",EsteeNew!AO26-EsteeOld!AO26)</f>
        <v/>
      </c>
      <c r="AP26" s="67" t="str">
        <f>IF(EsteeNew!AP26-EsteeOld!AP26=0,"",EsteeNew!AP26-EsteeOld!AP26)</f>
        <v/>
      </c>
      <c r="AQ26" s="67" t="str">
        <f>IF(EsteeNew!AQ26-EsteeOld!AQ26=0,"",EsteeNew!AQ26-EsteeOld!AQ26)</f>
        <v/>
      </c>
      <c r="AR26" s="67" t="str">
        <f>IF(EsteeNew!AR26-EsteeOld!AR26=0,"",EsteeNew!AR26-EsteeOld!AR26)</f>
        <v/>
      </c>
      <c r="AS26" s="67" t="str">
        <f>IF(EsteeNew!AS26-EsteeOld!AS26=0,"",EsteeNew!AS26-EsteeOld!AS26)</f>
        <v/>
      </c>
      <c r="AT26" s="67" t="str">
        <f>IF(EsteeNew!AT26-EsteeOld!AT26=0,"",EsteeNew!AT26-EsteeOld!AT26)</f>
        <v/>
      </c>
      <c r="AU26" s="67" t="str">
        <f>IF(EsteeNew!AU26-EsteeOld!AU26=0,"",EsteeNew!AU26-EsteeOld!AU26)</f>
        <v/>
      </c>
      <c r="AV26" s="67" t="str">
        <f>IF(EsteeNew!AV26-EsteeOld!AV26=0,"",EsteeNew!AV26-EsteeOld!AV26)</f>
        <v/>
      </c>
      <c r="AW26" s="67" t="str">
        <f>IF(EsteeNew!AW26-EsteeOld!AW26=0,"",EsteeNew!AW26-EsteeOld!AW26)</f>
        <v/>
      </c>
      <c r="AX26" s="67" t="str">
        <f>IF(EsteeNew!AX26-EsteeOld!AX26=0,"",EsteeNew!AX26-EsteeOld!AX26)</f>
        <v/>
      </c>
      <c r="AY26" s="67" t="str">
        <f>IF(EsteeNew!AY26-EsteeOld!AY26=0,"",EsteeNew!AY26-EsteeOld!AY26)</f>
        <v/>
      </c>
      <c r="AZ26" s="67" t="str">
        <f>IF(EsteeNew!AZ26-EsteeOld!AZ26=0,"",EsteeNew!AZ26-EsteeOld!AZ26)</f>
        <v/>
      </c>
      <c r="BA26" s="67" t="str">
        <f>IF(EsteeNew!BA26-EsteeOld!BA26=0,"",EsteeNew!BA26-EsteeOld!BA26)</f>
        <v/>
      </c>
      <c r="BB26" s="67" t="str">
        <f>IF(EsteeNew!BB26-EsteeOld!BB26=0,"",EsteeNew!BB26-EsteeOld!BB26)</f>
        <v/>
      </c>
      <c r="BC26" s="67" t="str">
        <f>IF(EsteeNew!BC26-EsteeOld!BC26=0,"",EsteeNew!BC26-EsteeOld!BC26)</f>
        <v/>
      </c>
      <c r="BD26" s="67" t="str">
        <f>IF(EsteeNew!BD26-EsteeOld!BD26=0,"",EsteeNew!BD26-EsteeOld!BD26)</f>
        <v/>
      </c>
    </row>
    <row r="27" spans="3:56" x14ac:dyDescent="0.25">
      <c r="C27" s="48"/>
      <c r="D27" s="50" t="s">
        <v>43</v>
      </c>
      <c r="E27" s="65" t="str">
        <f>IF(EsteeNew!E27-EsteeOld!E27=0,"",EsteeNew!E27-EsteeOld!E27)</f>
        <v/>
      </c>
      <c r="F27" s="65" t="str">
        <f>IF(EsteeNew!F27-EsteeOld!F27=0,"",EsteeNew!F27-EsteeOld!F27)</f>
        <v/>
      </c>
      <c r="G27" s="65" t="str">
        <f>IF(EsteeNew!G27-EsteeOld!G27=0,"",EsteeNew!G27-EsteeOld!G27)</f>
        <v/>
      </c>
      <c r="H27" s="65" t="str">
        <f>IF(EsteeNew!H27-EsteeOld!H27=0,"",EsteeNew!H27-EsteeOld!H27)</f>
        <v/>
      </c>
      <c r="I27" s="65" t="str">
        <f>IF(EsteeNew!I27-EsteeOld!I27=0,"",EsteeNew!I27-EsteeOld!I27)</f>
        <v/>
      </c>
      <c r="J27" s="65" t="str">
        <f>IF(EsteeNew!J27-EsteeOld!J27=0,"",EsteeNew!J27-EsteeOld!J27)</f>
        <v/>
      </c>
      <c r="K27" s="65" t="str">
        <f>IF(EsteeNew!K27-EsteeOld!K27=0,"",EsteeNew!K27-EsteeOld!K27)</f>
        <v/>
      </c>
      <c r="L27" s="65" t="str">
        <f>IF(EsteeNew!L27-EsteeOld!L27=0,"",EsteeNew!L27-EsteeOld!L27)</f>
        <v/>
      </c>
      <c r="M27" s="65" t="str">
        <f>IF(EsteeNew!M27-EsteeOld!M27=0,"",EsteeNew!M27-EsteeOld!M27)</f>
        <v/>
      </c>
      <c r="N27" s="65" t="str">
        <f>IF(EsteeNew!N27-EsteeOld!N27=0,"",EsteeNew!N27-EsteeOld!N27)</f>
        <v/>
      </c>
      <c r="O27" s="65" t="str">
        <f>IF(EsteeNew!O27-EsteeOld!O27=0,"",EsteeNew!O27-EsteeOld!O27)</f>
        <v/>
      </c>
      <c r="P27" s="65" t="str">
        <f>IF(EsteeNew!P27-EsteeOld!P27=0,"",EsteeNew!P27-EsteeOld!P27)</f>
        <v/>
      </c>
      <c r="Q27" s="65" t="str">
        <f>IF(EsteeNew!Q27-EsteeOld!Q27=0,"",EsteeNew!Q27-EsteeOld!Q27)</f>
        <v/>
      </c>
      <c r="R27" s="65" t="str">
        <f>IF(EsteeNew!R27-EsteeOld!R27=0,"",EsteeNew!R27-EsteeOld!R27)</f>
        <v/>
      </c>
      <c r="S27" s="65" t="str">
        <f>IF(EsteeNew!S27-EsteeOld!S27=0,"",EsteeNew!S27-EsteeOld!S27)</f>
        <v/>
      </c>
      <c r="T27" s="65" t="str">
        <f>IF(EsteeNew!T27-EsteeOld!T27=0,"",EsteeNew!T27-EsteeOld!T27)</f>
        <v/>
      </c>
      <c r="U27" s="65" t="str">
        <f>IF(EsteeNew!U27-EsteeOld!U27=0,"",EsteeNew!U27-EsteeOld!U27)</f>
        <v/>
      </c>
      <c r="V27" s="65" t="str">
        <f>IF(EsteeNew!V27-EsteeOld!V27=0,"",EsteeNew!V27-EsteeOld!V27)</f>
        <v/>
      </c>
      <c r="W27" s="65" t="str">
        <f>IF(EsteeNew!W27-EsteeOld!W27=0,"",EsteeNew!W27-EsteeOld!W27)</f>
        <v/>
      </c>
      <c r="X27" s="65" t="str">
        <f>IF(EsteeNew!X27-EsteeOld!X27=0,"",EsteeNew!X27-EsteeOld!X27)</f>
        <v/>
      </c>
      <c r="Y27" s="65" t="str">
        <f>IF(EsteeNew!Y27-EsteeOld!Y27=0,"",EsteeNew!Y27-EsteeOld!Y27)</f>
        <v/>
      </c>
      <c r="Z27" s="65" t="str">
        <f>IF(EsteeNew!Z27-EsteeOld!Z27=0,"",EsteeNew!Z27-EsteeOld!Z27)</f>
        <v/>
      </c>
      <c r="AA27" s="65" t="str">
        <f>IF(EsteeNew!AA27-EsteeOld!AA27=0,"",EsteeNew!AA27-EsteeOld!AA27)</f>
        <v/>
      </c>
      <c r="AB27" s="65" t="str">
        <f>IF(EsteeNew!AB27-EsteeOld!AB27=0,"",EsteeNew!AB27-EsteeOld!AB27)</f>
        <v/>
      </c>
      <c r="AC27" s="65" t="str">
        <f>IF(EsteeNew!AC27-EsteeOld!AC27=0,"",EsteeNew!AC27-EsteeOld!AC27)</f>
        <v/>
      </c>
      <c r="AD27" s="65" t="str">
        <f>IF(EsteeNew!AD27-EsteeOld!AD27=0,"",EsteeNew!AD27-EsteeOld!AD27)</f>
        <v/>
      </c>
      <c r="AE27" s="65" t="str">
        <f>IF(EsteeNew!AE27-EsteeOld!AE27=0,"",EsteeNew!AE27-EsteeOld!AE27)</f>
        <v/>
      </c>
      <c r="AF27" s="65" t="str">
        <f>IF(EsteeNew!AF27-EsteeOld!AF27=0,"",EsteeNew!AF27-EsteeOld!AF27)</f>
        <v/>
      </c>
      <c r="AG27" s="65" t="str">
        <f>IF(EsteeNew!AG27-EsteeOld!AG27=0,"",EsteeNew!AG27-EsteeOld!AG27)</f>
        <v/>
      </c>
      <c r="AH27" s="65" t="str">
        <f>IF(EsteeNew!AH27-EsteeOld!AH27=0,"",EsteeNew!AH27-EsteeOld!AH27)</f>
        <v/>
      </c>
      <c r="AI27" s="65" t="str">
        <f>IF(EsteeNew!AI27-EsteeOld!AI27=0,"",EsteeNew!AI27-EsteeOld!AI27)</f>
        <v/>
      </c>
      <c r="AJ27" s="65" t="str">
        <f>IF(EsteeNew!AJ27-EsteeOld!AJ27=0,"",EsteeNew!AJ27-EsteeOld!AJ27)</f>
        <v/>
      </c>
      <c r="AK27" s="65" t="str">
        <f>IF(EsteeNew!AK27-EsteeOld!AK27=0,"",EsteeNew!AK27-EsteeOld!AK27)</f>
        <v/>
      </c>
      <c r="AL27" s="65" t="str">
        <f>IF(EsteeNew!AL27-EsteeOld!AL27=0,"",EsteeNew!AL27-EsteeOld!AL27)</f>
        <v/>
      </c>
      <c r="AM27" s="65" t="str">
        <f>IF(EsteeNew!AM27-EsteeOld!AM27=0,"",EsteeNew!AM27-EsteeOld!AM27)</f>
        <v/>
      </c>
      <c r="AN27" s="65" t="str">
        <f>IF(EsteeNew!AN27-EsteeOld!AN27=0,"",EsteeNew!AN27-EsteeOld!AN27)</f>
        <v/>
      </c>
      <c r="AO27" s="65" t="str">
        <f>IF(EsteeNew!AO27-EsteeOld!AO27=0,"",EsteeNew!AO27-EsteeOld!AO27)</f>
        <v/>
      </c>
      <c r="AP27" s="65" t="str">
        <f>IF(EsteeNew!AP27-EsteeOld!AP27=0,"",EsteeNew!AP27-EsteeOld!AP27)</f>
        <v/>
      </c>
      <c r="AQ27" s="65" t="str">
        <f>IF(EsteeNew!AQ27-EsteeOld!AQ27=0,"",EsteeNew!AQ27-EsteeOld!AQ27)</f>
        <v/>
      </c>
      <c r="AR27" s="65" t="str">
        <f>IF(EsteeNew!AR27-EsteeOld!AR27=0,"",EsteeNew!AR27-EsteeOld!AR27)</f>
        <v/>
      </c>
      <c r="AS27" s="65" t="str">
        <f>IF(EsteeNew!AS27-EsteeOld!AS27=0,"",EsteeNew!AS27-EsteeOld!AS27)</f>
        <v/>
      </c>
      <c r="AT27" s="65" t="str">
        <f>IF(EsteeNew!AT27-EsteeOld!AT27=0,"",EsteeNew!AT27-EsteeOld!AT27)</f>
        <v/>
      </c>
      <c r="AU27" s="65" t="str">
        <f>IF(EsteeNew!AU27-EsteeOld!AU27=0,"",EsteeNew!AU27-EsteeOld!AU27)</f>
        <v/>
      </c>
      <c r="AV27" s="65" t="str">
        <f>IF(EsteeNew!AV27-EsteeOld!AV27=0,"",EsteeNew!AV27-EsteeOld!AV27)</f>
        <v/>
      </c>
      <c r="AW27" s="65" t="str">
        <f>IF(EsteeNew!AW27-EsteeOld!AW27=0,"",EsteeNew!AW27-EsteeOld!AW27)</f>
        <v/>
      </c>
      <c r="AX27" s="65" t="str">
        <f>IF(EsteeNew!AX27-EsteeOld!AX27=0,"",EsteeNew!AX27-EsteeOld!AX27)</f>
        <v/>
      </c>
      <c r="AY27" s="65" t="str">
        <f>IF(EsteeNew!AY27-EsteeOld!AY27=0,"",EsteeNew!AY27-EsteeOld!AY27)</f>
        <v/>
      </c>
      <c r="AZ27" s="65" t="str">
        <f>IF(EsteeNew!AZ27-EsteeOld!AZ27=0,"",EsteeNew!AZ27-EsteeOld!AZ27)</f>
        <v/>
      </c>
      <c r="BA27" s="65" t="str">
        <f>IF(EsteeNew!BA27-EsteeOld!BA27=0,"",EsteeNew!BA27-EsteeOld!BA27)</f>
        <v/>
      </c>
      <c r="BB27" s="65" t="str">
        <f>IF(EsteeNew!BB27-EsteeOld!BB27=0,"",EsteeNew!BB27-EsteeOld!BB27)</f>
        <v/>
      </c>
      <c r="BC27" s="65" t="str">
        <f>IF(EsteeNew!BC27-EsteeOld!BC27=0,"",EsteeNew!BC27-EsteeOld!BC27)</f>
        <v/>
      </c>
      <c r="BD27" s="65" t="str">
        <f>IF(EsteeNew!BD27-EsteeOld!BD27=0,"",EsteeNew!BD27-EsteeOld!BD27)</f>
        <v/>
      </c>
    </row>
    <row r="28" spans="3:56" x14ac:dyDescent="0.25">
      <c r="C28" s="48"/>
      <c r="D28" s="51" t="s">
        <v>44</v>
      </c>
      <c r="E28" s="55" t="str">
        <f>IF(SUM(E18:E25)=0,"",SUM(E18:E25))</f>
        <v/>
      </c>
      <c r="F28" s="55" t="str">
        <f t="shared" ref="F28:BD28" si="2">IF(SUM(F18:F25)=0,"",SUM(F18:F25))</f>
        <v/>
      </c>
      <c r="G28" s="55" t="str">
        <f t="shared" si="2"/>
        <v/>
      </c>
      <c r="H28" s="55" t="str">
        <f t="shared" si="2"/>
        <v/>
      </c>
      <c r="I28" s="55" t="str">
        <f t="shared" si="2"/>
        <v/>
      </c>
      <c r="J28" s="55" t="str">
        <f t="shared" si="2"/>
        <v/>
      </c>
      <c r="K28" s="55" t="str">
        <f t="shared" si="2"/>
        <v/>
      </c>
      <c r="L28" s="55" t="str">
        <f t="shared" si="2"/>
        <v/>
      </c>
      <c r="M28" s="55" t="str">
        <f t="shared" si="2"/>
        <v/>
      </c>
      <c r="N28" s="55" t="str">
        <f t="shared" si="2"/>
        <v/>
      </c>
      <c r="O28" s="55" t="str">
        <f t="shared" si="2"/>
        <v/>
      </c>
      <c r="P28" s="55" t="str">
        <f t="shared" si="2"/>
        <v/>
      </c>
      <c r="Q28" s="55" t="str">
        <f t="shared" si="2"/>
        <v/>
      </c>
      <c r="R28" s="55" t="str">
        <f t="shared" si="2"/>
        <v/>
      </c>
      <c r="S28" s="55" t="str">
        <f t="shared" si="2"/>
        <v/>
      </c>
      <c r="T28" s="55" t="str">
        <f t="shared" si="2"/>
        <v/>
      </c>
      <c r="U28" s="55" t="str">
        <f t="shared" si="2"/>
        <v/>
      </c>
      <c r="V28" s="55" t="str">
        <f t="shared" si="2"/>
        <v/>
      </c>
      <c r="W28" s="55" t="str">
        <f t="shared" si="2"/>
        <v/>
      </c>
      <c r="X28" s="55" t="str">
        <f t="shared" si="2"/>
        <v/>
      </c>
      <c r="Y28" s="55" t="str">
        <f t="shared" si="2"/>
        <v/>
      </c>
      <c r="Z28" s="55" t="str">
        <f t="shared" si="2"/>
        <v/>
      </c>
      <c r="AA28" s="55" t="str">
        <f t="shared" si="2"/>
        <v/>
      </c>
      <c r="AB28" s="55" t="str">
        <f t="shared" si="2"/>
        <v/>
      </c>
      <c r="AC28" s="55" t="str">
        <f t="shared" si="2"/>
        <v/>
      </c>
      <c r="AD28" s="55" t="str">
        <f t="shared" si="2"/>
        <v/>
      </c>
      <c r="AE28" s="55" t="str">
        <f t="shared" si="2"/>
        <v/>
      </c>
      <c r="AF28" s="55" t="str">
        <f t="shared" si="2"/>
        <v/>
      </c>
      <c r="AG28" s="55" t="str">
        <f t="shared" si="2"/>
        <v/>
      </c>
      <c r="AH28" s="55" t="str">
        <f t="shared" si="2"/>
        <v/>
      </c>
      <c r="AI28" s="55" t="str">
        <f t="shared" si="2"/>
        <v/>
      </c>
      <c r="AJ28" s="55" t="str">
        <f t="shared" si="2"/>
        <v/>
      </c>
      <c r="AK28" s="55" t="str">
        <f t="shared" si="2"/>
        <v/>
      </c>
      <c r="AL28" s="55" t="str">
        <f t="shared" si="2"/>
        <v/>
      </c>
      <c r="AM28" s="55" t="str">
        <f t="shared" si="2"/>
        <v/>
      </c>
      <c r="AN28" s="55" t="str">
        <f t="shared" si="2"/>
        <v/>
      </c>
      <c r="AO28" s="55" t="str">
        <f t="shared" si="2"/>
        <v/>
      </c>
      <c r="AP28" s="55" t="str">
        <f t="shared" si="2"/>
        <v/>
      </c>
      <c r="AQ28" s="55" t="str">
        <f t="shared" si="2"/>
        <v/>
      </c>
      <c r="AR28" s="55" t="str">
        <f t="shared" si="2"/>
        <v/>
      </c>
      <c r="AS28" s="55" t="str">
        <f t="shared" si="2"/>
        <v/>
      </c>
      <c r="AT28" s="55" t="str">
        <f t="shared" si="2"/>
        <v/>
      </c>
      <c r="AU28" s="55" t="str">
        <f t="shared" si="2"/>
        <v/>
      </c>
      <c r="AV28" s="55" t="str">
        <f t="shared" si="2"/>
        <v/>
      </c>
      <c r="AW28" s="55" t="str">
        <f t="shared" si="2"/>
        <v/>
      </c>
      <c r="AX28" s="55" t="str">
        <f t="shared" si="2"/>
        <v/>
      </c>
      <c r="AY28" s="55" t="str">
        <f t="shared" si="2"/>
        <v/>
      </c>
      <c r="AZ28" s="55" t="str">
        <f t="shared" si="2"/>
        <v/>
      </c>
      <c r="BA28" s="55" t="str">
        <f t="shared" si="2"/>
        <v/>
      </c>
      <c r="BB28" s="55" t="str">
        <f t="shared" si="2"/>
        <v/>
      </c>
      <c r="BC28" s="55" t="str">
        <f t="shared" si="2"/>
        <v/>
      </c>
      <c r="BD28" s="55" t="str">
        <f t="shared" si="2"/>
        <v/>
      </c>
    </row>
    <row r="29" spans="3:56" x14ac:dyDescent="0.25">
      <c r="C29" s="48"/>
      <c r="D29" s="52" t="s">
        <v>45</v>
      </c>
      <c r="E29" s="56" t="str">
        <f>IFERROR(E28-E7,"")</f>
        <v/>
      </c>
      <c r="F29" s="56" t="str">
        <f t="shared" ref="F29:BD29" si="3">IFERROR(F28-F7,"")</f>
        <v/>
      </c>
      <c r="G29" s="56" t="str">
        <f t="shared" si="3"/>
        <v/>
      </c>
      <c r="H29" s="56" t="str">
        <f t="shared" si="3"/>
        <v/>
      </c>
      <c r="I29" s="56" t="str">
        <f t="shared" si="3"/>
        <v/>
      </c>
      <c r="J29" s="56" t="str">
        <f t="shared" si="3"/>
        <v/>
      </c>
      <c r="K29" s="56" t="str">
        <f t="shared" si="3"/>
        <v/>
      </c>
      <c r="L29" s="56" t="str">
        <f t="shared" si="3"/>
        <v/>
      </c>
      <c r="M29" s="56" t="str">
        <f t="shared" si="3"/>
        <v/>
      </c>
      <c r="N29" s="56" t="str">
        <f t="shared" si="3"/>
        <v/>
      </c>
      <c r="O29" s="56" t="str">
        <f t="shared" si="3"/>
        <v/>
      </c>
      <c r="P29" s="56" t="str">
        <f t="shared" si="3"/>
        <v/>
      </c>
      <c r="Q29" s="56" t="str">
        <f t="shared" si="3"/>
        <v/>
      </c>
      <c r="R29" s="56" t="str">
        <f t="shared" si="3"/>
        <v/>
      </c>
      <c r="S29" s="56" t="str">
        <f t="shared" si="3"/>
        <v/>
      </c>
      <c r="T29" s="56" t="str">
        <f t="shared" si="3"/>
        <v/>
      </c>
      <c r="U29" s="56" t="str">
        <f t="shared" si="3"/>
        <v/>
      </c>
      <c r="V29" s="56" t="str">
        <f t="shared" si="3"/>
        <v/>
      </c>
      <c r="W29" s="56" t="str">
        <f t="shared" si="3"/>
        <v/>
      </c>
      <c r="X29" s="56" t="str">
        <f t="shared" si="3"/>
        <v/>
      </c>
      <c r="Y29" s="56" t="str">
        <f t="shared" si="3"/>
        <v/>
      </c>
      <c r="Z29" s="56" t="str">
        <f t="shared" si="3"/>
        <v/>
      </c>
      <c r="AA29" s="56" t="str">
        <f t="shared" si="3"/>
        <v/>
      </c>
      <c r="AB29" s="56" t="str">
        <f t="shared" si="3"/>
        <v/>
      </c>
      <c r="AC29" s="56" t="str">
        <f t="shared" si="3"/>
        <v/>
      </c>
      <c r="AD29" s="56" t="str">
        <f t="shared" si="3"/>
        <v/>
      </c>
      <c r="AE29" s="56" t="str">
        <f t="shared" si="3"/>
        <v/>
      </c>
      <c r="AF29" s="56" t="str">
        <f t="shared" si="3"/>
        <v/>
      </c>
      <c r="AG29" s="56" t="str">
        <f t="shared" si="3"/>
        <v/>
      </c>
      <c r="AH29" s="56" t="str">
        <f t="shared" si="3"/>
        <v/>
      </c>
      <c r="AI29" s="56" t="str">
        <f t="shared" si="3"/>
        <v/>
      </c>
      <c r="AJ29" s="56" t="str">
        <f t="shared" si="3"/>
        <v/>
      </c>
      <c r="AK29" s="56" t="str">
        <f t="shared" si="3"/>
        <v/>
      </c>
      <c r="AL29" s="56" t="str">
        <f t="shared" si="3"/>
        <v/>
      </c>
      <c r="AM29" s="56" t="str">
        <f t="shared" si="3"/>
        <v/>
      </c>
      <c r="AN29" s="56" t="str">
        <f t="shared" si="3"/>
        <v/>
      </c>
      <c r="AO29" s="56" t="str">
        <f t="shared" si="3"/>
        <v/>
      </c>
      <c r="AP29" s="56" t="str">
        <f t="shared" si="3"/>
        <v/>
      </c>
      <c r="AQ29" s="56" t="str">
        <f t="shared" si="3"/>
        <v/>
      </c>
      <c r="AR29" s="56" t="str">
        <f t="shared" si="3"/>
        <v/>
      </c>
      <c r="AS29" s="56" t="str">
        <f t="shared" si="3"/>
        <v/>
      </c>
      <c r="AT29" s="56" t="str">
        <f t="shared" si="3"/>
        <v/>
      </c>
      <c r="AU29" s="56" t="str">
        <f t="shared" si="3"/>
        <v/>
      </c>
      <c r="AV29" s="56" t="str">
        <f t="shared" si="3"/>
        <v/>
      </c>
      <c r="AW29" s="56" t="str">
        <f t="shared" si="3"/>
        <v/>
      </c>
      <c r="AX29" s="56" t="str">
        <f t="shared" si="3"/>
        <v/>
      </c>
      <c r="AY29" s="56" t="str">
        <f t="shared" si="3"/>
        <v/>
      </c>
      <c r="AZ29" s="56" t="str">
        <f t="shared" si="3"/>
        <v/>
      </c>
      <c r="BA29" s="56" t="str">
        <f t="shared" si="3"/>
        <v/>
      </c>
      <c r="BB29" s="56" t="str">
        <f t="shared" si="3"/>
        <v/>
      </c>
      <c r="BC29" s="56" t="str">
        <f t="shared" si="3"/>
        <v/>
      </c>
      <c r="BD29" s="56" t="str">
        <f t="shared" si="3"/>
        <v/>
      </c>
    </row>
    <row r="30" spans="3:56" x14ac:dyDescent="0.25">
      <c r="C30" s="48"/>
      <c r="D30" s="53" t="s">
        <v>46</v>
      </c>
      <c r="E30" s="56">
        <f>IFERROR(SUM(E29,LauderFTEChan!E29),"")</f>
        <v>0</v>
      </c>
      <c r="F30" s="56">
        <f>IFERROR(SUM(F29,LauderFTEChan!F29),"")</f>
        <v>0</v>
      </c>
      <c r="G30" s="56">
        <f>IFERROR(SUM(G29,LauderFTEChan!G29),"")</f>
        <v>0</v>
      </c>
      <c r="H30" s="56">
        <f>IFERROR(SUM(H29,LauderFTEChan!H29),"")</f>
        <v>0</v>
      </c>
      <c r="I30" s="56">
        <f>IFERROR(SUM(I29,LauderFTEChan!I29),"")</f>
        <v>0</v>
      </c>
      <c r="J30" s="56">
        <f>IFERROR(SUM(J29,LauderFTEChan!J29),"")</f>
        <v>0</v>
      </c>
      <c r="K30" s="56">
        <f>IFERROR(SUM(K29,LauderFTEChan!K29),"")</f>
        <v>0</v>
      </c>
      <c r="L30" s="56">
        <f>IFERROR(SUM(L29,LauderFTEChan!L29),"")</f>
        <v>0</v>
      </c>
      <c r="M30" s="56">
        <f>IFERROR(SUM(M29,LauderFTEChan!M29),"")</f>
        <v>0</v>
      </c>
      <c r="N30" s="56">
        <f>IFERROR(SUM(N29,LauderFTEChan!N29),"")</f>
        <v>0</v>
      </c>
      <c r="O30" s="56">
        <f>IFERROR(SUM(O29,LauderFTEChan!O29),"")</f>
        <v>0</v>
      </c>
      <c r="P30" s="56">
        <f>IFERROR(SUM(P29,LauderFTEChan!P29),"")</f>
        <v>0</v>
      </c>
      <c r="Q30" s="56">
        <f>IFERROR(SUM(Q29,LauderFTEChan!Q29),"")</f>
        <v>0</v>
      </c>
      <c r="R30" s="56">
        <f>IFERROR(SUM(R29,LauderFTEChan!R29),"")</f>
        <v>0</v>
      </c>
      <c r="S30" s="56">
        <f>IFERROR(SUM(S29,LauderFTEChan!S29),"")</f>
        <v>0</v>
      </c>
      <c r="T30" s="56">
        <f>IFERROR(SUM(T29,LauderFTEChan!T29),"")</f>
        <v>0</v>
      </c>
      <c r="U30" s="56">
        <f>IFERROR(SUM(U29,LauderFTEChan!U29),"")</f>
        <v>0</v>
      </c>
      <c r="V30" s="56">
        <f>IFERROR(SUM(V29,LauderFTEChan!V29),"")</f>
        <v>0</v>
      </c>
      <c r="W30" s="56">
        <f>IFERROR(SUM(W29,LauderFTEChan!W29),"")</f>
        <v>0</v>
      </c>
      <c r="X30" s="56">
        <f>IFERROR(SUM(X29,LauderFTEChan!X29),"")</f>
        <v>0</v>
      </c>
      <c r="Y30" s="56">
        <f>IFERROR(SUM(Y29,LauderFTEChan!Y29),"")</f>
        <v>0</v>
      </c>
      <c r="Z30" s="56">
        <f>IFERROR(SUM(Z29,LauderFTEChan!Z29),"")</f>
        <v>0</v>
      </c>
      <c r="AA30" s="56">
        <f>IFERROR(SUM(AA29,LauderFTEChan!AA29),"")</f>
        <v>0</v>
      </c>
      <c r="AB30" s="56">
        <f>IFERROR(SUM(AB29,LauderFTEChan!AB29),"")</f>
        <v>0</v>
      </c>
      <c r="AC30" s="56">
        <f>IFERROR(SUM(AC29,LauderFTEChan!AC29),"")</f>
        <v>0</v>
      </c>
      <c r="AD30" s="56">
        <f>IFERROR(SUM(AD29,LauderFTEChan!AD29),"")</f>
        <v>0</v>
      </c>
      <c r="AE30" s="56">
        <f>IFERROR(SUM(AE29,LauderFTEChan!AE29),"")</f>
        <v>0</v>
      </c>
      <c r="AF30" s="56">
        <f>IFERROR(SUM(AF29,LauderFTEChan!AF29),"")</f>
        <v>0</v>
      </c>
      <c r="AG30" s="56">
        <f>IFERROR(SUM(AG29,LauderFTEChan!AG29),"")</f>
        <v>0</v>
      </c>
      <c r="AH30" s="56">
        <f>IFERROR(SUM(AH29,LauderFTEChan!AH29),"")</f>
        <v>0</v>
      </c>
      <c r="AI30" s="56">
        <f>IFERROR(SUM(AI29,LauderFTEChan!AI29),"")</f>
        <v>0</v>
      </c>
      <c r="AJ30" s="56">
        <f>IFERROR(SUM(AJ29,LauderFTEChan!AJ29),"")</f>
        <v>0</v>
      </c>
      <c r="AK30" s="56">
        <f>IFERROR(SUM(AK29,LauderFTEChan!AK29),"")</f>
        <v>0</v>
      </c>
      <c r="AL30" s="56">
        <f>IFERROR(SUM(AL29,LauderFTEChan!AL29),"")</f>
        <v>0</v>
      </c>
      <c r="AM30" s="56">
        <f>IFERROR(SUM(AM29,LauderFTEChan!AM29),"")</f>
        <v>0</v>
      </c>
      <c r="AN30" s="56">
        <f>IFERROR(SUM(AN29,LauderFTEChan!AN29),"")</f>
        <v>0</v>
      </c>
      <c r="AO30" s="56">
        <f>IFERROR(SUM(AO29,LauderFTEChan!AO29),"")</f>
        <v>0</v>
      </c>
      <c r="AP30" s="56">
        <f>IFERROR(SUM(AP29,LauderFTEChan!AP29),"")</f>
        <v>0</v>
      </c>
      <c r="AQ30" s="56">
        <f>IFERROR(SUM(AQ29,LauderFTEChan!AQ29),"")</f>
        <v>0</v>
      </c>
      <c r="AR30" s="56">
        <f>IFERROR(SUM(AR29,LauderFTEChan!AR29),"")</f>
        <v>0</v>
      </c>
      <c r="AS30" s="56">
        <f>IFERROR(SUM(AS29,LauderFTEChan!AS29),"")</f>
        <v>0</v>
      </c>
      <c r="AT30" s="56">
        <f>IFERROR(SUM(AT29,LauderFTEChan!AT29),"")</f>
        <v>0</v>
      </c>
      <c r="AU30" s="56">
        <f>IFERROR(SUM(AU29,LauderFTEChan!AU29),"")</f>
        <v>0</v>
      </c>
      <c r="AV30" s="56">
        <f>IFERROR(SUM(AV29,LauderFTEChan!AV29),"")</f>
        <v>0</v>
      </c>
      <c r="AW30" s="56">
        <f>IFERROR(SUM(AW29,LauderFTEChan!AW29),"")</f>
        <v>0</v>
      </c>
      <c r="AX30" s="56">
        <f>IFERROR(SUM(AX29,LauderFTEChan!AX29),"")</f>
        <v>0</v>
      </c>
      <c r="AY30" s="56">
        <f>IFERROR(SUM(AY29,LauderFTEChan!AY29),"")</f>
        <v>0</v>
      </c>
      <c r="AZ30" s="56">
        <f>IFERROR(SUM(AZ29,LauderFTEChan!AZ29),"")</f>
        <v>0</v>
      </c>
      <c r="BA30" s="56">
        <f>IFERROR(SUM(BA29,LauderFTEChan!BA29),"")</f>
        <v>0</v>
      </c>
      <c r="BB30" s="56">
        <f>IFERROR(SUM(BB29,LauderFTEChan!BB29),"")</f>
        <v>0</v>
      </c>
      <c r="BC30" s="56">
        <f>IFERROR(SUM(BC29,LauderFTEChan!BC29),"")</f>
        <v>0</v>
      </c>
      <c r="BD30" s="56">
        <f>IFERROR(SUM(BD29,LauderFTEChan!BD29),"")</f>
        <v>0</v>
      </c>
    </row>
    <row r="31" spans="3:56" x14ac:dyDescent="0.25">
      <c r="C31" s="48"/>
      <c r="D31" s="52" t="s">
        <v>47</v>
      </c>
      <c r="E31" s="56" t="str">
        <f t="shared" ref="E31:BD31" si="4">E147</f>
        <v/>
      </c>
      <c r="F31" s="56" t="str">
        <f t="shared" si="4"/>
        <v/>
      </c>
      <c r="G31" s="56" t="str">
        <f t="shared" si="4"/>
        <v/>
      </c>
      <c r="H31" s="56" t="str">
        <f t="shared" si="4"/>
        <v/>
      </c>
      <c r="I31" s="56" t="str">
        <f t="shared" si="4"/>
        <v/>
      </c>
      <c r="J31" s="56" t="str">
        <f t="shared" si="4"/>
        <v/>
      </c>
      <c r="K31" s="56" t="str">
        <f t="shared" si="4"/>
        <v/>
      </c>
      <c r="L31" s="56" t="str">
        <f t="shared" si="4"/>
        <v/>
      </c>
      <c r="M31" s="56" t="str">
        <f t="shared" si="4"/>
        <v/>
      </c>
      <c r="N31" s="56" t="str">
        <f t="shared" si="4"/>
        <v/>
      </c>
      <c r="O31" s="56" t="str">
        <f t="shared" si="4"/>
        <v/>
      </c>
      <c r="P31" s="56" t="str">
        <f t="shared" si="4"/>
        <v/>
      </c>
      <c r="Q31" s="56" t="str">
        <f t="shared" si="4"/>
        <v/>
      </c>
      <c r="R31" s="56" t="str">
        <f t="shared" si="4"/>
        <v/>
      </c>
      <c r="S31" s="56" t="str">
        <f t="shared" si="4"/>
        <v/>
      </c>
      <c r="T31" s="56" t="str">
        <f t="shared" si="4"/>
        <v/>
      </c>
      <c r="U31" s="56" t="str">
        <f t="shared" si="4"/>
        <v/>
      </c>
      <c r="V31" s="56" t="str">
        <f t="shared" si="4"/>
        <v/>
      </c>
      <c r="W31" s="56" t="str">
        <f t="shared" si="4"/>
        <v/>
      </c>
      <c r="X31" s="56" t="str">
        <f t="shared" si="4"/>
        <v/>
      </c>
      <c r="Y31" s="56">
        <f t="shared" si="4"/>
        <v>4.0157798824465551</v>
      </c>
      <c r="Z31" s="56" t="str">
        <f t="shared" si="4"/>
        <v/>
      </c>
      <c r="AA31" s="56" t="str">
        <f t="shared" si="4"/>
        <v/>
      </c>
      <c r="AB31" s="56" t="str">
        <f t="shared" si="4"/>
        <v/>
      </c>
      <c r="AC31" s="56" t="str">
        <f t="shared" si="4"/>
        <v/>
      </c>
      <c r="AD31" s="56" t="str">
        <f t="shared" si="4"/>
        <v/>
      </c>
      <c r="AE31" s="56" t="str">
        <f t="shared" si="4"/>
        <v/>
      </c>
      <c r="AF31" s="56" t="str">
        <f t="shared" si="4"/>
        <v/>
      </c>
      <c r="AG31" s="56" t="str">
        <f t="shared" si="4"/>
        <v/>
      </c>
      <c r="AH31" s="56" t="str">
        <f t="shared" si="4"/>
        <v/>
      </c>
      <c r="AI31" s="56" t="str">
        <f t="shared" si="4"/>
        <v/>
      </c>
      <c r="AJ31" s="56" t="str">
        <f t="shared" si="4"/>
        <v/>
      </c>
      <c r="AK31" s="56" t="str">
        <f t="shared" si="4"/>
        <v/>
      </c>
      <c r="AL31" s="56" t="str">
        <f t="shared" si="4"/>
        <v/>
      </c>
      <c r="AM31" s="56" t="str">
        <f t="shared" si="4"/>
        <v/>
      </c>
      <c r="AN31" s="56" t="str">
        <f t="shared" si="4"/>
        <v/>
      </c>
      <c r="AO31" s="56" t="str">
        <f t="shared" si="4"/>
        <v/>
      </c>
      <c r="AP31" s="56" t="str">
        <f t="shared" si="4"/>
        <v/>
      </c>
      <c r="AQ31" s="56" t="str">
        <f t="shared" si="4"/>
        <v/>
      </c>
      <c r="AR31" s="56" t="str">
        <f t="shared" si="4"/>
        <v/>
      </c>
      <c r="AS31" s="56" t="str">
        <f t="shared" si="4"/>
        <v/>
      </c>
      <c r="AT31" s="56" t="str">
        <f t="shared" si="4"/>
        <v/>
      </c>
      <c r="AU31" s="56" t="str">
        <f t="shared" si="4"/>
        <v/>
      </c>
      <c r="AV31" s="56" t="str">
        <f t="shared" si="4"/>
        <v/>
      </c>
      <c r="AW31" s="56" t="str">
        <f t="shared" si="4"/>
        <v/>
      </c>
      <c r="AX31" s="56" t="str">
        <f t="shared" si="4"/>
        <v/>
      </c>
      <c r="AY31" s="56" t="str">
        <f t="shared" si="4"/>
        <v/>
      </c>
      <c r="AZ31" s="56" t="str">
        <f t="shared" si="4"/>
        <v/>
      </c>
      <c r="BA31" s="56" t="str">
        <f t="shared" si="4"/>
        <v/>
      </c>
      <c r="BB31" s="56" t="str">
        <f t="shared" si="4"/>
        <v/>
      </c>
      <c r="BC31" s="56" t="str">
        <f t="shared" si="4"/>
        <v/>
      </c>
      <c r="BD31" s="56" t="str">
        <f t="shared" si="4"/>
        <v/>
      </c>
    </row>
    <row r="32" spans="3:56" x14ac:dyDescent="0.25">
      <c r="C32" s="48"/>
      <c r="D32" s="53" t="s">
        <v>48</v>
      </c>
      <c r="E32" s="56">
        <f>IFERROR(SUM(E147,LauderFTEChan!E135),"")</f>
        <v>0</v>
      </c>
      <c r="F32" s="56">
        <f>IFERROR(SUM(F147,LauderFTEChan!F135),"")</f>
        <v>0</v>
      </c>
      <c r="G32" s="56">
        <f>IFERROR(SUM(G147,LauderFTEChan!G135),"")</f>
        <v>0</v>
      </c>
      <c r="H32" s="56">
        <f>IFERROR(SUM(H147,LauderFTEChan!H135),"")</f>
        <v>0</v>
      </c>
      <c r="I32" s="56">
        <f>IFERROR(SUM(I147,LauderFTEChan!I135),"")</f>
        <v>0</v>
      </c>
      <c r="J32" s="56">
        <f>IFERROR(SUM(J147,LauderFTEChan!J135),"")</f>
        <v>0</v>
      </c>
      <c r="K32" s="56">
        <f>IFERROR(SUM(K147,LauderFTEChan!K135),"")</f>
        <v>0</v>
      </c>
      <c r="L32" s="56">
        <f>IFERROR(SUM(L147,LauderFTEChan!L135),"")</f>
        <v>0</v>
      </c>
      <c r="M32" s="56">
        <f>IFERROR(SUM(M147,LauderFTEChan!M135),"")</f>
        <v>0</v>
      </c>
      <c r="N32" s="56">
        <f>IFERROR(SUM(N147,LauderFTEChan!N135),"")</f>
        <v>0</v>
      </c>
      <c r="O32" s="56">
        <f>IFERROR(SUM(O147,LauderFTEChan!O135),"")</f>
        <v>0</v>
      </c>
      <c r="P32" s="56">
        <f>IFERROR(SUM(P147,LauderFTEChan!P135),"")</f>
        <v>0</v>
      </c>
      <c r="Q32" s="56">
        <f>IFERROR(SUM(Q147,LauderFTEChan!Q135),"")</f>
        <v>0</v>
      </c>
      <c r="R32" s="56">
        <f>IFERROR(SUM(R147,LauderFTEChan!R135),"")</f>
        <v>0</v>
      </c>
      <c r="S32" s="56">
        <f>IFERROR(SUM(S147,LauderFTEChan!S135),"")</f>
        <v>0</v>
      </c>
      <c r="T32" s="56">
        <f>IFERROR(SUM(T147,LauderFTEChan!T135),"")</f>
        <v>0</v>
      </c>
      <c r="U32" s="56">
        <f>IFERROR(SUM(U147,LauderFTEChan!U135),"")</f>
        <v>0</v>
      </c>
      <c r="V32" s="56">
        <f>IFERROR(SUM(V147,LauderFTEChan!V135),"")</f>
        <v>0</v>
      </c>
      <c r="W32" s="56">
        <f>IFERROR(SUM(W147,LauderFTEChan!W135),"")</f>
        <v>0</v>
      </c>
      <c r="X32" s="56">
        <f>IFERROR(SUM(X147,LauderFTEChan!X135),"")</f>
        <v>0</v>
      </c>
      <c r="Y32" s="56">
        <f>IFERROR(SUM(Y147,LauderFTEChan!Y135),"")</f>
        <v>6.7512924485841275</v>
      </c>
      <c r="Z32" s="56">
        <f>IFERROR(SUM(Z147,LauderFTEChan!Z135),"")</f>
        <v>0</v>
      </c>
      <c r="AA32" s="56">
        <f>IFERROR(SUM(AA147,LauderFTEChan!AA135),"")</f>
        <v>0</v>
      </c>
      <c r="AB32" s="56">
        <f>IFERROR(SUM(AB147,LauderFTEChan!AB135),"")</f>
        <v>0</v>
      </c>
      <c r="AC32" s="56">
        <f>IFERROR(SUM(AC147,LauderFTEChan!AC135),"")</f>
        <v>0</v>
      </c>
      <c r="AD32" s="56">
        <f>IFERROR(SUM(AD147,LauderFTEChan!AD135),"")</f>
        <v>0</v>
      </c>
      <c r="AE32" s="56">
        <f>IFERROR(SUM(AE147,LauderFTEChan!AE135),"")</f>
        <v>0</v>
      </c>
      <c r="AF32" s="56">
        <f>IFERROR(SUM(AF147,LauderFTEChan!AF135),"")</f>
        <v>0</v>
      </c>
      <c r="AG32" s="56">
        <f>IFERROR(SUM(AG147,LauderFTEChan!AG135),"")</f>
        <v>0</v>
      </c>
      <c r="AH32" s="56">
        <f>IFERROR(SUM(AH147,LauderFTEChan!AH135),"")</f>
        <v>0</v>
      </c>
      <c r="AI32" s="56">
        <f>IFERROR(SUM(AI147,LauderFTEChan!AI135),"")</f>
        <v>0</v>
      </c>
      <c r="AJ32" s="56">
        <f>IFERROR(SUM(AJ147,LauderFTEChan!AJ135),"")</f>
        <v>0</v>
      </c>
      <c r="AK32" s="56">
        <f>IFERROR(SUM(AK147,LauderFTEChan!AK135),"")</f>
        <v>0</v>
      </c>
      <c r="AL32" s="56">
        <f>IFERROR(SUM(AL147,LauderFTEChan!AL135),"")</f>
        <v>0</v>
      </c>
      <c r="AM32" s="56">
        <f>IFERROR(SUM(AM147,LauderFTEChan!AM135),"")</f>
        <v>0</v>
      </c>
      <c r="AN32" s="56">
        <f>IFERROR(SUM(AN147,LauderFTEChan!AN135),"")</f>
        <v>0</v>
      </c>
      <c r="AO32" s="56">
        <f>IFERROR(SUM(AO147,LauderFTEChan!AO135),"")</f>
        <v>0</v>
      </c>
      <c r="AP32" s="56">
        <f>IFERROR(SUM(AP147,LauderFTEChan!AP135),"")</f>
        <v>0</v>
      </c>
      <c r="AQ32" s="56">
        <f>IFERROR(SUM(AQ147,LauderFTEChan!AQ135),"")</f>
        <v>0</v>
      </c>
      <c r="AR32" s="56">
        <f>IFERROR(SUM(AR147,LauderFTEChan!AR135),"")</f>
        <v>0</v>
      </c>
      <c r="AS32" s="56">
        <f>IFERROR(SUM(AS147,LauderFTEChan!AS135),"")</f>
        <v>0</v>
      </c>
      <c r="AT32" s="56">
        <f>IFERROR(SUM(AT147,LauderFTEChan!AT135),"")</f>
        <v>0</v>
      </c>
      <c r="AU32" s="56">
        <f>IFERROR(SUM(AU147,LauderFTEChan!AU135),"")</f>
        <v>0</v>
      </c>
      <c r="AV32" s="56">
        <f>IFERROR(SUM(AV147,LauderFTEChan!AV135),"")</f>
        <v>0</v>
      </c>
      <c r="AW32" s="56">
        <f>IFERROR(SUM(AW147,LauderFTEChan!AW135),"")</f>
        <v>0</v>
      </c>
      <c r="AX32" s="56">
        <f>IFERROR(SUM(AX147,LauderFTEChan!AX135),"")</f>
        <v>0</v>
      </c>
      <c r="AY32" s="56">
        <f>IFERROR(SUM(AY147,LauderFTEChan!AY135),"")</f>
        <v>0</v>
      </c>
      <c r="AZ32" s="56">
        <f>IFERROR(SUM(AZ147,LauderFTEChan!AZ135),"")</f>
        <v>0</v>
      </c>
      <c r="BA32" s="56">
        <f>IFERROR(SUM(BA147,LauderFTEChan!BA135),"")</f>
        <v>0</v>
      </c>
      <c r="BB32" s="56">
        <f>IFERROR(SUM(BB147,LauderFTEChan!BB135),"")</f>
        <v>0</v>
      </c>
      <c r="BC32" s="56">
        <f>IFERROR(SUM(BC147,LauderFTEChan!BC135),"")</f>
        <v>0</v>
      </c>
      <c r="BD32" s="56">
        <f>IFERROR(SUM(BD147,LauderFTEChan!BD135),"")</f>
        <v>0</v>
      </c>
    </row>
    <row r="33" spans="3:56" x14ac:dyDescent="0.25">
      <c r="C33" s="48"/>
      <c r="D33" s="49" t="s">
        <v>49</v>
      </c>
      <c r="E33" s="65">
        <f>SUM(E10:E16)</f>
        <v>0</v>
      </c>
      <c r="F33" s="65">
        <f t="shared" ref="F33:BD33" si="5">SUM(F10:F16)</f>
        <v>0</v>
      </c>
      <c r="G33" s="65">
        <f t="shared" si="5"/>
        <v>0</v>
      </c>
      <c r="H33" s="65">
        <f t="shared" si="5"/>
        <v>0</v>
      </c>
      <c r="I33" s="65">
        <f t="shared" si="5"/>
        <v>0</v>
      </c>
      <c r="J33" s="65">
        <f t="shared" si="5"/>
        <v>0</v>
      </c>
      <c r="K33" s="65">
        <f t="shared" si="5"/>
        <v>0</v>
      </c>
      <c r="L33" s="65">
        <f t="shared" si="5"/>
        <v>0</v>
      </c>
      <c r="M33" s="65">
        <f t="shared" si="5"/>
        <v>0</v>
      </c>
      <c r="N33" s="65">
        <f t="shared" si="5"/>
        <v>0</v>
      </c>
      <c r="O33" s="65">
        <f t="shared" si="5"/>
        <v>0</v>
      </c>
      <c r="P33" s="65">
        <f t="shared" si="5"/>
        <v>0</v>
      </c>
      <c r="Q33" s="65">
        <f t="shared" si="5"/>
        <v>0</v>
      </c>
      <c r="R33" s="65">
        <f t="shared" si="5"/>
        <v>0</v>
      </c>
      <c r="S33" s="65">
        <f t="shared" si="5"/>
        <v>0</v>
      </c>
      <c r="T33" s="65">
        <f t="shared" si="5"/>
        <v>0</v>
      </c>
      <c r="U33" s="65">
        <f t="shared" si="5"/>
        <v>0</v>
      </c>
      <c r="V33" s="65">
        <f t="shared" si="5"/>
        <v>0</v>
      </c>
      <c r="W33" s="65">
        <f t="shared" si="5"/>
        <v>0</v>
      </c>
      <c r="X33" s="65">
        <f t="shared" si="5"/>
        <v>0</v>
      </c>
      <c r="Y33" s="65">
        <f t="shared" si="5"/>
        <v>0</v>
      </c>
      <c r="Z33" s="65">
        <f t="shared" si="5"/>
        <v>0</v>
      </c>
      <c r="AA33" s="65">
        <f t="shared" si="5"/>
        <v>0</v>
      </c>
      <c r="AB33" s="65">
        <f t="shared" si="5"/>
        <v>0</v>
      </c>
      <c r="AC33" s="65">
        <f t="shared" si="5"/>
        <v>0</v>
      </c>
      <c r="AD33" s="65">
        <f t="shared" si="5"/>
        <v>0</v>
      </c>
      <c r="AE33" s="65">
        <f t="shared" si="5"/>
        <v>0</v>
      </c>
      <c r="AF33" s="65">
        <f t="shared" si="5"/>
        <v>0</v>
      </c>
      <c r="AG33" s="65">
        <f t="shared" si="5"/>
        <v>0</v>
      </c>
      <c r="AH33" s="65">
        <f t="shared" si="5"/>
        <v>0</v>
      </c>
      <c r="AI33" s="65">
        <f t="shared" si="5"/>
        <v>0</v>
      </c>
      <c r="AJ33" s="65">
        <f t="shared" si="5"/>
        <v>0</v>
      </c>
      <c r="AK33" s="65">
        <f t="shared" si="5"/>
        <v>0</v>
      </c>
      <c r="AL33" s="65">
        <f t="shared" si="5"/>
        <v>0</v>
      </c>
      <c r="AM33" s="65">
        <f t="shared" si="5"/>
        <v>0</v>
      </c>
      <c r="AN33" s="65">
        <f t="shared" si="5"/>
        <v>0</v>
      </c>
      <c r="AO33" s="65">
        <f t="shared" si="5"/>
        <v>0</v>
      </c>
      <c r="AP33" s="65">
        <f t="shared" si="5"/>
        <v>0</v>
      </c>
      <c r="AQ33" s="65">
        <f t="shared" si="5"/>
        <v>0</v>
      </c>
      <c r="AR33" s="65">
        <f t="shared" si="5"/>
        <v>0</v>
      </c>
      <c r="AS33" s="65">
        <f t="shared" si="5"/>
        <v>0</v>
      </c>
      <c r="AT33" s="65">
        <f t="shared" si="5"/>
        <v>0</v>
      </c>
      <c r="AU33" s="65">
        <f t="shared" si="5"/>
        <v>0</v>
      </c>
      <c r="AV33" s="65">
        <f t="shared" si="5"/>
        <v>0</v>
      </c>
      <c r="AW33" s="65">
        <f t="shared" si="5"/>
        <v>0</v>
      </c>
      <c r="AX33" s="65">
        <f t="shared" si="5"/>
        <v>0</v>
      </c>
      <c r="AY33" s="65">
        <f t="shared" si="5"/>
        <v>0</v>
      </c>
      <c r="AZ33" s="65">
        <f t="shared" si="5"/>
        <v>0</v>
      </c>
      <c r="BA33" s="65">
        <f t="shared" si="5"/>
        <v>0</v>
      </c>
      <c r="BB33" s="65">
        <f t="shared" si="5"/>
        <v>0</v>
      </c>
      <c r="BC33" s="65">
        <f t="shared" si="5"/>
        <v>0</v>
      </c>
      <c r="BD33" s="65">
        <f t="shared" si="5"/>
        <v>0</v>
      </c>
    </row>
    <row r="34" spans="3:56" x14ac:dyDescent="0.25">
      <c r="C34" s="48"/>
      <c r="E34" s="45"/>
      <c r="F34" s="45"/>
      <c r="G34" s="45"/>
      <c r="H34" s="45"/>
      <c r="I34" s="45"/>
      <c r="J34" s="45"/>
      <c r="K34" s="45"/>
      <c r="L34" s="45"/>
      <c r="M34" s="45"/>
    </row>
    <row r="35" spans="3:56" x14ac:dyDescent="0.25">
      <c r="D35" s="46" t="s">
        <v>20</v>
      </c>
      <c r="E35" s="82">
        <f>E2</f>
        <v>44569</v>
      </c>
      <c r="F35" s="82">
        <f t="shared" ref="F35:BD35" si="6">F2</f>
        <v>44576</v>
      </c>
      <c r="G35" s="82">
        <f t="shared" si="6"/>
        <v>44583</v>
      </c>
      <c r="H35" s="82">
        <f t="shared" si="6"/>
        <v>44590</v>
      </c>
      <c r="I35" s="82">
        <f t="shared" si="6"/>
        <v>44597</v>
      </c>
      <c r="J35" s="82">
        <f t="shared" si="6"/>
        <v>44604</v>
      </c>
      <c r="K35" s="82">
        <f t="shared" si="6"/>
        <v>44611</v>
      </c>
      <c r="L35" s="82">
        <f t="shared" si="6"/>
        <v>44618</v>
      </c>
      <c r="M35" s="82">
        <f t="shared" si="6"/>
        <v>44625</v>
      </c>
      <c r="N35" s="82">
        <f t="shared" si="6"/>
        <v>44632</v>
      </c>
      <c r="O35" s="82">
        <f t="shared" si="6"/>
        <v>44639</v>
      </c>
      <c r="P35" s="82">
        <f t="shared" si="6"/>
        <v>44646</v>
      </c>
      <c r="Q35" s="82">
        <f t="shared" si="6"/>
        <v>44653</v>
      </c>
      <c r="R35" s="82">
        <f t="shared" si="6"/>
        <v>44660</v>
      </c>
      <c r="S35" s="82">
        <f t="shared" si="6"/>
        <v>44667</v>
      </c>
      <c r="T35" s="82">
        <f t="shared" si="6"/>
        <v>44674</v>
      </c>
      <c r="U35" s="82">
        <f t="shared" si="6"/>
        <v>44681</v>
      </c>
      <c r="V35" s="82">
        <f t="shared" si="6"/>
        <v>44688</v>
      </c>
      <c r="W35" s="82">
        <f t="shared" si="6"/>
        <v>44695</v>
      </c>
      <c r="X35" s="82">
        <f t="shared" si="6"/>
        <v>44702</v>
      </c>
      <c r="Y35" s="82">
        <f t="shared" si="6"/>
        <v>44709</v>
      </c>
      <c r="Z35" s="82">
        <f t="shared" si="6"/>
        <v>44716</v>
      </c>
      <c r="AA35" s="82">
        <f t="shared" si="6"/>
        <v>44723</v>
      </c>
      <c r="AB35" s="82">
        <f t="shared" si="6"/>
        <v>44730</v>
      </c>
      <c r="AC35" s="82">
        <f t="shared" si="6"/>
        <v>44737</v>
      </c>
      <c r="AD35" s="82">
        <f t="shared" si="6"/>
        <v>44744</v>
      </c>
      <c r="AE35" s="82">
        <f t="shared" si="6"/>
        <v>44751</v>
      </c>
      <c r="AF35" s="82">
        <f t="shared" si="6"/>
        <v>44758</v>
      </c>
      <c r="AG35" s="82">
        <f t="shared" si="6"/>
        <v>44765</v>
      </c>
      <c r="AH35" s="82">
        <f t="shared" si="6"/>
        <v>44772</v>
      </c>
      <c r="AI35" s="82">
        <f t="shared" si="6"/>
        <v>44779</v>
      </c>
      <c r="AJ35" s="82">
        <f t="shared" si="6"/>
        <v>44786</v>
      </c>
      <c r="AK35" s="82">
        <f t="shared" si="6"/>
        <v>44793</v>
      </c>
      <c r="AL35" s="82">
        <f t="shared" si="6"/>
        <v>44800</v>
      </c>
      <c r="AM35" s="82">
        <f t="shared" si="6"/>
        <v>44807</v>
      </c>
      <c r="AN35" s="82">
        <f t="shared" si="6"/>
        <v>44814</v>
      </c>
      <c r="AO35" s="82">
        <f t="shared" si="6"/>
        <v>44821</v>
      </c>
      <c r="AP35" s="82">
        <f t="shared" si="6"/>
        <v>44828</v>
      </c>
      <c r="AQ35" s="82">
        <f t="shared" si="6"/>
        <v>44835</v>
      </c>
      <c r="AR35" s="82">
        <f t="shared" si="6"/>
        <v>44842</v>
      </c>
      <c r="AS35" s="82">
        <f t="shared" si="6"/>
        <v>44849</v>
      </c>
      <c r="AT35" s="82">
        <f t="shared" si="6"/>
        <v>44856</v>
      </c>
      <c r="AU35" s="82">
        <f t="shared" si="6"/>
        <v>44863</v>
      </c>
      <c r="AV35" s="82">
        <f t="shared" si="6"/>
        <v>44870</v>
      </c>
      <c r="AW35" s="82">
        <f t="shared" si="6"/>
        <v>44877</v>
      </c>
      <c r="AX35" s="82">
        <f t="shared" si="6"/>
        <v>44884</v>
      </c>
      <c r="AY35" s="82">
        <f t="shared" si="6"/>
        <v>44891</v>
      </c>
      <c r="AZ35" s="82">
        <f t="shared" si="6"/>
        <v>44898</v>
      </c>
      <c r="BA35" s="82">
        <f t="shared" si="6"/>
        <v>44905</v>
      </c>
      <c r="BB35" s="82">
        <f t="shared" si="6"/>
        <v>44912</v>
      </c>
      <c r="BC35" s="82">
        <f t="shared" si="6"/>
        <v>44919</v>
      </c>
      <c r="BD35" s="82">
        <f t="shared" si="6"/>
        <v>44926</v>
      </c>
    </row>
    <row r="36" spans="3:56" x14ac:dyDescent="0.25">
      <c r="C36" s="107" t="s">
        <v>20</v>
      </c>
      <c r="D36" s="41" t="s">
        <v>21</v>
      </c>
      <c r="E36" s="70" t="str">
        <f>IF(EsteeNew!E36-EsteeOld!E36=0,"",EsteeNew!E36-EsteeOld!E36)</f>
        <v/>
      </c>
      <c r="F36" s="70" t="str">
        <f>IF(EsteeNew!F36-EsteeOld!F36=0,"",EsteeNew!F36-EsteeOld!F36)</f>
        <v/>
      </c>
      <c r="G36" s="70" t="str">
        <f>IF(EsteeNew!G36-EsteeOld!G36=0,"",EsteeNew!G36-EsteeOld!G36)</f>
        <v/>
      </c>
      <c r="H36" s="70" t="str">
        <f>IF(EsteeNew!H36-EsteeOld!H36=0,"",EsteeNew!H36-EsteeOld!H36)</f>
        <v/>
      </c>
      <c r="I36" s="70" t="str">
        <f>IF(EsteeNew!I36-EsteeOld!I36=0,"",EsteeNew!I36-EsteeOld!I36)</f>
        <v/>
      </c>
      <c r="J36" s="70" t="str">
        <f>IF(EsteeNew!J36-EsteeOld!J36=0,"",EsteeNew!J36-EsteeOld!J36)</f>
        <v/>
      </c>
      <c r="K36" s="70" t="str">
        <f>IF(EsteeNew!K36-EsteeOld!K36=0,"",EsteeNew!K36-EsteeOld!K36)</f>
        <v/>
      </c>
      <c r="L36" s="70" t="str">
        <f>IF(EsteeNew!L36-EsteeOld!L36=0,"",EsteeNew!L36-EsteeOld!L36)</f>
        <v/>
      </c>
      <c r="M36" s="70" t="str">
        <f>IF(EsteeNew!M36-EsteeOld!M36=0,"",EsteeNew!M36-EsteeOld!M36)</f>
        <v/>
      </c>
      <c r="N36" s="70" t="str">
        <f>IF(EsteeNew!N36-EsteeOld!N36=0,"",EsteeNew!N36-EsteeOld!N36)</f>
        <v/>
      </c>
      <c r="O36" s="70" t="str">
        <f>IF(EsteeNew!O36-EsteeOld!O36=0,"",EsteeNew!O36-EsteeOld!O36)</f>
        <v/>
      </c>
      <c r="P36" s="70" t="str">
        <f>IF(EsteeNew!P36-EsteeOld!P36=0,"",EsteeNew!P36-EsteeOld!P36)</f>
        <v/>
      </c>
      <c r="Q36" s="70" t="str">
        <f>IF(EsteeNew!Q36-EsteeOld!Q36=0,"",EsteeNew!Q36-EsteeOld!Q36)</f>
        <v/>
      </c>
      <c r="R36" s="70" t="str">
        <f>IF(EsteeNew!R36-EsteeOld!R36=0,"",EsteeNew!R36-EsteeOld!R36)</f>
        <v/>
      </c>
      <c r="S36" s="70" t="str">
        <f>IF(EsteeNew!S36-EsteeOld!S36=0,"",EsteeNew!S36-EsteeOld!S36)</f>
        <v/>
      </c>
      <c r="T36" s="70" t="str">
        <f>IF(EsteeNew!T36-EsteeOld!T36=0,"",EsteeNew!T36-EsteeOld!T36)</f>
        <v/>
      </c>
      <c r="U36" s="70" t="str">
        <f>IF(EsteeNew!U36-EsteeOld!U36=0,"",EsteeNew!U36-EsteeOld!U36)</f>
        <v/>
      </c>
      <c r="V36" s="70" t="str">
        <f>IF(EsteeNew!V36-EsteeOld!V36=0,"",EsteeNew!V36-EsteeOld!V36)</f>
        <v/>
      </c>
      <c r="W36" s="70" t="str">
        <f>IF(EsteeNew!W36-EsteeOld!W36=0,"",EsteeNew!W36-EsteeOld!W36)</f>
        <v/>
      </c>
      <c r="X36" s="70" t="str">
        <f>IF(EsteeNew!X36-EsteeOld!X36=0,"",EsteeNew!X36-EsteeOld!X36)</f>
        <v/>
      </c>
      <c r="Y36" s="70" t="str">
        <f>IF(EsteeNew!Y36-EsteeOld!Y36=0,"",EsteeNew!Y36-EsteeOld!Y36)</f>
        <v/>
      </c>
      <c r="Z36" s="70" t="str">
        <f>IF(EsteeNew!Z36-EsteeOld!Z36=0,"",EsteeNew!Z36-EsteeOld!Z36)</f>
        <v/>
      </c>
      <c r="AA36" s="70" t="str">
        <f>IF(EsteeNew!AA36-EsteeOld!AA36=0,"",EsteeNew!AA36-EsteeOld!AA36)</f>
        <v/>
      </c>
      <c r="AB36" s="70" t="str">
        <f>IF(EsteeNew!AB36-EsteeOld!AB36=0,"",EsteeNew!AB36-EsteeOld!AB36)</f>
        <v/>
      </c>
      <c r="AC36" s="70" t="str">
        <f>IF(EsteeNew!AC36-EsteeOld!AC36=0,"",EsteeNew!AC36-EsteeOld!AC36)</f>
        <v/>
      </c>
      <c r="AD36" s="70" t="str">
        <f>IF(EsteeNew!AD36-EsteeOld!AD36=0,"",EsteeNew!AD36-EsteeOld!AD36)</f>
        <v/>
      </c>
      <c r="AE36" s="70" t="str">
        <f>IF(EsteeNew!AE36-EsteeOld!AE36=0,"",EsteeNew!AE36-EsteeOld!AE36)</f>
        <v/>
      </c>
      <c r="AF36" s="70" t="str">
        <f>IF(EsteeNew!AF36-EsteeOld!AF36=0,"",EsteeNew!AF36-EsteeOld!AF36)</f>
        <v/>
      </c>
      <c r="AG36" s="70" t="str">
        <f>IF(EsteeNew!AG36-EsteeOld!AG36=0,"",EsteeNew!AG36-EsteeOld!AG36)</f>
        <v/>
      </c>
      <c r="AH36" s="70" t="str">
        <f>IF(EsteeNew!AH36-EsteeOld!AH36=0,"",EsteeNew!AH36-EsteeOld!AH36)</f>
        <v/>
      </c>
      <c r="AI36" s="70" t="str">
        <f>IF(EsteeNew!AI36-EsteeOld!AI36=0,"",EsteeNew!AI36-EsteeOld!AI36)</f>
        <v/>
      </c>
      <c r="AJ36" s="70" t="str">
        <f>IF(EsteeNew!AJ36-EsteeOld!AJ36=0,"",EsteeNew!AJ36-EsteeOld!AJ36)</f>
        <v/>
      </c>
      <c r="AK36" s="70" t="str">
        <f>IF(EsteeNew!AK36-EsteeOld!AK36=0,"",EsteeNew!AK36-EsteeOld!AK36)</f>
        <v/>
      </c>
      <c r="AL36" s="70" t="str">
        <f>IF(EsteeNew!AL36-EsteeOld!AL36=0,"",EsteeNew!AL36-EsteeOld!AL36)</f>
        <v/>
      </c>
      <c r="AM36" s="70" t="str">
        <f>IF(EsteeNew!AM36-EsteeOld!AM36=0,"",EsteeNew!AM36-EsteeOld!AM36)</f>
        <v/>
      </c>
      <c r="AN36" s="70" t="str">
        <f>IF(EsteeNew!AN36-EsteeOld!AN36=0,"",EsteeNew!AN36-EsteeOld!AN36)</f>
        <v/>
      </c>
      <c r="AO36" s="70" t="str">
        <f>IF(EsteeNew!AO36-EsteeOld!AO36=0,"",EsteeNew!AO36-EsteeOld!AO36)</f>
        <v/>
      </c>
      <c r="AP36" s="70" t="str">
        <f>IF(EsteeNew!AP36-EsteeOld!AP36=0,"",EsteeNew!AP36-EsteeOld!AP36)</f>
        <v/>
      </c>
      <c r="AQ36" s="70" t="str">
        <f>IF(EsteeNew!AQ36-EsteeOld!AQ36=0,"",EsteeNew!AQ36-EsteeOld!AQ36)</f>
        <v/>
      </c>
      <c r="AR36" s="70" t="str">
        <f>IF(EsteeNew!AR36-EsteeOld!AR36=0,"",EsteeNew!AR36-EsteeOld!AR36)</f>
        <v/>
      </c>
      <c r="AS36" s="70" t="str">
        <f>IF(EsteeNew!AS36-EsteeOld!AS36=0,"",EsteeNew!AS36-EsteeOld!AS36)</f>
        <v/>
      </c>
      <c r="AT36" s="70" t="str">
        <f>IF(EsteeNew!AT36-EsteeOld!AT36=0,"",EsteeNew!AT36-EsteeOld!AT36)</f>
        <v/>
      </c>
      <c r="AU36" s="70" t="str">
        <f>IF(EsteeNew!AU36-EsteeOld!AU36=0,"",EsteeNew!AU36-EsteeOld!AU36)</f>
        <v/>
      </c>
      <c r="AV36" s="70" t="str">
        <f>IF(EsteeNew!AV36-EsteeOld!AV36=0,"",EsteeNew!AV36-EsteeOld!AV36)</f>
        <v/>
      </c>
      <c r="AW36" s="70" t="str">
        <f>IF(EsteeNew!AW36-EsteeOld!AW36=0,"",EsteeNew!AW36-EsteeOld!AW36)</f>
        <v/>
      </c>
      <c r="AX36" s="70" t="str">
        <f>IF(EsteeNew!AX36-EsteeOld!AX36=0,"",EsteeNew!AX36-EsteeOld!AX36)</f>
        <v/>
      </c>
      <c r="AY36" s="70" t="str">
        <f>IF(EsteeNew!AY36-EsteeOld!AY36=0,"",EsteeNew!AY36-EsteeOld!AY36)</f>
        <v/>
      </c>
      <c r="AZ36" s="70" t="str">
        <f>IF(EsteeNew!AZ36-EsteeOld!AZ36=0,"",EsteeNew!AZ36-EsteeOld!AZ36)</f>
        <v/>
      </c>
      <c r="BA36" s="70" t="str">
        <f>IF(EsteeNew!BA36-EsteeOld!BA36=0,"",EsteeNew!BA36-EsteeOld!BA36)</f>
        <v/>
      </c>
      <c r="BB36" s="70" t="str">
        <f>IF(EsteeNew!BB36-EsteeOld!BB36=0,"",EsteeNew!BB36-EsteeOld!BB36)</f>
        <v/>
      </c>
      <c r="BC36" s="70" t="str">
        <f>IF(EsteeNew!BC36-EsteeOld!BC36=0,"",EsteeNew!BC36-EsteeOld!BC36)</f>
        <v/>
      </c>
      <c r="BD36" s="70" t="str">
        <f>IF(EsteeNew!BD36-EsteeOld!BD36=0,"",EsteeNew!BD36-EsteeOld!BD36)</f>
        <v/>
      </c>
    </row>
    <row r="37" spans="3:56" x14ac:dyDescent="0.25">
      <c r="C37" s="108"/>
      <c r="D37" s="41" t="s">
        <v>22</v>
      </c>
      <c r="E37" s="70" t="str">
        <f>IF(EsteeNew!E37-EsteeOld!E37=0,"",EsteeNew!E37-EsteeOld!E37)</f>
        <v/>
      </c>
      <c r="F37" s="70" t="str">
        <f>IF(EsteeNew!F37-EsteeOld!F37=0,"",EsteeNew!F37-EsteeOld!F37)</f>
        <v/>
      </c>
      <c r="G37" s="70" t="str">
        <f>IF(EsteeNew!G37-EsteeOld!G37=0,"",EsteeNew!G37-EsteeOld!G37)</f>
        <v/>
      </c>
      <c r="H37" s="70" t="str">
        <f>IF(EsteeNew!H37-EsteeOld!H37=0,"",EsteeNew!H37-EsteeOld!H37)</f>
        <v/>
      </c>
      <c r="I37" s="70" t="str">
        <f>IF(EsteeNew!I37-EsteeOld!I37=0,"",EsteeNew!I37-EsteeOld!I37)</f>
        <v/>
      </c>
      <c r="J37" s="70" t="str">
        <f>IF(EsteeNew!J37-EsteeOld!J37=0,"",EsteeNew!J37-EsteeOld!J37)</f>
        <v/>
      </c>
      <c r="K37" s="70" t="str">
        <f>IF(EsteeNew!K37-EsteeOld!K37=0,"",EsteeNew!K37-EsteeOld!K37)</f>
        <v/>
      </c>
      <c r="L37" s="70" t="str">
        <f>IF(EsteeNew!L37-EsteeOld!L37=0,"",EsteeNew!L37-EsteeOld!L37)</f>
        <v/>
      </c>
      <c r="M37" s="70" t="str">
        <f>IF(EsteeNew!M37-EsteeOld!M37=0,"",EsteeNew!M37-EsteeOld!M37)</f>
        <v/>
      </c>
      <c r="N37" s="70" t="str">
        <f>IF(EsteeNew!N37-EsteeOld!N37=0,"",EsteeNew!N37-EsteeOld!N37)</f>
        <v/>
      </c>
      <c r="O37" s="70" t="str">
        <f>IF(EsteeNew!O37-EsteeOld!O37=0,"",EsteeNew!O37-EsteeOld!O37)</f>
        <v/>
      </c>
      <c r="P37" s="70" t="str">
        <f>IF(EsteeNew!P37-EsteeOld!P37=0,"",EsteeNew!P37-EsteeOld!P37)</f>
        <v/>
      </c>
      <c r="Q37" s="70" t="str">
        <f>IF(EsteeNew!Q37-EsteeOld!Q37=0,"",EsteeNew!Q37-EsteeOld!Q37)</f>
        <v/>
      </c>
      <c r="R37" s="70" t="str">
        <f>IF(EsteeNew!R37-EsteeOld!R37=0,"",EsteeNew!R37-EsteeOld!R37)</f>
        <v/>
      </c>
      <c r="S37" s="70" t="str">
        <f>IF(EsteeNew!S37-EsteeOld!S37=0,"",EsteeNew!S37-EsteeOld!S37)</f>
        <v/>
      </c>
      <c r="T37" s="70" t="str">
        <f>IF(EsteeNew!T37-EsteeOld!T37=0,"",EsteeNew!T37-EsteeOld!T37)</f>
        <v/>
      </c>
      <c r="U37" s="70" t="str">
        <f>IF(EsteeNew!U37-EsteeOld!U37=0,"",EsteeNew!U37-EsteeOld!U37)</f>
        <v/>
      </c>
      <c r="V37" s="70" t="str">
        <f>IF(EsteeNew!V37-EsteeOld!V37=0,"",EsteeNew!V37-EsteeOld!V37)</f>
        <v/>
      </c>
      <c r="W37" s="70" t="str">
        <f>IF(EsteeNew!W37-EsteeOld!W37=0,"",EsteeNew!W37-EsteeOld!W37)</f>
        <v/>
      </c>
      <c r="X37" s="70" t="str">
        <f>IF(EsteeNew!X37-EsteeOld!X37=0,"",EsteeNew!X37-EsteeOld!X37)</f>
        <v/>
      </c>
      <c r="Y37" s="70" t="str">
        <f>IF(EsteeNew!Y37-EsteeOld!Y37=0,"",EsteeNew!Y37-EsteeOld!Y37)</f>
        <v/>
      </c>
      <c r="Z37" s="70" t="str">
        <f>IF(EsteeNew!Z37-EsteeOld!Z37=0,"",EsteeNew!Z37-EsteeOld!Z37)</f>
        <v/>
      </c>
      <c r="AA37" s="70" t="str">
        <f>IF(EsteeNew!AA37-EsteeOld!AA37=0,"",EsteeNew!AA37-EsteeOld!AA37)</f>
        <v/>
      </c>
      <c r="AB37" s="70" t="str">
        <f>IF(EsteeNew!AB37-EsteeOld!AB37=0,"",EsteeNew!AB37-EsteeOld!AB37)</f>
        <v/>
      </c>
      <c r="AC37" s="70" t="str">
        <f>IF(EsteeNew!AC37-EsteeOld!AC37=0,"",EsteeNew!AC37-EsteeOld!AC37)</f>
        <v/>
      </c>
      <c r="AD37" s="70" t="str">
        <f>IF(EsteeNew!AD37-EsteeOld!AD37=0,"",EsteeNew!AD37-EsteeOld!AD37)</f>
        <v/>
      </c>
      <c r="AE37" s="70" t="str">
        <f>IF(EsteeNew!AE37-EsteeOld!AE37=0,"",EsteeNew!AE37-EsteeOld!AE37)</f>
        <v/>
      </c>
      <c r="AF37" s="70" t="str">
        <f>IF(EsteeNew!AF37-EsteeOld!AF37=0,"",EsteeNew!AF37-EsteeOld!AF37)</f>
        <v/>
      </c>
      <c r="AG37" s="70" t="str">
        <f>IF(EsteeNew!AG37-EsteeOld!AG37=0,"",EsteeNew!AG37-EsteeOld!AG37)</f>
        <v/>
      </c>
      <c r="AH37" s="70" t="str">
        <f>IF(EsteeNew!AH37-EsteeOld!AH37=0,"",EsteeNew!AH37-EsteeOld!AH37)</f>
        <v/>
      </c>
      <c r="AI37" s="70" t="str">
        <f>IF(EsteeNew!AI37-EsteeOld!AI37=0,"",EsteeNew!AI37-EsteeOld!AI37)</f>
        <v/>
      </c>
      <c r="AJ37" s="70" t="str">
        <f>IF(EsteeNew!AJ37-EsteeOld!AJ37=0,"",EsteeNew!AJ37-EsteeOld!AJ37)</f>
        <v/>
      </c>
      <c r="AK37" s="70" t="str">
        <f>IF(EsteeNew!AK37-EsteeOld!AK37=0,"",EsteeNew!AK37-EsteeOld!AK37)</f>
        <v/>
      </c>
      <c r="AL37" s="70" t="str">
        <f>IF(EsteeNew!AL37-EsteeOld!AL37=0,"",EsteeNew!AL37-EsteeOld!AL37)</f>
        <v/>
      </c>
      <c r="AM37" s="70" t="str">
        <f>IF(EsteeNew!AM37-EsteeOld!AM37=0,"",EsteeNew!AM37-EsteeOld!AM37)</f>
        <v/>
      </c>
      <c r="AN37" s="70" t="str">
        <f>IF(EsteeNew!AN37-EsteeOld!AN37=0,"",EsteeNew!AN37-EsteeOld!AN37)</f>
        <v/>
      </c>
      <c r="AO37" s="70" t="str">
        <f>IF(EsteeNew!AO37-EsteeOld!AO37=0,"",EsteeNew!AO37-EsteeOld!AO37)</f>
        <v/>
      </c>
      <c r="AP37" s="70" t="str">
        <f>IF(EsteeNew!AP37-EsteeOld!AP37=0,"",EsteeNew!AP37-EsteeOld!AP37)</f>
        <v/>
      </c>
      <c r="AQ37" s="70" t="str">
        <f>IF(EsteeNew!AQ37-EsteeOld!AQ37=0,"",EsteeNew!AQ37-EsteeOld!AQ37)</f>
        <v/>
      </c>
      <c r="AR37" s="70" t="str">
        <f>IF(EsteeNew!AR37-EsteeOld!AR37=0,"",EsteeNew!AR37-EsteeOld!AR37)</f>
        <v/>
      </c>
      <c r="AS37" s="70" t="str">
        <f>IF(EsteeNew!AS37-EsteeOld!AS37=0,"",EsteeNew!AS37-EsteeOld!AS37)</f>
        <v/>
      </c>
      <c r="AT37" s="70" t="str">
        <f>IF(EsteeNew!AT37-EsteeOld!AT37=0,"",EsteeNew!AT37-EsteeOld!AT37)</f>
        <v/>
      </c>
      <c r="AU37" s="70" t="str">
        <f>IF(EsteeNew!AU37-EsteeOld!AU37=0,"",EsteeNew!AU37-EsteeOld!AU37)</f>
        <v/>
      </c>
      <c r="AV37" s="70" t="str">
        <f>IF(EsteeNew!AV37-EsteeOld!AV37=0,"",EsteeNew!AV37-EsteeOld!AV37)</f>
        <v/>
      </c>
      <c r="AW37" s="70" t="str">
        <f>IF(EsteeNew!AW37-EsteeOld!AW37=0,"",EsteeNew!AW37-EsteeOld!AW37)</f>
        <v/>
      </c>
      <c r="AX37" s="70" t="str">
        <f>IF(EsteeNew!AX37-EsteeOld!AX37=0,"",EsteeNew!AX37-EsteeOld!AX37)</f>
        <v/>
      </c>
      <c r="AY37" s="70" t="str">
        <f>IF(EsteeNew!AY37-EsteeOld!AY37=0,"",EsteeNew!AY37-EsteeOld!AY37)</f>
        <v/>
      </c>
      <c r="AZ37" s="70" t="str">
        <f>IF(EsteeNew!AZ37-EsteeOld!AZ37=0,"",EsteeNew!AZ37-EsteeOld!AZ37)</f>
        <v/>
      </c>
      <c r="BA37" s="70" t="str">
        <f>IF(EsteeNew!BA37-EsteeOld!BA37=0,"",EsteeNew!BA37-EsteeOld!BA37)</f>
        <v/>
      </c>
      <c r="BB37" s="70" t="str">
        <f>IF(EsteeNew!BB37-EsteeOld!BB37=0,"",EsteeNew!BB37-EsteeOld!BB37)</f>
        <v/>
      </c>
      <c r="BC37" s="70" t="str">
        <f>IF(EsteeNew!BC37-EsteeOld!BC37=0,"",EsteeNew!BC37-EsteeOld!BC37)</f>
        <v/>
      </c>
      <c r="BD37" s="70" t="str">
        <f>IF(EsteeNew!BD37-EsteeOld!BD37=0,"",EsteeNew!BD37-EsteeOld!BD37)</f>
        <v/>
      </c>
    </row>
    <row r="38" spans="3:56" x14ac:dyDescent="0.25">
      <c r="C38" s="108"/>
      <c r="D38" s="41" t="s">
        <v>30</v>
      </c>
      <c r="E38" s="68" t="str">
        <f>IF(EsteeNew!E38-EsteeOld!E38=0,"",EsteeNew!E38-EsteeOld!E38)</f>
        <v/>
      </c>
      <c r="F38" s="68" t="str">
        <f>IF(EsteeNew!F38-EsteeOld!F38=0,"",EsteeNew!F38-EsteeOld!F38)</f>
        <v/>
      </c>
      <c r="G38" s="68" t="str">
        <f>IF(EsteeNew!G38-EsteeOld!G38=0,"",EsteeNew!G38-EsteeOld!G38)</f>
        <v/>
      </c>
      <c r="H38" s="68" t="str">
        <f>IF(EsteeNew!H38-EsteeOld!H38=0,"",EsteeNew!H38-EsteeOld!H38)</f>
        <v/>
      </c>
      <c r="I38" s="68" t="str">
        <f>IF(EsteeNew!I38-EsteeOld!I38=0,"",EsteeNew!I38-EsteeOld!I38)</f>
        <v/>
      </c>
      <c r="J38" s="68" t="str">
        <f>IF(EsteeNew!J38-EsteeOld!J38=0,"",EsteeNew!J38-EsteeOld!J38)</f>
        <v/>
      </c>
      <c r="K38" s="68" t="str">
        <f>IF(EsteeNew!K38-EsteeOld!K38=0,"",EsteeNew!K38-EsteeOld!K38)</f>
        <v/>
      </c>
      <c r="L38" s="68" t="str">
        <f>IF(EsteeNew!L38-EsteeOld!L38=0,"",EsteeNew!L38-EsteeOld!L38)</f>
        <v/>
      </c>
      <c r="M38" s="68" t="str">
        <f>IF(EsteeNew!M38-EsteeOld!M38=0,"",EsteeNew!M38-EsteeOld!M38)</f>
        <v/>
      </c>
      <c r="N38" s="68" t="str">
        <f>IF(EsteeNew!N38-EsteeOld!N38=0,"",EsteeNew!N38-EsteeOld!N38)</f>
        <v/>
      </c>
      <c r="O38" s="68" t="str">
        <f>IF(EsteeNew!O38-EsteeOld!O38=0,"",EsteeNew!O38-EsteeOld!O38)</f>
        <v/>
      </c>
      <c r="P38" s="68" t="str">
        <f>IF(EsteeNew!P38-EsteeOld!P38=0,"",EsteeNew!P38-EsteeOld!P38)</f>
        <v/>
      </c>
      <c r="Q38" s="68" t="str">
        <f>IF(EsteeNew!Q38-EsteeOld!Q38=0,"",EsteeNew!Q38-EsteeOld!Q38)</f>
        <v/>
      </c>
      <c r="R38" s="68" t="str">
        <f>IF(EsteeNew!R38-EsteeOld!R38=0,"",EsteeNew!R38-EsteeOld!R38)</f>
        <v/>
      </c>
      <c r="S38" s="68" t="str">
        <f>IF(EsteeNew!S38-EsteeOld!S38=0,"",EsteeNew!S38-EsteeOld!S38)</f>
        <v/>
      </c>
      <c r="T38" s="68" t="str">
        <f>IF(EsteeNew!T38-EsteeOld!T38=0,"",EsteeNew!T38-EsteeOld!T38)</f>
        <v/>
      </c>
      <c r="U38" s="68" t="str">
        <f>IF(EsteeNew!U38-EsteeOld!U38=0,"",EsteeNew!U38-EsteeOld!U38)</f>
        <v/>
      </c>
      <c r="V38" s="68" t="str">
        <f>IF(EsteeNew!V38-EsteeOld!V38=0,"",EsteeNew!V38-EsteeOld!V38)</f>
        <v/>
      </c>
      <c r="W38" s="68" t="str">
        <f>IF(EsteeNew!W38-EsteeOld!W38=0,"",EsteeNew!W38-EsteeOld!W38)</f>
        <v/>
      </c>
      <c r="X38" s="68" t="str">
        <f>IF(EsteeNew!X38-EsteeOld!X38=0,"",EsteeNew!X38-EsteeOld!X38)</f>
        <v/>
      </c>
      <c r="Y38" s="68" t="str">
        <f>IF(EsteeNew!Y38-EsteeOld!Y38=0,"",EsteeNew!Y38-EsteeOld!Y38)</f>
        <v/>
      </c>
      <c r="Z38" s="68" t="str">
        <f>IF(EsteeNew!Z38-EsteeOld!Z38=0,"",EsteeNew!Z38-EsteeOld!Z38)</f>
        <v/>
      </c>
      <c r="AA38" s="68" t="str">
        <f>IF(EsteeNew!AA38-EsteeOld!AA38=0,"",EsteeNew!AA38-EsteeOld!AA38)</f>
        <v/>
      </c>
      <c r="AB38" s="68" t="str">
        <f>IF(EsteeNew!AB38-EsteeOld!AB38=0,"",EsteeNew!AB38-EsteeOld!AB38)</f>
        <v/>
      </c>
      <c r="AC38" s="68" t="str">
        <f>IF(EsteeNew!AC38-EsteeOld!AC38=0,"",EsteeNew!AC38-EsteeOld!AC38)</f>
        <v/>
      </c>
      <c r="AD38" s="68" t="str">
        <f>IF(EsteeNew!AD38-EsteeOld!AD38=0,"",EsteeNew!AD38-EsteeOld!AD38)</f>
        <v/>
      </c>
      <c r="AE38" s="68" t="str">
        <f>IF(EsteeNew!AE38-EsteeOld!AE38=0,"",EsteeNew!AE38-EsteeOld!AE38)</f>
        <v/>
      </c>
      <c r="AF38" s="68" t="str">
        <f>IF(EsteeNew!AF38-EsteeOld!AF38=0,"",EsteeNew!AF38-EsteeOld!AF38)</f>
        <v/>
      </c>
      <c r="AG38" s="68" t="str">
        <f>IF(EsteeNew!AG38-EsteeOld!AG38=0,"",EsteeNew!AG38-EsteeOld!AG38)</f>
        <v/>
      </c>
      <c r="AH38" s="68" t="str">
        <f>IF(EsteeNew!AH38-EsteeOld!AH38=0,"",EsteeNew!AH38-EsteeOld!AH38)</f>
        <v/>
      </c>
      <c r="AI38" s="68" t="str">
        <f>IF(EsteeNew!AI38-EsteeOld!AI38=0,"",EsteeNew!AI38-EsteeOld!AI38)</f>
        <v/>
      </c>
      <c r="AJ38" s="68" t="str">
        <f>IF(EsteeNew!AJ38-EsteeOld!AJ38=0,"",EsteeNew!AJ38-EsteeOld!AJ38)</f>
        <v/>
      </c>
      <c r="AK38" s="68" t="str">
        <f>IF(EsteeNew!AK38-EsteeOld!AK38=0,"",EsteeNew!AK38-EsteeOld!AK38)</f>
        <v/>
      </c>
      <c r="AL38" s="68" t="str">
        <f>IF(EsteeNew!AL38-EsteeOld!AL38=0,"",EsteeNew!AL38-EsteeOld!AL38)</f>
        <v/>
      </c>
      <c r="AM38" s="68" t="str">
        <f>IF(EsteeNew!AM38-EsteeOld!AM38=0,"",EsteeNew!AM38-EsteeOld!AM38)</f>
        <v/>
      </c>
      <c r="AN38" s="68" t="str">
        <f>IF(EsteeNew!AN38-EsteeOld!AN38=0,"",EsteeNew!AN38-EsteeOld!AN38)</f>
        <v/>
      </c>
      <c r="AO38" s="68" t="str">
        <f>IF(EsteeNew!AO38-EsteeOld!AO38=0,"",EsteeNew!AO38-EsteeOld!AO38)</f>
        <v/>
      </c>
      <c r="AP38" s="68" t="str">
        <f>IF(EsteeNew!AP38-EsteeOld!AP38=0,"",EsteeNew!AP38-EsteeOld!AP38)</f>
        <v/>
      </c>
      <c r="AQ38" s="68" t="str">
        <f>IF(EsteeNew!AQ38-EsteeOld!AQ38=0,"",EsteeNew!AQ38-EsteeOld!AQ38)</f>
        <v/>
      </c>
      <c r="AR38" s="68" t="str">
        <f>IF(EsteeNew!AR38-EsteeOld!AR38=0,"",EsteeNew!AR38-EsteeOld!AR38)</f>
        <v/>
      </c>
      <c r="AS38" s="68" t="str">
        <f>IF(EsteeNew!AS38-EsteeOld!AS38=0,"",EsteeNew!AS38-EsteeOld!AS38)</f>
        <v/>
      </c>
      <c r="AT38" s="68" t="str">
        <f>IF(EsteeNew!AT38-EsteeOld!AT38=0,"",EsteeNew!AT38-EsteeOld!AT38)</f>
        <v/>
      </c>
      <c r="AU38" s="68" t="str">
        <f>IF(EsteeNew!AU38-EsteeOld!AU38=0,"",EsteeNew!AU38-EsteeOld!AU38)</f>
        <v/>
      </c>
      <c r="AV38" s="68" t="str">
        <f>IF(EsteeNew!AV38-EsteeOld!AV38=0,"",EsteeNew!AV38-EsteeOld!AV38)</f>
        <v/>
      </c>
      <c r="AW38" s="68" t="str">
        <f>IF(EsteeNew!AW38-EsteeOld!AW38=0,"",EsteeNew!AW38-EsteeOld!AW38)</f>
        <v/>
      </c>
      <c r="AX38" s="68" t="str">
        <f>IF(EsteeNew!AX38-EsteeOld!AX38=0,"",EsteeNew!AX38-EsteeOld!AX38)</f>
        <v/>
      </c>
      <c r="AY38" s="68" t="str">
        <f>IF(EsteeNew!AY38-EsteeOld!AY38=0,"",EsteeNew!AY38-EsteeOld!AY38)</f>
        <v/>
      </c>
      <c r="AZ38" s="68" t="str">
        <f>IF(EsteeNew!AZ38-EsteeOld!AZ38=0,"",EsteeNew!AZ38-EsteeOld!AZ38)</f>
        <v/>
      </c>
      <c r="BA38" s="68" t="str">
        <f>IF(EsteeNew!BA38-EsteeOld!BA38=0,"",EsteeNew!BA38-EsteeOld!BA38)</f>
        <v/>
      </c>
      <c r="BB38" s="68" t="str">
        <f>IF(EsteeNew!BB38-EsteeOld!BB38=0,"",EsteeNew!BB38-EsteeOld!BB38)</f>
        <v/>
      </c>
      <c r="BC38" s="68" t="str">
        <f>IF(EsteeNew!BC38-EsteeOld!BC38=0,"",EsteeNew!BC38-EsteeOld!BC38)</f>
        <v/>
      </c>
      <c r="BD38" s="68" t="str">
        <f>IF(EsteeNew!BD38-EsteeOld!BD38=0,"",EsteeNew!BD38-EsteeOld!BD38)</f>
        <v/>
      </c>
    </row>
    <row r="39" spans="3:56" x14ac:dyDescent="0.25">
      <c r="C39" s="108"/>
      <c r="D39" s="41" t="s">
        <v>31</v>
      </c>
      <c r="E39" s="68" t="str">
        <f>IF(EsteeNew!E39-EsteeOld!E39=0,"",EsteeNew!E39-EsteeOld!E39)</f>
        <v/>
      </c>
      <c r="F39" s="68" t="str">
        <f>IF(EsteeNew!F39-EsteeOld!F39=0,"",EsteeNew!F39-EsteeOld!F39)</f>
        <v/>
      </c>
      <c r="G39" s="68" t="str">
        <f>IF(EsteeNew!G39-EsteeOld!G39=0,"",EsteeNew!G39-EsteeOld!G39)</f>
        <v/>
      </c>
      <c r="H39" s="68" t="str">
        <f>IF(EsteeNew!H39-EsteeOld!H39=0,"",EsteeNew!H39-EsteeOld!H39)</f>
        <v/>
      </c>
      <c r="I39" s="68" t="str">
        <f>IF(EsteeNew!I39-EsteeOld!I39=0,"",EsteeNew!I39-EsteeOld!I39)</f>
        <v/>
      </c>
      <c r="J39" s="68" t="str">
        <f>IF(EsteeNew!J39-EsteeOld!J39=0,"",EsteeNew!J39-EsteeOld!J39)</f>
        <v/>
      </c>
      <c r="K39" s="68" t="str">
        <f>IF(EsteeNew!K39-EsteeOld!K39=0,"",EsteeNew!K39-EsteeOld!K39)</f>
        <v/>
      </c>
      <c r="L39" s="68" t="str">
        <f>IF(EsteeNew!L39-EsteeOld!L39=0,"",EsteeNew!L39-EsteeOld!L39)</f>
        <v/>
      </c>
      <c r="M39" s="68" t="str">
        <f>IF(EsteeNew!M39-EsteeOld!M39=0,"",EsteeNew!M39-EsteeOld!M39)</f>
        <v/>
      </c>
      <c r="N39" s="68" t="str">
        <f>IF(EsteeNew!N39-EsteeOld!N39=0,"",EsteeNew!N39-EsteeOld!N39)</f>
        <v/>
      </c>
      <c r="O39" s="68" t="str">
        <f>IF(EsteeNew!O39-EsteeOld!O39=0,"",EsteeNew!O39-EsteeOld!O39)</f>
        <v/>
      </c>
      <c r="P39" s="68" t="str">
        <f>IF(EsteeNew!P39-EsteeOld!P39=0,"",EsteeNew!P39-EsteeOld!P39)</f>
        <v/>
      </c>
      <c r="Q39" s="68" t="str">
        <f>IF(EsteeNew!Q39-EsteeOld!Q39=0,"",EsteeNew!Q39-EsteeOld!Q39)</f>
        <v/>
      </c>
      <c r="R39" s="68" t="str">
        <f>IF(EsteeNew!R39-EsteeOld!R39=0,"",EsteeNew!R39-EsteeOld!R39)</f>
        <v/>
      </c>
      <c r="S39" s="68" t="str">
        <f>IF(EsteeNew!S39-EsteeOld!S39=0,"",EsteeNew!S39-EsteeOld!S39)</f>
        <v/>
      </c>
      <c r="T39" s="68" t="str">
        <f>IF(EsteeNew!T39-EsteeOld!T39=0,"",EsteeNew!T39-EsteeOld!T39)</f>
        <v/>
      </c>
      <c r="U39" s="68" t="str">
        <f>IF(EsteeNew!U39-EsteeOld!U39=0,"",EsteeNew!U39-EsteeOld!U39)</f>
        <v/>
      </c>
      <c r="V39" s="68" t="str">
        <f>IF(EsteeNew!V39-EsteeOld!V39=0,"",EsteeNew!V39-EsteeOld!V39)</f>
        <v/>
      </c>
      <c r="W39" s="68" t="str">
        <f>IF(EsteeNew!W39-EsteeOld!W39=0,"",EsteeNew!W39-EsteeOld!W39)</f>
        <v/>
      </c>
      <c r="X39" s="68" t="str">
        <f>IF(EsteeNew!X39-EsteeOld!X39=0,"",EsteeNew!X39-EsteeOld!X39)</f>
        <v/>
      </c>
      <c r="Y39" s="68" t="str">
        <f>IF(EsteeNew!Y39-EsteeOld!Y39=0,"",EsteeNew!Y39-EsteeOld!Y39)</f>
        <v/>
      </c>
      <c r="Z39" s="68" t="str">
        <f>IF(EsteeNew!Z39-EsteeOld!Z39=0,"",EsteeNew!Z39-EsteeOld!Z39)</f>
        <v/>
      </c>
      <c r="AA39" s="68" t="str">
        <f>IF(EsteeNew!AA39-EsteeOld!AA39=0,"",EsteeNew!AA39-EsteeOld!AA39)</f>
        <v/>
      </c>
      <c r="AB39" s="68" t="str">
        <f>IF(EsteeNew!AB39-EsteeOld!AB39=0,"",EsteeNew!AB39-EsteeOld!AB39)</f>
        <v/>
      </c>
      <c r="AC39" s="68" t="str">
        <f>IF(EsteeNew!AC39-EsteeOld!AC39=0,"",EsteeNew!AC39-EsteeOld!AC39)</f>
        <v/>
      </c>
      <c r="AD39" s="68" t="str">
        <f>IF(EsteeNew!AD39-EsteeOld!AD39=0,"",EsteeNew!AD39-EsteeOld!AD39)</f>
        <v/>
      </c>
      <c r="AE39" s="68" t="str">
        <f>IF(EsteeNew!AE39-EsteeOld!AE39=0,"",EsteeNew!AE39-EsteeOld!AE39)</f>
        <v/>
      </c>
      <c r="AF39" s="68" t="str">
        <f>IF(EsteeNew!AF39-EsteeOld!AF39=0,"",EsteeNew!AF39-EsteeOld!AF39)</f>
        <v/>
      </c>
      <c r="AG39" s="68" t="str">
        <f>IF(EsteeNew!AG39-EsteeOld!AG39=0,"",EsteeNew!AG39-EsteeOld!AG39)</f>
        <v/>
      </c>
      <c r="AH39" s="68" t="str">
        <f>IF(EsteeNew!AH39-EsteeOld!AH39=0,"",EsteeNew!AH39-EsteeOld!AH39)</f>
        <v/>
      </c>
      <c r="AI39" s="68" t="str">
        <f>IF(EsteeNew!AI39-EsteeOld!AI39=0,"",EsteeNew!AI39-EsteeOld!AI39)</f>
        <v/>
      </c>
      <c r="AJ39" s="68" t="str">
        <f>IF(EsteeNew!AJ39-EsteeOld!AJ39=0,"",EsteeNew!AJ39-EsteeOld!AJ39)</f>
        <v/>
      </c>
      <c r="AK39" s="68" t="str">
        <f>IF(EsteeNew!AK39-EsteeOld!AK39=0,"",EsteeNew!AK39-EsteeOld!AK39)</f>
        <v/>
      </c>
      <c r="AL39" s="68" t="str">
        <f>IF(EsteeNew!AL39-EsteeOld!AL39=0,"",EsteeNew!AL39-EsteeOld!AL39)</f>
        <v/>
      </c>
      <c r="AM39" s="68" t="str">
        <f>IF(EsteeNew!AM39-EsteeOld!AM39=0,"",EsteeNew!AM39-EsteeOld!AM39)</f>
        <v/>
      </c>
      <c r="AN39" s="68" t="str">
        <f>IF(EsteeNew!AN39-EsteeOld!AN39=0,"",EsteeNew!AN39-EsteeOld!AN39)</f>
        <v/>
      </c>
      <c r="AO39" s="68" t="str">
        <f>IF(EsteeNew!AO39-EsteeOld!AO39=0,"",EsteeNew!AO39-EsteeOld!AO39)</f>
        <v/>
      </c>
      <c r="AP39" s="68" t="str">
        <f>IF(EsteeNew!AP39-EsteeOld!AP39=0,"",EsteeNew!AP39-EsteeOld!AP39)</f>
        <v/>
      </c>
      <c r="AQ39" s="68" t="str">
        <f>IF(EsteeNew!AQ39-EsteeOld!AQ39=0,"",EsteeNew!AQ39-EsteeOld!AQ39)</f>
        <v/>
      </c>
      <c r="AR39" s="68" t="str">
        <f>IF(EsteeNew!AR39-EsteeOld!AR39=0,"",EsteeNew!AR39-EsteeOld!AR39)</f>
        <v/>
      </c>
      <c r="AS39" s="68" t="str">
        <f>IF(EsteeNew!AS39-EsteeOld!AS39=0,"",EsteeNew!AS39-EsteeOld!AS39)</f>
        <v/>
      </c>
      <c r="AT39" s="68" t="str">
        <f>IF(EsteeNew!AT39-EsteeOld!AT39=0,"",EsteeNew!AT39-EsteeOld!AT39)</f>
        <v/>
      </c>
      <c r="AU39" s="68" t="str">
        <f>IF(EsteeNew!AU39-EsteeOld!AU39=0,"",EsteeNew!AU39-EsteeOld!AU39)</f>
        <v/>
      </c>
      <c r="AV39" s="68" t="str">
        <f>IF(EsteeNew!AV39-EsteeOld!AV39=0,"",EsteeNew!AV39-EsteeOld!AV39)</f>
        <v/>
      </c>
      <c r="AW39" s="68" t="str">
        <f>IF(EsteeNew!AW39-EsteeOld!AW39=0,"",EsteeNew!AW39-EsteeOld!AW39)</f>
        <v/>
      </c>
      <c r="AX39" s="68" t="str">
        <f>IF(EsteeNew!AX39-EsteeOld!AX39=0,"",EsteeNew!AX39-EsteeOld!AX39)</f>
        <v/>
      </c>
      <c r="AY39" s="68" t="str">
        <f>IF(EsteeNew!AY39-EsteeOld!AY39=0,"",EsteeNew!AY39-EsteeOld!AY39)</f>
        <v/>
      </c>
      <c r="AZ39" s="68" t="str">
        <f>IF(EsteeNew!AZ39-EsteeOld!AZ39=0,"",EsteeNew!AZ39-EsteeOld!AZ39)</f>
        <v/>
      </c>
      <c r="BA39" s="68" t="str">
        <f>IF(EsteeNew!BA39-EsteeOld!BA39=0,"",EsteeNew!BA39-EsteeOld!BA39)</f>
        <v/>
      </c>
      <c r="BB39" s="68" t="str">
        <f>IF(EsteeNew!BB39-EsteeOld!BB39=0,"",EsteeNew!BB39-EsteeOld!BB39)</f>
        <v/>
      </c>
      <c r="BC39" s="68" t="str">
        <f>IF(EsteeNew!BC39-EsteeOld!BC39=0,"",EsteeNew!BC39-EsteeOld!BC39)</f>
        <v/>
      </c>
      <c r="BD39" s="68" t="str">
        <f>IF(EsteeNew!BD39-EsteeOld!BD39=0,"",EsteeNew!BD39-EsteeOld!BD39)</f>
        <v/>
      </c>
    </row>
    <row r="40" spans="3:56" x14ac:dyDescent="0.25">
      <c r="C40" s="108"/>
      <c r="D40" s="41" t="s">
        <v>33</v>
      </c>
      <c r="E40" s="83" t="str">
        <f>IF(EsteeNew!E40-EsteeOld!E40=0,"",EsteeNew!E40-EsteeOld!E40)</f>
        <v/>
      </c>
      <c r="F40" s="83" t="str">
        <f>IF(EsteeNew!F40-EsteeOld!F40=0,"",EsteeNew!F40-EsteeOld!F40)</f>
        <v/>
      </c>
      <c r="G40" s="83" t="str">
        <f>IF(EsteeNew!G40-EsteeOld!G40=0,"",EsteeNew!G40-EsteeOld!G40)</f>
        <v/>
      </c>
      <c r="H40" s="83" t="str">
        <f>IF(EsteeNew!H40-EsteeOld!H40=0,"",EsteeNew!H40-EsteeOld!H40)</f>
        <v/>
      </c>
      <c r="I40" s="83" t="str">
        <f>IF(EsteeNew!I40-EsteeOld!I40=0,"",EsteeNew!I40-EsteeOld!I40)</f>
        <v/>
      </c>
      <c r="J40" s="83" t="str">
        <f>IF(EsteeNew!J40-EsteeOld!J40=0,"",EsteeNew!J40-EsteeOld!J40)</f>
        <v/>
      </c>
      <c r="K40" s="83" t="str">
        <f>IF(EsteeNew!K40-EsteeOld!K40=0,"",EsteeNew!K40-EsteeOld!K40)</f>
        <v/>
      </c>
      <c r="L40" s="83" t="str">
        <f>IF(EsteeNew!L40-EsteeOld!L40=0,"",EsteeNew!L40-EsteeOld!L40)</f>
        <v/>
      </c>
      <c r="M40" s="83" t="str">
        <f>IF(EsteeNew!M40-EsteeOld!M40=0,"",EsteeNew!M40-EsteeOld!M40)</f>
        <v/>
      </c>
      <c r="N40" s="83" t="str">
        <f>IF(EsteeNew!N40-EsteeOld!N40=0,"",EsteeNew!N40-EsteeOld!N40)</f>
        <v/>
      </c>
      <c r="O40" s="83" t="str">
        <f>IF(EsteeNew!O40-EsteeOld!O40=0,"",EsteeNew!O40-EsteeOld!O40)</f>
        <v/>
      </c>
      <c r="P40" s="83" t="str">
        <f>IF(EsteeNew!P40-EsteeOld!P40=0,"",EsteeNew!P40-EsteeOld!P40)</f>
        <v/>
      </c>
      <c r="Q40" s="83" t="str">
        <f>IF(EsteeNew!Q40-EsteeOld!Q40=0,"",EsteeNew!Q40-EsteeOld!Q40)</f>
        <v/>
      </c>
      <c r="R40" s="83" t="str">
        <f>IF(EsteeNew!R40-EsteeOld!R40=0,"",EsteeNew!R40-EsteeOld!R40)</f>
        <v/>
      </c>
      <c r="S40" s="83" t="str">
        <f>IF(EsteeNew!S40-EsteeOld!S40=0,"",EsteeNew!S40-EsteeOld!S40)</f>
        <v/>
      </c>
      <c r="T40" s="83" t="str">
        <f>IF(EsteeNew!T40-EsteeOld!T40=0,"",EsteeNew!T40-EsteeOld!T40)</f>
        <v/>
      </c>
      <c r="U40" s="83" t="str">
        <f>IF(EsteeNew!U40-EsteeOld!U40=0,"",EsteeNew!U40-EsteeOld!U40)</f>
        <v/>
      </c>
      <c r="V40" s="83" t="str">
        <f>IF(EsteeNew!V40-EsteeOld!V40=0,"",EsteeNew!V40-EsteeOld!V40)</f>
        <v/>
      </c>
      <c r="W40" s="83" t="str">
        <f>IF(EsteeNew!W40-EsteeOld!W40=0,"",EsteeNew!W40-EsteeOld!W40)</f>
        <v/>
      </c>
      <c r="X40" s="83" t="str">
        <f>IF(EsteeNew!X40-EsteeOld!X40=0,"",EsteeNew!X40-EsteeOld!X40)</f>
        <v/>
      </c>
      <c r="Y40" s="83" t="str">
        <f>IF(EsteeNew!Y40-EsteeOld!Y40=0,"",EsteeNew!Y40-EsteeOld!Y40)</f>
        <v/>
      </c>
      <c r="Z40" s="83" t="str">
        <f>IF(EsteeNew!Z40-EsteeOld!Z40=0,"",EsteeNew!Z40-EsteeOld!Z40)</f>
        <v/>
      </c>
      <c r="AA40" s="83" t="str">
        <f>IF(EsteeNew!AA40-EsteeOld!AA40=0,"",EsteeNew!AA40-EsteeOld!AA40)</f>
        <v/>
      </c>
      <c r="AB40" s="83" t="str">
        <f>IF(EsteeNew!AB40-EsteeOld!AB40=0,"",EsteeNew!AB40-EsteeOld!AB40)</f>
        <v/>
      </c>
      <c r="AC40" s="83" t="str">
        <f>IF(EsteeNew!AC40-EsteeOld!AC40=0,"",EsteeNew!AC40-EsteeOld!AC40)</f>
        <v/>
      </c>
      <c r="AD40" s="83" t="str">
        <f>IF(EsteeNew!AD40-EsteeOld!AD40=0,"",EsteeNew!AD40-EsteeOld!AD40)</f>
        <v/>
      </c>
      <c r="AE40" s="83" t="str">
        <f>IF(EsteeNew!AE40-EsteeOld!AE40=0,"",EsteeNew!AE40-EsteeOld!AE40)</f>
        <v/>
      </c>
      <c r="AF40" s="83" t="str">
        <f>IF(EsteeNew!AF40-EsteeOld!AF40=0,"",EsteeNew!AF40-EsteeOld!AF40)</f>
        <v/>
      </c>
      <c r="AG40" s="83" t="str">
        <f>IF(EsteeNew!AG40-EsteeOld!AG40=0,"",EsteeNew!AG40-EsteeOld!AG40)</f>
        <v/>
      </c>
      <c r="AH40" s="83" t="str">
        <f>IF(EsteeNew!AH40-EsteeOld!AH40=0,"",EsteeNew!AH40-EsteeOld!AH40)</f>
        <v/>
      </c>
      <c r="AI40" s="83" t="str">
        <f>IF(EsteeNew!AI40-EsteeOld!AI40=0,"",EsteeNew!AI40-EsteeOld!AI40)</f>
        <v/>
      </c>
      <c r="AJ40" s="83" t="str">
        <f>IF(EsteeNew!AJ40-EsteeOld!AJ40=0,"",EsteeNew!AJ40-EsteeOld!AJ40)</f>
        <v/>
      </c>
      <c r="AK40" s="83" t="str">
        <f>IF(EsteeNew!AK40-EsteeOld!AK40=0,"",EsteeNew!AK40-EsteeOld!AK40)</f>
        <v/>
      </c>
      <c r="AL40" s="83" t="str">
        <f>IF(EsteeNew!AL40-EsteeOld!AL40=0,"",EsteeNew!AL40-EsteeOld!AL40)</f>
        <v/>
      </c>
      <c r="AM40" s="83" t="str">
        <f>IF(EsteeNew!AM40-EsteeOld!AM40=0,"",EsteeNew!AM40-EsteeOld!AM40)</f>
        <v/>
      </c>
      <c r="AN40" s="83" t="str">
        <f>IF(EsteeNew!AN40-EsteeOld!AN40=0,"",EsteeNew!AN40-EsteeOld!AN40)</f>
        <v/>
      </c>
      <c r="AO40" s="83" t="str">
        <f>IF(EsteeNew!AO40-EsteeOld!AO40=0,"",EsteeNew!AO40-EsteeOld!AO40)</f>
        <v/>
      </c>
      <c r="AP40" s="83" t="str">
        <f>IF(EsteeNew!AP40-EsteeOld!AP40=0,"",EsteeNew!AP40-EsteeOld!AP40)</f>
        <v/>
      </c>
      <c r="AQ40" s="83" t="str">
        <f>IF(EsteeNew!AQ40-EsteeOld!AQ40=0,"",EsteeNew!AQ40-EsteeOld!AQ40)</f>
        <v/>
      </c>
      <c r="AR40" s="83" t="str">
        <f>IF(EsteeNew!AR40-EsteeOld!AR40=0,"",EsteeNew!AR40-EsteeOld!AR40)</f>
        <v/>
      </c>
      <c r="AS40" s="83" t="str">
        <f>IF(EsteeNew!AS40-EsteeOld!AS40=0,"",EsteeNew!AS40-EsteeOld!AS40)</f>
        <v/>
      </c>
      <c r="AT40" s="83" t="str">
        <f>IF(EsteeNew!AT40-EsteeOld!AT40=0,"",EsteeNew!AT40-EsteeOld!AT40)</f>
        <v/>
      </c>
      <c r="AU40" s="83" t="str">
        <f>IF(EsteeNew!AU40-EsteeOld!AU40=0,"",EsteeNew!AU40-EsteeOld!AU40)</f>
        <v/>
      </c>
      <c r="AV40" s="83" t="str">
        <f>IF(EsteeNew!AV40-EsteeOld!AV40=0,"",EsteeNew!AV40-EsteeOld!AV40)</f>
        <v/>
      </c>
      <c r="AW40" s="83" t="str">
        <f>IF(EsteeNew!AW40-EsteeOld!AW40=0,"",EsteeNew!AW40-EsteeOld!AW40)</f>
        <v/>
      </c>
      <c r="AX40" s="83" t="str">
        <f>IF(EsteeNew!AX40-EsteeOld!AX40=0,"",EsteeNew!AX40-EsteeOld!AX40)</f>
        <v/>
      </c>
      <c r="AY40" s="83" t="str">
        <f>IF(EsteeNew!AY40-EsteeOld!AY40=0,"",EsteeNew!AY40-EsteeOld!AY40)</f>
        <v/>
      </c>
      <c r="AZ40" s="83" t="str">
        <f>IF(EsteeNew!AZ40-EsteeOld!AZ40=0,"",EsteeNew!AZ40-EsteeOld!AZ40)</f>
        <v/>
      </c>
      <c r="BA40" s="83" t="str">
        <f>IF(EsteeNew!BA40-EsteeOld!BA40=0,"",EsteeNew!BA40-EsteeOld!BA40)</f>
        <v/>
      </c>
      <c r="BB40" s="83" t="str">
        <f>IF(EsteeNew!BB40-EsteeOld!BB40=0,"",EsteeNew!BB40-EsteeOld!BB40)</f>
        <v/>
      </c>
      <c r="BC40" s="83" t="str">
        <f>IF(EsteeNew!BC40-EsteeOld!BC40=0,"",EsteeNew!BC40-EsteeOld!BC40)</f>
        <v/>
      </c>
      <c r="BD40" s="83" t="str">
        <f>IF(EsteeNew!BD40-EsteeOld!BD40=0,"",EsteeNew!BD40-EsteeOld!BD40)</f>
        <v/>
      </c>
    </row>
    <row r="41" spans="3:56" x14ac:dyDescent="0.25">
      <c r="C41" s="108"/>
      <c r="E41" s="45"/>
      <c r="F41" s="45"/>
      <c r="G41" s="45"/>
      <c r="H41" s="45"/>
      <c r="I41" s="45"/>
      <c r="J41" s="45"/>
      <c r="K41" s="45"/>
      <c r="L41" s="45"/>
      <c r="M41" s="45"/>
    </row>
    <row r="42" spans="3:56" x14ac:dyDescent="0.25">
      <c r="C42" s="108"/>
      <c r="D42" s="59" t="s">
        <v>34</v>
      </c>
      <c r="E42" s="65" t="str">
        <f>IF(EsteeNew!E42-EsteeOld!E42=0,"",EsteeNew!E42-EsteeOld!E42)</f>
        <v/>
      </c>
      <c r="F42" s="65" t="str">
        <f>IF(EsteeNew!F42-EsteeOld!F42=0,"",EsteeNew!F42-EsteeOld!F42)</f>
        <v/>
      </c>
      <c r="G42" s="65" t="str">
        <f>IF(EsteeNew!G42-EsteeOld!G42=0,"",EsteeNew!G42-EsteeOld!G42)</f>
        <v/>
      </c>
      <c r="H42" s="65" t="str">
        <f>IF(EsteeNew!H42-EsteeOld!H42=0,"",EsteeNew!H42-EsteeOld!H42)</f>
        <v/>
      </c>
      <c r="I42" s="65" t="str">
        <f>IF(EsteeNew!I42-EsteeOld!I42=0,"",EsteeNew!I42-EsteeOld!I42)</f>
        <v/>
      </c>
      <c r="J42" s="65" t="str">
        <f>IF(EsteeNew!J42-EsteeOld!J42=0,"",EsteeNew!J42-EsteeOld!J42)</f>
        <v/>
      </c>
      <c r="K42" s="65" t="str">
        <f>IF(EsteeNew!K42-EsteeOld!K42=0,"",EsteeNew!K42-EsteeOld!K42)</f>
        <v/>
      </c>
      <c r="L42" s="65" t="str">
        <f>IF(EsteeNew!L42-EsteeOld!L42=0,"",EsteeNew!L42-EsteeOld!L42)</f>
        <v/>
      </c>
      <c r="M42" s="65" t="str">
        <f>IF(EsteeNew!M42-EsteeOld!M42=0,"",EsteeNew!M42-EsteeOld!M42)</f>
        <v/>
      </c>
      <c r="N42" s="65" t="str">
        <f>IF(EsteeNew!N42-EsteeOld!N42=0,"",EsteeNew!N42-EsteeOld!N42)</f>
        <v/>
      </c>
      <c r="O42" s="65" t="str">
        <f>IF(EsteeNew!O42-EsteeOld!O42=0,"",EsteeNew!O42-EsteeOld!O42)</f>
        <v/>
      </c>
      <c r="P42" s="65" t="str">
        <f>IF(EsteeNew!P42-EsteeOld!P42=0,"",EsteeNew!P42-EsteeOld!P42)</f>
        <v/>
      </c>
      <c r="Q42" s="65" t="str">
        <f>IF(EsteeNew!Q42-EsteeOld!Q42=0,"",EsteeNew!Q42-EsteeOld!Q42)</f>
        <v/>
      </c>
      <c r="R42" s="65" t="str">
        <f>IF(EsteeNew!R42-EsteeOld!R42=0,"",EsteeNew!R42-EsteeOld!R42)</f>
        <v/>
      </c>
      <c r="S42" s="65" t="str">
        <f>IF(EsteeNew!S42-EsteeOld!S42=0,"",EsteeNew!S42-EsteeOld!S42)</f>
        <v/>
      </c>
      <c r="T42" s="65" t="str">
        <f>IF(EsteeNew!T42-EsteeOld!T42=0,"",EsteeNew!T42-EsteeOld!T42)</f>
        <v/>
      </c>
      <c r="U42" s="65" t="str">
        <f>IF(EsteeNew!U42-EsteeOld!U42=0,"",EsteeNew!U42-EsteeOld!U42)</f>
        <v/>
      </c>
      <c r="V42" s="65" t="str">
        <f>IF(EsteeNew!V42-EsteeOld!V42=0,"",EsteeNew!V42-EsteeOld!V42)</f>
        <v/>
      </c>
      <c r="W42" s="65" t="str">
        <f>IF(EsteeNew!W42-EsteeOld!W42=0,"",EsteeNew!W42-EsteeOld!W42)</f>
        <v/>
      </c>
      <c r="X42" s="65" t="str">
        <f>IF(EsteeNew!X42-EsteeOld!X42=0,"",EsteeNew!X42-EsteeOld!X42)</f>
        <v/>
      </c>
      <c r="Y42" s="65" t="str">
        <f>IF(EsteeNew!Y42-EsteeOld!Y42=0,"",EsteeNew!Y42-EsteeOld!Y42)</f>
        <v/>
      </c>
      <c r="Z42" s="65" t="str">
        <f>IF(EsteeNew!Z42-EsteeOld!Z42=0,"",EsteeNew!Z42-EsteeOld!Z42)</f>
        <v/>
      </c>
      <c r="AA42" s="65" t="str">
        <f>IF(EsteeNew!AA42-EsteeOld!AA42=0,"",EsteeNew!AA42-EsteeOld!AA42)</f>
        <v/>
      </c>
      <c r="AB42" s="65" t="str">
        <f>IF(EsteeNew!AB42-EsteeOld!AB42=0,"",EsteeNew!AB42-EsteeOld!AB42)</f>
        <v/>
      </c>
      <c r="AC42" s="65" t="str">
        <f>IF(EsteeNew!AC42-EsteeOld!AC42=0,"",EsteeNew!AC42-EsteeOld!AC42)</f>
        <v/>
      </c>
      <c r="AD42" s="65" t="str">
        <f>IF(EsteeNew!AD42-EsteeOld!AD42=0,"",EsteeNew!AD42-EsteeOld!AD42)</f>
        <v/>
      </c>
      <c r="AE42" s="65" t="str">
        <f>IF(EsteeNew!AE42-EsteeOld!AE42=0,"",EsteeNew!AE42-EsteeOld!AE42)</f>
        <v/>
      </c>
      <c r="AF42" s="65" t="str">
        <f>IF(EsteeNew!AF42-EsteeOld!AF42=0,"",EsteeNew!AF42-EsteeOld!AF42)</f>
        <v/>
      </c>
      <c r="AG42" s="65" t="str">
        <f>IF(EsteeNew!AG42-EsteeOld!AG42=0,"",EsteeNew!AG42-EsteeOld!AG42)</f>
        <v/>
      </c>
      <c r="AH42" s="65" t="str">
        <f>IF(EsteeNew!AH42-EsteeOld!AH42=0,"",EsteeNew!AH42-EsteeOld!AH42)</f>
        <v/>
      </c>
      <c r="AI42" s="65" t="str">
        <f>IF(EsteeNew!AI42-EsteeOld!AI42=0,"",EsteeNew!AI42-EsteeOld!AI42)</f>
        <v/>
      </c>
      <c r="AJ42" s="65" t="str">
        <f>IF(EsteeNew!AJ42-EsteeOld!AJ42=0,"",EsteeNew!AJ42-EsteeOld!AJ42)</f>
        <v/>
      </c>
      <c r="AK42" s="65" t="str">
        <f>IF(EsteeNew!AK42-EsteeOld!AK42=0,"",EsteeNew!AK42-EsteeOld!AK42)</f>
        <v/>
      </c>
      <c r="AL42" s="65" t="str">
        <f>IF(EsteeNew!AL42-EsteeOld!AL42=0,"",EsteeNew!AL42-EsteeOld!AL42)</f>
        <v/>
      </c>
      <c r="AM42" s="65" t="str">
        <f>IF(EsteeNew!AM42-EsteeOld!AM42=0,"",EsteeNew!AM42-EsteeOld!AM42)</f>
        <v/>
      </c>
      <c r="AN42" s="65" t="str">
        <f>IF(EsteeNew!AN42-EsteeOld!AN42=0,"",EsteeNew!AN42-EsteeOld!AN42)</f>
        <v/>
      </c>
      <c r="AO42" s="65" t="str">
        <f>IF(EsteeNew!AO42-EsteeOld!AO42=0,"",EsteeNew!AO42-EsteeOld!AO42)</f>
        <v/>
      </c>
      <c r="AP42" s="65" t="str">
        <f>IF(EsteeNew!AP42-EsteeOld!AP42=0,"",EsteeNew!AP42-EsteeOld!AP42)</f>
        <v/>
      </c>
      <c r="AQ42" s="65" t="str">
        <f>IF(EsteeNew!AQ42-EsteeOld!AQ42=0,"",EsteeNew!AQ42-EsteeOld!AQ42)</f>
        <v/>
      </c>
      <c r="AR42" s="65" t="str">
        <f>IF(EsteeNew!AR42-EsteeOld!AR42=0,"",EsteeNew!AR42-EsteeOld!AR42)</f>
        <v/>
      </c>
      <c r="AS42" s="65" t="str">
        <f>IF(EsteeNew!AS42-EsteeOld!AS42=0,"",EsteeNew!AS42-EsteeOld!AS42)</f>
        <v/>
      </c>
      <c r="AT42" s="65" t="str">
        <f>IF(EsteeNew!AT42-EsteeOld!AT42=0,"",EsteeNew!AT42-EsteeOld!AT42)</f>
        <v/>
      </c>
      <c r="AU42" s="65" t="str">
        <f>IF(EsteeNew!AU42-EsteeOld!AU42=0,"",EsteeNew!AU42-EsteeOld!AU42)</f>
        <v/>
      </c>
      <c r="AV42" s="65" t="str">
        <f>IF(EsteeNew!AV42-EsteeOld!AV42=0,"",EsteeNew!AV42-EsteeOld!AV42)</f>
        <v/>
      </c>
      <c r="AW42" s="65" t="str">
        <f>IF(EsteeNew!AW42-EsteeOld!AW42=0,"",EsteeNew!AW42-EsteeOld!AW42)</f>
        <v/>
      </c>
      <c r="AX42" s="65" t="str">
        <f>IF(EsteeNew!AX42-EsteeOld!AX42=0,"",EsteeNew!AX42-EsteeOld!AX42)</f>
        <v/>
      </c>
      <c r="AY42" s="65" t="str">
        <f>IF(EsteeNew!AY42-EsteeOld!AY42=0,"",EsteeNew!AY42-EsteeOld!AY42)</f>
        <v/>
      </c>
      <c r="AZ42" s="65" t="str">
        <f>IF(EsteeNew!AZ42-EsteeOld!AZ42=0,"",EsteeNew!AZ42-EsteeOld!AZ42)</f>
        <v/>
      </c>
      <c r="BA42" s="65" t="str">
        <f>IF(EsteeNew!BA42-EsteeOld!BA42=0,"",EsteeNew!BA42-EsteeOld!BA42)</f>
        <v/>
      </c>
      <c r="BB42" s="65" t="str">
        <f>IF(EsteeNew!BB42-EsteeOld!BB42=0,"",EsteeNew!BB42-EsteeOld!BB42)</f>
        <v/>
      </c>
      <c r="BC42" s="65" t="str">
        <f>IF(EsteeNew!BC42-EsteeOld!BC42=0,"",EsteeNew!BC42-EsteeOld!BC42)</f>
        <v/>
      </c>
      <c r="BD42" s="65" t="str">
        <f>IF(EsteeNew!BD42-EsteeOld!BD42=0,"",EsteeNew!BD42-EsteeOld!BD42)</f>
        <v/>
      </c>
    </row>
    <row r="43" spans="3:56" x14ac:dyDescent="0.25">
      <c r="C43" s="108"/>
      <c r="D43" s="59" t="s">
        <v>35</v>
      </c>
      <c r="E43" s="65" t="str">
        <f>IF(EsteeNew!E43-EsteeOld!E43=0,"",EsteeNew!E43-EsteeOld!E43)</f>
        <v/>
      </c>
      <c r="F43" s="65" t="str">
        <f>IF(EsteeNew!F43-EsteeOld!F43=0,"",EsteeNew!F43-EsteeOld!F43)</f>
        <v/>
      </c>
      <c r="G43" s="65" t="str">
        <f>IF(EsteeNew!G43-EsteeOld!G43=0,"",EsteeNew!G43-EsteeOld!G43)</f>
        <v/>
      </c>
      <c r="H43" s="65" t="str">
        <f>IF(EsteeNew!H43-EsteeOld!H43=0,"",EsteeNew!H43-EsteeOld!H43)</f>
        <v/>
      </c>
      <c r="I43" s="65" t="str">
        <f>IF(EsteeNew!I43-EsteeOld!I43=0,"",EsteeNew!I43-EsteeOld!I43)</f>
        <v/>
      </c>
      <c r="J43" s="65" t="str">
        <f>IF(EsteeNew!J43-EsteeOld!J43=0,"",EsteeNew!J43-EsteeOld!J43)</f>
        <v/>
      </c>
      <c r="K43" s="65" t="str">
        <f>IF(EsteeNew!K43-EsteeOld!K43=0,"",EsteeNew!K43-EsteeOld!K43)</f>
        <v/>
      </c>
      <c r="L43" s="65" t="str">
        <f>IF(EsteeNew!L43-EsteeOld!L43=0,"",EsteeNew!L43-EsteeOld!L43)</f>
        <v/>
      </c>
      <c r="M43" s="65" t="str">
        <f>IF(EsteeNew!M43-EsteeOld!M43=0,"",EsteeNew!M43-EsteeOld!M43)</f>
        <v/>
      </c>
      <c r="N43" s="65" t="str">
        <f>IF(EsteeNew!N43-EsteeOld!N43=0,"",EsteeNew!N43-EsteeOld!N43)</f>
        <v/>
      </c>
      <c r="O43" s="65" t="str">
        <f>IF(EsteeNew!O43-EsteeOld!O43=0,"",EsteeNew!O43-EsteeOld!O43)</f>
        <v/>
      </c>
      <c r="P43" s="65" t="str">
        <f>IF(EsteeNew!P43-EsteeOld!P43=0,"",EsteeNew!P43-EsteeOld!P43)</f>
        <v/>
      </c>
      <c r="Q43" s="65" t="str">
        <f>IF(EsteeNew!Q43-EsteeOld!Q43=0,"",EsteeNew!Q43-EsteeOld!Q43)</f>
        <v/>
      </c>
      <c r="R43" s="65" t="str">
        <f>IF(EsteeNew!R43-EsteeOld!R43=0,"",EsteeNew!R43-EsteeOld!R43)</f>
        <v/>
      </c>
      <c r="S43" s="65" t="str">
        <f>IF(EsteeNew!S43-EsteeOld!S43=0,"",EsteeNew!S43-EsteeOld!S43)</f>
        <v/>
      </c>
      <c r="T43" s="65" t="str">
        <f>IF(EsteeNew!T43-EsteeOld!T43=0,"",EsteeNew!T43-EsteeOld!T43)</f>
        <v/>
      </c>
      <c r="U43" s="65" t="str">
        <f>IF(EsteeNew!U43-EsteeOld!U43=0,"",EsteeNew!U43-EsteeOld!U43)</f>
        <v/>
      </c>
      <c r="V43" s="65" t="str">
        <f>IF(EsteeNew!V43-EsteeOld!V43=0,"",EsteeNew!V43-EsteeOld!V43)</f>
        <v/>
      </c>
      <c r="W43" s="65" t="str">
        <f>IF(EsteeNew!W43-EsteeOld!W43=0,"",EsteeNew!W43-EsteeOld!W43)</f>
        <v/>
      </c>
      <c r="X43" s="65" t="str">
        <f>IF(EsteeNew!X43-EsteeOld!X43=0,"",EsteeNew!X43-EsteeOld!X43)</f>
        <v/>
      </c>
      <c r="Y43" s="65" t="str">
        <f>IF(EsteeNew!Y43-EsteeOld!Y43=0,"",EsteeNew!Y43-EsteeOld!Y43)</f>
        <v/>
      </c>
      <c r="Z43" s="65" t="str">
        <f>IF(EsteeNew!Z43-EsteeOld!Z43=0,"",EsteeNew!Z43-EsteeOld!Z43)</f>
        <v/>
      </c>
      <c r="AA43" s="65" t="str">
        <f>IF(EsteeNew!AA43-EsteeOld!AA43=0,"",EsteeNew!AA43-EsteeOld!AA43)</f>
        <v/>
      </c>
      <c r="AB43" s="65" t="str">
        <f>IF(EsteeNew!AB43-EsteeOld!AB43=0,"",EsteeNew!AB43-EsteeOld!AB43)</f>
        <v/>
      </c>
      <c r="AC43" s="65" t="str">
        <f>IF(EsteeNew!AC43-EsteeOld!AC43=0,"",EsteeNew!AC43-EsteeOld!AC43)</f>
        <v/>
      </c>
      <c r="AD43" s="65" t="str">
        <f>IF(EsteeNew!AD43-EsteeOld!AD43=0,"",EsteeNew!AD43-EsteeOld!AD43)</f>
        <v/>
      </c>
      <c r="AE43" s="65" t="str">
        <f>IF(EsteeNew!AE43-EsteeOld!AE43=0,"",EsteeNew!AE43-EsteeOld!AE43)</f>
        <v/>
      </c>
      <c r="AF43" s="65" t="str">
        <f>IF(EsteeNew!AF43-EsteeOld!AF43=0,"",EsteeNew!AF43-EsteeOld!AF43)</f>
        <v/>
      </c>
      <c r="AG43" s="65" t="str">
        <f>IF(EsteeNew!AG43-EsteeOld!AG43=0,"",EsteeNew!AG43-EsteeOld!AG43)</f>
        <v/>
      </c>
      <c r="AH43" s="65" t="str">
        <f>IF(EsteeNew!AH43-EsteeOld!AH43=0,"",EsteeNew!AH43-EsteeOld!AH43)</f>
        <v/>
      </c>
      <c r="AI43" s="65" t="str">
        <f>IF(EsteeNew!AI43-EsteeOld!AI43=0,"",EsteeNew!AI43-EsteeOld!AI43)</f>
        <v/>
      </c>
      <c r="AJ43" s="65" t="str">
        <f>IF(EsteeNew!AJ43-EsteeOld!AJ43=0,"",EsteeNew!AJ43-EsteeOld!AJ43)</f>
        <v/>
      </c>
      <c r="AK43" s="65" t="str">
        <f>IF(EsteeNew!AK43-EsteeOld!AK43=0,"",EsteeNew!AK43-EsteeOld!AK43)</f>
        <v/>
      </c>
      <c r="AL43" s="65" t="str">
        <f>IF(EsteeNew!AL43-EsteeOld!AL43=0,"",EsteeNew!AL43-EsteeOld!AL43)</f>
        <v/>
      </c>
      <c r="AM43" s="65" t="str">
        <f>IF(EsteeNew!AM43-EsteeOld!AM43=0,"",EsteeNew!AM43-EsteeOld!AM43)</f>
        <v/>
      </c>
      <c r="AN43" s="65" t="str">
        <f>IF(EsteeNew!AN43-EsteeOld!AN43=0,"",EsteeNew!AN43-EsteeOld!AN43)</f>
        <v/>
      </c>
      <c r="AO43" s="65" t="str">
        <f>IF(EsteeNew!AO43-EsteeOld!AO43=0,"",EsteeNew!AO43-EsteeOld!AO43)</f>
        <v/>
      </c>
      <c r="AP43" s="65" t="str">
        <f>IF(EsteeNew!AP43-EsteeOld!AP43=0,"",EsteeNew!AP43-EsteeOld!AP43)</f>
        <v/>
      </c>
      <c r="AQ43" s="65" t="str">
        <f>IF(EsteeNew!AQ43-EsteeOld!AQ43=0,"",EsteeNew!AQ43-EsteeOld!AQ43)</f>
        <v/>
      </c>
      <c r="AR43" s="65" t="str">
        <f>IF(EsteeNew!AR43-EsteeOld!AR43=0,"",EsteeNew!AR43-EsteeOld!AR43)</f>
        <v/>
      </c>
      <c r="AS43" s="65" t="str">
        <f>IF(EsteeNew!AS43-EsteeOld!AS43=0,"",EsteeNew!AS43-EsteeOld!AS43)</f>
        <v/>
      </c>
      <c r="AT43" s="65" t="str">
        <f>IF(EsteeNew!AT43-EsteeOld!AT43=0,"",EsteeNew!AT43-EsteeOld!AT43)</f>
        <v/>
      </c>
      <c r="AU43" s="65" t="str">
        <f>IF(EsteeNew!AU43-EsteeOld!AU43=0,"",EsteeNew!AU43-EsteeOld!AU43)</f>
        <v/>
      </c>
      <c r="AV43" s="65" t="str">
        <f>IF(EsteeNew!AV43-EsteeOld!AV43=0,"",EsteeNew!AV43-EsteeOld!AV43)</f>
        <v/>
      </c>
      <c r="AW43" s="65" t="str">
        <f>IF(EsteeNew!AW43-EsteeOld!AW43=0,"",EsteeNew!AW43-EsteeOld!AW43)</f>
        <v/>
      </c>
      <c r="AX43" s="65" t="str">
        <f>IF(EsteeNew!AX43-EsteeOld!AX43=0,"",EsteeNew!AX43-EsteeOld!AX43)</f>
        <v/>
      </c>
      <c r="AY43" s="65" t="str">
        <f>IF(EsteeNew!AY43-EsteeOld!AY43=0,"",EsteeNew!AY43-EsteeOld!AY43)</f>
        <v/>
      </c>
      <c r="AZ43" s="65" t="str">
        <f>IF(EsteeNew!AZ43-EsteeOld!AZ43=0,"",EsteeNew!AZ43-EsteeOld!AZ43)</f>
        <v/>
      </c>
      <c r="BA43" s="65" t="str">
        <f>IF(EsteeNew!BA43-EsteeOld!BA43=0,"",EsteeNew!BA43-EsteeOld!BA43)</f>
        <v/>
      </c>
      <c r="BB43" s="65" t="str">
        <f>IF(EsteeNew!BB43-EsteeOld!BB43=0,"",EsteeNew!BB43-EsteeOld!BB43)</f>
        <v/>
      </c>
      <c r="BC43" s="65" t="str">
        <f>IF(EsteeNew!BC43-EsteeOld!BC43=0,"",EsteeNew!BC43-EsteeOld!BC43)</f>
        <v/>
      </c>
      <c r="BD43" s="65" t="str">
        <f>IF(EsteeNew!BD43-EsteeOld!BD43=0,"",EsteeNew!BD43-EsteeOld!BD43)</f>
        <v/>
      </c>
    </row>
    <row r="44" spans="3:56" x14ac:dyDescent="0.25">
      <c r="C44" s="108"/>
      <c r="D44" s="59" t="s">
        <v>36</v>
      </c>
      <c r="E44" s="65" t="str">
        <f>IF(EsteeNew!E44-EsteeOld!E44=0,"",EsteeNew!E44-EsteeOld!E44)</f>
        <v/>
      </c>
      <c r="F44" s="65" t="str">
        <f>IF(EsteeNew!F44-EsteeOld!F44=0,"",EsteeNew!F44-EsteeOld!F44)</f>
        <v/>
      </c>
      <c r="G44" s="65" t="str">
        <f>IF(EsteeNew!G44-EsteeOld!G44=0,"",EsteeNew!G44-EsteeOld!G44)</f>
        <v/>
      </c>
      <c r="H44" s="65" t="str">
        <f>IF(EsteeNew!H44-EsteeOld!H44=0,"",EsteeNew!H44-EsteeOld!H44)</f>
        <v/>
      </c>
      <c r="I44" s="65" t="str">
        <f>IF(EsteeNew!I44-EsteeOld!I44=0,"",EsteeNew!I44-EsteeOld!I44)</f>
        <v/>
      </c>
      <c r="J44" s="65" t="str">
        <f>IF(EsteeNew!J44-EsteeOld!J44=0,"",EsteeNew!J44-EsteeOld!J44)</f>
        <v/>
      </c>
      <c r="K44" s="65" t="str">
        <f>IF(EsteeNew!K44-EsteeOld!K44=0,"",EsteeNew!K44-EsteeOld!K44)</f>
        <v/>
      </c>
      <c r="L44" s="65" t="str">
        <f>IF(EsteeNew!L44-EsteeOld!L44=0,"",EsteeNew!L44-EsteeOld!L44)</f>
        <v/>
      </c>
      <c r="M44" s="65" t="str">
        <f>IF(EsteeNew!M44-EsteeOld!M44=0,"",EsteeNew!M44-EsteeOld!M44)</f>
        <v/>
      </c>
      <c r="N44" s="65" t="str">
        <f>IF(EsteeNew!N44-EsteeOld!N44=0,"",EsteeNew!N44-EsteeOld!N44)</f>
        <v/>
      </c>
      <c r="O44" s="65" t="str">
        <f>IF(EsteeNew!O44-EsteeOld!O44=0,"",EsteeNew!O44-EsteeOld!O44)</f>
        <v/>
      </c>
      <c r="P44" s="65" t="str">
        <f>IF(EsteeNew!P44-EsteeOld!P44=0,"",EsteeNew!P44-EsteeOld!P44)</f>
        <v/>
      </c>
      <c r="Q44" s="65" t="str">
        <f>IF(EsteeNew!Q44-EsteeOld!Q44=0,"",EsteeNew!Q44-EsteeOld!Q44)</f>
        <v/>
      </c>
      <c r="R44" s="65" t="str">
        <f>IF(EsteeNew!R44-EsteeOld!R44=0,"",EsteeNew!R44-EsteeOld!R44)</f>
        <v/>
      </c>
      <c r="S44" s="65" t="str">
        <f>IF(EsteeNew!S44-EsteeOld!S44=0,"",EsteeNew!S44-EsteeOld!S44)</f>
        <v/>
      </c>
      <c r="T44" s="65" t="str">
        <f>IF(EsteeNew!T44-EsteeOld!T44=0,"",EsteeNew!T44-EsteeOld!T44)</f>
        <v/>
      </c>
      <c r="U44" s="65" t="str">
        <f>IF(EsteeNew!U44-EsteeOld!U44=0,"",EsteeNew!U44-EsteeOld!U44)</f>
        <v/>
      </c>
      <c r="V44" s="65" t="str">
        <f>IF(EsteeNew!V44-EsteeOld!V44=0,"",EsteeNew!V44-EsteeOld!V44)</f>
        <v/>
      </c>
      <c r="W44" s="65" t="str">
        <f>IF(EsteeNew!W44-EsteeOld!W44=0,"",EsteeNew!W44-EsteeOld!W44)</f>
        <v/>
      </c>
      <c r="X44" s="65" t="str">
        <f>IF(EsteeNew!X44-EsteeOld!X44=0,"",EsteeNew!X44-EsteeOld!X44)</f>
        <v/>
      </c>
      <c r="Y44" s="65" t="str">
        <f>IF(EsteeNew!Y44-EsteeOld!Y44=0,"",EsteeNew!Y44-EsteeOld!Y44)</f>
        <v/>
      </c>
      <c r="Z44" s="65" t="str">
        <f>IF(EsteeNew!Z44-EsteeOld!Z44=0,"",EsteeNew!Z44-EsteeOld!Z44)</f>
        <v/>
      </c>
      <c r="AA44" s="65" t="str">
        <f>IF(EsteeNew!AA44-EsteeOld!AA44=0,"",EsteeNew!AA44-EsteeOld!AA44)</f>
        <v/>
      </c>
      <c r="AB44" s="65" t="str">
        <f>IF(EsteeNew!AB44-EsteeOld!AB44=0,"",EsteeNew!AB44-EsteeOld!AB44)</f>
        <v/>
      </c>
      <c r="AC44" s="65" t="str">
        <f>IF(EsteeNew!AC44-EsteeOld!AC44=0,"",EsteeNew!AC44-EsteeOld!AC44)</f>
        <v/>
      </c>
      <c r="AD44" s="65" t="str">
        <f>IF(EsteeNew!AD44-EsteeOld!AD44=0,"",EsteeNew!AD44-EsteeOld!AD44)</f>
        <v/>
      </c>
      <c r="AE44" s="65" t="str">
        <f>IF(EsteeNew!AE44-EsteeOld!AE44=0,"",EsteeNew!AE44-EsteeOld!AE44)</f>
        <v/>
      </c>
      <c r="AF44" s="65" t="str">
        <f>IF(EsteeNew!AF44-EsteeOld!AF44=0,"",EsteeNew!AF44-EsteeOld!AF44)</f>
        <v/>
      </c>
      <c r="AG44" s="65" t="str">
        <f>IF(EsteeNew!AG44-EsteeOld!AG44=0,"",EsteeNew!AG44-EsteeOld!AG44)</f>
        <v/>
      </c>
      <c r="AH44" s="65" t="str">
        <f>IF(EsteeNew!AH44-EsteeOld!AH44=0,"",EsteeNew!AH44-EsteeOld!AH44)</f>
        <v/>
      </c>
      <c r="AI44" s="65" t="str">
        <f>IF(EsteeNew!AI44-EsteeOld!AI44=0,"",EsteeNew!AI44-EsteeOld!AI44)</f>
        <v/>
      </c>
      <c r="AJ44" s="65" t="str">
        <f>IF(EsteeNew!AJ44-EsteeOld!AJ44=0,"",EsteeNew!AJ44-EsteeOld!AJ44)</f>
        <v/>
      </c>
      <c r="AK44" s="65" t="str">
        <f>IF(EsteeNew!AK44-EsteeOld!AK44=0,"",EsteeNew!AK44-EsteeOld!AK44)</f>
        <v/>
      </c>
      <c r="AL44" s="65" t="str">
        <f>IF(EsteeNew!AL44-EsteeOld!AL44=0,"",EsteeNew!AL44-EsteeOld!AL44)</f>
        <v/>
      </c>
      <c r="AM44" s="65" t="str">
        <f>IF(EsteeNew!AM44-EsteeOld!AM44=0,"",EsteeNew!AM44-EsteeOld!AM44)</f>
        <v/>
      </c>
      <c r="AN44" s="65" t="str">
        <f>IF(EsteeNew!AN44-EsteeOld!AN44=0,"",EsteeNew!AN44-EsteeOld!AN44)</f>
        <v/>
      </c>
      <c r="AO44" s="65" t="str">
        <f>IF(EsteeNew!AO44-EsteeOld!AO44=0,"",EsteeNew!AO44-EsteeOld!AO44)</f>
        <v/>
      </c>
      <c r="AP44" s="65" t="str">
        <f>IF(EsteeNew!AP44-EsteeOld!AP44=0,"",EsteeNew!AP44-EsteeOld!AP44)</f>
        <v/>
      </c>
      <c r="AQ44" s="65" t="str">
        <f>IF(EsteeNew!AQ44-EsteeOld!AQ44=0,"",EsteeNew!AQ44-EsteeOld!AQ44)</f>
        <v/>
      </c>
      <c r="AR44" s="65" t="str">
        <f>IF(EsteeNew!AR44-EsteeOld!AR44=0,"",EsteeNew!AR44-EsteeOld!AR44)</f>
        <v/>
      </c>
      <c r="AS44" s="65" t="str">
        <f>IF(EsteeNew!AS44-EsteeOld!AS44=0,"",EsteeNew!AS44-EsteeOld!AS44)</f>
        <v/>
      </c>
      <c r="AT44" s="65" t="str">
        <f>IF(EsteeNew!AT44-EsteeOld!AT44=0,"",EsteeNew!AT44-EsteeOld!AT44)</f>
        <v/>
      </c>
      <c r="AU44" s="65" t="str">
        <f>IF(EsteeNew!AU44-EsteeOld!AU44=0,"",EsteeNew!AU44-EsteeOld!AU44)</f>
        <v/>
      </c>
      <c r="AV44" s="65" t="str">
        <f>IF(EsteeNew!AV44-EsteeOld!AV44=0,"",EsteeNew!AV44-EsteeOld!AV44)</f>
        <v/>
      </c>
      <c r="AW44" s="65" t="str">
        <f>IF(EsteeNew!AW44-EsteeOld!AW44=0,"",EsteeNew!AW44-EsteeOld!AW44)</f>
        <v/>
      </c>
      <c r="AX44" s="65" t="str">
        <f>IF(EsteeNew!AX44-EsteeOld!AX44=0,"",EsteeNew!AX44-EsteeOld!AX44)</f>
        <v/>
      </c>
      <c r="AY44" s="65" t="str">
        <f>IF(EsteeNew!AY44-EsteeOld!AY44=0,"",EsteeNew!AY44-EsteeOld!AY44)</f>
        <v/>
      </c>
      <c r="AZ44" s="65" t="str">
        <f>IF(EsteeNew!AZ44-EsteeOld!AZ44=0,"",EsteeNew!AZ44-EsteeOld!AZ44)</f>
        <v/>
      </c>
      <c r="BA44" s="65" t="str">
        <f>IF(EsteeNew!BA44-EsteeOld!BA44=0,"",EsteeNew!BA44-EsteeOld!BA44)</f>
        <v/>
      </c>
      <c r="BB44" s="65" t="str">
        <f>IF(EsteeNew!BB44-EsteeOld!BB44=0,"",EsteeNew!BB44-EsteeOld!BB44)</f>
        <v/>
      </c>
      <c r="BC44" s="65" t="str">
        <f>IF(EsteeNew!BC44-EsteeOld!BC44=0,"",EsteeNew!BC44-EsteeOld!BC44)</f>
        <v/>
      </c>
      <c r="BD44" s="65" t="str">
        <f>IF(EsteeNew!BD44-EsteeOld!BD44=0,"",EsteeNew!BD44-EsteeOld!BD44)</f>
        <v/>
      </c>
    </row>
    <row r="45" spans="3:56" x14ac:dyDescent="0.25">
      <c r="C45" s="108"/>
      <c r="D45" s="59" t="s">
        <v>37</v>
      </c>
      <c r="E45" s="65" t="str">
        <f>IF(EsteeNew!E45-EsteeOld!E45=0,"",EsteeNew!E45-EsteeOld!E45)</f>
        <v/>
      </c>
      <c r="F45" s="65" t="str">
        <f>IF(EsteeNew!F45-EsteeOld!F45=0,"",EsteeNew!F45-EsteeOld!F45)</f>
        <v/>
      </c>
      <c r="G45" s="65" t="str">
        <f>IF(EsteeNew!G45-EsteeOld!G45=0,"",EsteeNew!G45-EsteeOld!G45)</f>
        <v/>
      </c>
      <c r="H45" s="65" t="str">
        <f>IF(EsteeNew!H45-EsteeOld!H45=0,"",EsteeNew!H45-EsteeOld!H45)</f>
        <v/>
      </c>
      <c r="I45" s="65" t="str">
        <f>IF(EsteeNew!I45-EsteeOld!I45=0,"",EsteeNew!I45-EsteeOld!I45)</f>
        <v/>
      </c>
      <c r="J45" s="65" t="str">
        <f>IF(EsteeNew!J45-EsteeOld!J45=0,"",EsteeNew!J45-EsteeOld!J45)</f>
        <v/>
      </c>
      <c r="K45" s="65" t="str">
        <f>IF(EsteeNew!K45-EsteeOld!K45=0,"",EsteeNew!K45-EsteeOld!K45)</f>
        <v/>
      </c>
      <c r="L45" s="65" t="str">
        <f>IF(EsteeNew!L45-EsteeOld!L45=0,"",EsteeNew!L45-EsteeOld!L45)</f>
        <v/>
      </c>
      <c r="M45" s="65" t="str">
        <f>IF(EsteeNew!M45-EsteeOld!M45=0,"",EsteeNew!M45-EsteeOld!M45)</f>
        <v/>
      </c>
      <c r="N45" s="65" t="str">
        <f>IF(EsteeNew!N45-EsteeOld!N45=0,"",EsteeNew!N45-EsteeOld!N45)</f>
        <v/>
      </c>
      <c r="O45" s="65" t="str">
        <f>IF(EsteeNew!O45-EsteeOld!O45=0,"",EsteeNew!O45-EsteeOld!O45)</f>
        <v/>
      </c>
      <c r="P45" s="65" t="str">
        <f>IF(EsteeNew!P45-EsteeOld!P45=0,"",EsteeNew!P45-EsteeOld!P45)</f>
        <v/>
      </c>
      <c r="Q45" s="65" t="str">
        <f>IF(EsteeNew!Q45-EsteeOld!Q45=0,"",EsteeNew!Q45-EsteeOld!Q45)</f>
        <v/>
      </c>
      <c r="R45" s="65" t="str">
        <f>IF(EsteeNew!R45-EsteeOld!R45=0,"",EsteeNew!R45-EsteeOld!R45)</f>
        <v/>
      </c>
      <c r="S45" s="65" t="str">
        <f>IF(EsteeNew!S45-EsteeOld!S45=0,"",EsteeNew!S45-EsteeOld!S45)</f>
        <v/>
      </c>
      <c r="T45" s="65" t="str">
        <f>IF(EsteeNew!T45-EsteeOld!T45=0,"",EsteeNew!T45-EsteeOld!T45)</f>
        <v/>
      </c>
      <c r="U45" s="65" t="str">
        <f>IF(EsteeNew!U45-EsteeOld!U45=0,"",EsteeNew!U45-EsteeOld!U45)</f>
        <v/>
      </c>
      <c r="V45" s="65" t="str">
        <f>IF(EsteeNew!V45-EsteeOld!V45=0,"",EsteeNew!V45-EsteeOld!V45)</f>
        <v/>
      </c>
      <c r="W45" s="65" t="str">
        <f>IF(EsteeNew!W45-EsteeOld!W45=0,"",EsteeNew!W45-EsteeOld!W45)</f>
        <v/>
      </c>
      <c r="X45" s="65" t="str">
        <f>IF(EsteeNew!X45-EsteeOld!X45=0,"",EsteeNew!X45-EsteeOld!X45)</f>
        <v/>
      </c>
      <c r="Y45" s="65" t="str">
        <f>IF(EsteeNew!Y45-EsteeOld!Y45=0,"",EsteeNew!Y45-EsteeOld!Y45)</f>
        <v/>
      </c>
      <c r="Z45" s="65" t="str">
        <f>IF(EsteeNew!Z45-EsteeOld!Z45=0,"",EsteeNew!Z45-EsteeOld!Z45)</f>
        <v/>
      </c>
      <c r="AA45" s="65" t="str">
        <f>IF(EsteeNew!AA45-EsteeOld!AA45=0,"",EsteeNew!AA45-EsteeOld!AA45)</f>
        <v/>
      </c>
      <c r="AB45" s="65" t="str">
        <f>IF(EsteeNew!AB45-EsteeOld!AB45=0,"",EsteeNew!AB45-EsteeOld!AB45)</f>
        <v/>
      </c>
      <c r="AC45" s="65" t="str">
        <f>IF(EsteeNew!AC45-EsteeOld!AC45=0,"",EsteeNew!AC45-EsteeOld!AC45)</f>
        <v/>
      </c>
      <c r="AD45" s="65" t="str">
        <f>IF(EsteeNew!AD45-EsteeOld!AD45=0,"",EsteeNew!AD45-EsteeOld!AD45)</f>
        <v/>
      </c>
      <c r="AE45" s="65" t="str">
        <f>IF(EsteeNew!AE45-EsteeOld!AE45=0,"",EsteeNew!AE45-EsteeOld!AE45)</f>
        <v/>
      </c>
      <c r="AF45" s="65" t="str">
        <f>IF(EsteeNew!AF45-EsteeOld!AF45=0,"",EsteeNew!AF45-EsteeOld!AF45)</f>
        <v/>
      </c>
      <c r="AG45" s="65" t="str">
        <f>IF(EsteeNew!AG45-EsteeOld!AG45=0,"",EsteeNew!AG45-EsteeOld!AG45)</f>
        <v/>
      </c>
      <c r="AH45" s="65" t="str">
        <f>IF(EsteeNew!AH45-EsteeOld!AH45=0,"",EsteeNew!AH45-EsteeOld!AH45)</f>
        <v/>
      </c>
      <c r="AI45" s="65" t="str">
        <f>IF(EsteeNew!AI45-EsteeOld!AI45=0,"",EsteeNew!AI45-EsteeOld!AI45)</f>
        <v/>
      </c>
      <c r="AJ45" s="65" t="str">
        <f>IF(EsteeNew!AJ45-EsteeOld!AJ45=0,"",EsteeNew!AJ45-EsteeOld!AJ45)</f>
        <v/>
      </c>
      <c r="AK45" s="65" t="str">
        <f>IF(EsteeNew!AK45-EsteeOld!AK45=0,"",EsteeNew!AK45-EsteeOld!AK45)</f>
        <v/>
      </c>
      <c r="AL45" s="65" t="str">
        <f>IF(EsteeNew!AL45-EsteeOld!AL45=0,"",EsteeNew!AL45-EsteeOld!AL45)</f>
        <v/>
      </c>
      <c r="AM45" s="65" t="str">
        <f>IF(EsteeNew!AM45-EsteeOld!AM45=0,"",EsteeNew!AM45-EsteeOld!AM45)</f>
        <v/>
      </c>
      <c r="AN45" s="65" t="str">
        <f>IF(EsteeNew!AN45-EsteeOld!AN45=0,"",EsteeNew!AN45-EsteeOld!AN45)</f>
        <v/>
      </c>
      <c r="AO45" s="65" t="str">
        <f>IF(EsteeNew!AO45-EsteeOld!AO45=0,"",EsteeNew!AO45-EsteeOld!AO45)</f>
        <v/>
      </c>
      <c r="AP45" s="65" t="str">
        <f>IF(EsteeNew!AP45-EsteeOld!AP45=0,"",EsteeNew!AP45-EsteeOld!AP45)</f>
        <v/>
      </c>
      <c r="AQ45" s="65" t="str">
        <f>IF(EsteeNew!AQ45-EsteeOld!AQ45=0,"",EsteeNew!AQ45-EsteeOld!AQ45)</f>
        <v/>
      </c>
      <c r="AR45" s="65" t="str">
        <f>IF(EsteeNew!AR45-EsteeOld!AR45=0,"",EsteeNew!AR45-EsteeOld!AR45)</f>
        <v/>
      </c>
      <c r="AS45" s="65" t="str">
        <f>IF(EsteeNew!AS45-EsteeOld!AS45=0,"",EsteeNew!AS45-EsteeOld!AS45)</f>
        <v/>
      </c>
      <c r="AT45" s="65" t="str">
        <f>IF(EsteeNew!AT45-EsteeOld!AT45=0,"",EsteeNew!AT45-EsteeOld!AT45)</f>
        <v/>
      </c>
      <c r="AU45" s="65" t="str">
        <f>IF(EsteeNew!AU45-EsteeOld!AU45=0,"",EsteeNew!AU45-EsteeOld!AU45)</f>
        <v/>
      </c>
      <c r="AV45" s="65" t="str">
        <f>IF(EsteeNew!AV45-EsteeOld!AV45=0,"",EsteeNew!AV45-EsteeOld!AV45)</f>
        <v/>
      </c>
      <c r="AW45" s="65" t="str">
        <f>IF(EsteeNew!AW45-EsteeOld!AW45=0,"",EsteeNew!AW45-EsteeOld!AW45)</f>
        <v/>
      </c>
      <c r="AX45" s="65" t="str">
        <f>IF(EsteeNew!AX45-EsteeOld!AX45=0,"",EsteeNew!AX45-EsteeOld!AX45)</f>
        <v/>
      </c>
      <c r="AY45" s="65" t="str">
        <f>IF(EsteeNew!AY45-EsteeOld!AY45=0,"",EsteeNew!AY45-EsteeOld!AY45)</f>
        <v/>
      </c>
      <c r="AZ45" s="65" t="str">
        <f>IF(EsteeNew!AZ45-EsteeOld!AZ45=0,"",EsteeNew!AZ45-EsteeOld!AZ45)</f>
        <v/>
      </c>
      <c r="BA45" s="65" t="str">
        <f>IF(EsteeNew!BA45-EsteeOld!BA45=0,"",EsteeNew!BA45-EsteeOld!BA45)</f>
        <v/>
      </c>
      <c r="BB45" s="65" t="str">
        <f>IF(EsteeNew!BB45-EsteeOld!BB45=0,"",EsteeNew!BB45-EsteeOld!BB45)</f>
        <v/>
      </c>
      <c r="BC45" s="65" t="str">
        <f>IF(EsteeNew!BC45-EsteeOld!BC45=0,"",EsteeNew!BC45-EsteeOld!BC45)</f>
        <v/>
      </c>
      <c r="BD45" s="65" t="str">
        <f>IF(EsteeNew!BD45-EsteeOld!BD45=0,"",EsteeNew!BD45-EsteeOld!BD45)</f>
        <v/>
      </c>
    </row>
    <row r="46" spans="3:56" x14ac:dyDescent="0.25">
      <c r="C46" s="108"/>
      <c r="D46" s="59" t="s">
        <v>38</v>
      </c>
      <c r="E46" s="65" t="str">
        <f>IF(EsteeNew!E46-EsteeOld!E46=0,"",EsteeNew!E46-EsteeOld!E46)</f>
        <v/>
      </c>
      <c r="F46" s="65" t="str">
        <f>IF(EsteeNew!F46-EsteeOld!F46=0,"",EsteeNew!F46-EsteeOld!F46)</f>
        <v/>
      </c>
      <c r="G46" s="65" t="str">
        <f>IF(EsteeNew!G46-EsteeOld!G46=0,"",EsteeNew!G46-EsteeOld!G46)</f>
        <v/>
      </c>
      <c r="H46" s="65" t="str">
        <f>IF(EsteeNew!H46-EsteeOld!H46=0,"",EsteeNew!H46-EsteeOld!H46)</f>
        <v/>
      </c>
      <c r="I46" s="65" t="str">
        <f>IF(EsteeNew!I46-EsteeOld!I46=0,"",EsteeNew!I46-EsteeOld!I46)</f>
        <v/>
      </c>
      <c r="J46" s="65" t="str">
        <f>IF(EsteeNew!J46-EsteeOld!J46=0,"",EsteeNew!J46-EsteeOld!J46)</f>
        <v/>
      </c>
      <c r="K46" s="65" t="str">
        <f>IF(EsteeNew!K46-EsteeOld!K46=0,"",EsteeNew!K46-EsteeOld!K46)</f>
        <v/>
      </c>
      <c r="L46" s="65" t="str">
        <f>IF(EsteeNew!L46-EsteeOld!L46=0,"",EsteeNew!L46-EsteeOld!L46)</f>
        <v/>
      </c>
      <c r="M46" s="65" t="str">
        <f>IF(EsteeNew!M46-EsteeOld!M46=0,"",EsteeNew!M46-EsteeOld!M46)</f>
        <v/>
      </c>
      <c r="N46" s="65" t="str">
        <f>IF(EsteeNew!N46-EsteeOld!N46=0,"",EsteeNew!N46-EsteeOld!N46)</f>
        <v/>
      </c>
      <c r="O46" s="65" t="str">
        <f>IF(EsteeNew!O46-EsteeOld!O46=0,"",EsteeNew!O46-EsteeOld!O46)</f>
        <v/>
      </c>
      <c r="P46" s="65" t="str">
        <f>IF(EsteeNew!P46-EsteeOld!P46=0,"",EsteeNew!P46-EsteeOld!P46)</f>
        <v/>
      </c>
      <c r="Q46" s="65" t="str">
        <f>IF(EsteeNew!Q46-EsteeOld!Q46=0,"",EsteeNew!Q46-EsteeOld!Q46)</f>
        <v/>
      </c>
      <c r="R46" s="65" t="str">
        <f>IF(EsteeNew!R46-EsteeOld!R46=0,"",EsteeNew!R46-EsteeOld!R46)</f>
        <v/>
      </c>
      <c r="S46" s="65" t="str">
        <f>IF(EsteeNew!S46-EsteeOld!S46=0,"",EsteeNew!S46-EsteeOld!S46)</f>
        <v/>
      </c>
      <c r="T46" s="65" t="str">
        <f>IF(EsteeNew!T46-EsteeOld!T46=0,"",EsteeNew!T46-EsteeOld!T46)</f>
        <v/>
      </c>
      <c r="U46" s="65" t="str">
        <f>IF(EsteeNew!U46-EsteeOld!U46=0,"",EsteeNew!U46-EsteeOld!U46)</f>
        <v/>
      </c>
      <c r="V46" s="65" t="str">
        <f>IF(EsteeNew!V46-EsteeOld!V46=0,"",EsteeNew!V46-EsteeOld!V46)</f>
        <v/>
      </c>
      <c r="W46" s="65" t="str">
        <f>IF(EsteeNew!W46-EsteeOld!W46=0,"",EsteeNew!W46-EsteeOld!W46)</f>
        <v/>
      </c>
      <c r="X46" s="65" t="str">
        <f>IF(EsteeNew!X46-EsteeOld!X46=0,"",EsteeNew!X46-EsteeOld!X46)</f>
        <v/>
      </c>
      <c r="Y46" s="65" t="str">
        <f>IF(EsteeNew!Y46-EsteeOld!Y46=0,"",EsteeNew!Y46-EsteeOld!Y46)</f>
        <v/>
      </c>
      <c r="Z46" s="65" t="str">
        <f>IF(EsteeNew!Z46-EsteeOld!Z46=0,"",EsteeNew!Z46-EsteeOld!Z46)</f>
        <v/>
      </c>
      <c r="AA46" s="65" t="str">
        <f>IF(EsteeNew!AA46-EsteeOld!AA46=0,"",EsteeNew!AA46-EsteeOld!AA46)</f>
        <v/>
      </c>
      <c r="AB46" s="65" t="str">
        <f>IF(EsteeNew!AB46-EsteeOld!AB46=0,"",EsteeNew!AB46-EsteeOld!AB46)</f>
        <v/>
      </c>
      <c r="AC46" s="65" t="str">
        <f>IF(EsteeNew!AC46-EsteeOld!AC46=0,"",EsteeNew!AC46-EsteeOld!AC46)</f>
        <v/>
      </c>
      <c r="AD46" s="65" t="str">
        <f>IF(EsteeNew!AD46-EsteeOld!AD46=0,"",EsteeNew!AD46-EsteeOld!AD46)</f>
        <v/>
      </c>
      <c r="AE46" s="65" t="str">
        <f>IF(EsteeNew!AE46-EsteeOld!AE46=0,"",EsteeNew!AE46-EsteeOld!AE46)</f>
        <v/>
      </c>
      <c r="AF46" s="65" t="str">
        <f>IF(EsteeNew!AF46-EsteeOld!AF46=0,"",EsteeNew!AF46-EsteeOld!AF46)</f>
        <v/>
      </c>
      <c r="AG46" s="65" t="str">
        <f>IF(EsteeNew!AG46-EsteeOld!AG46=0,"",EsteeNew!AG46-EsteeOld!AG46)</f>
        <v/>
      </c>
      <c r="AH46" s="65" t="str">
        <f>IF(EsteeNew!AH46-EsteeOld!AH46=0,"",EsteeNew!AH46-EsteeOld!AH46)</f>
        <v/>
      </c>
      <c r="AI46" s="65" t="str">
        <f>IF(EsteeNew!AI46-EsteeOld!AI46=0,"",EsteeNew!AI46-EsteeOld!AI46)</f>
        <v/>
      </c>
      <c r="AJ46" s="65" t="str">
        <f>IF(EsteeNew!AJ46-EsteeOld!AJ46=0,"",EsteeNew!AJ46-EsteeOld!AJ46)</f>
        <v/>
      </c>
      <c r="AK46" s="65" t="str">
        <f>IF(EsteeNew!AK46-EsteeOld!AK46=0,"",EsteeNew!AK46-EsteeOld!AK46)</f>
        <v/>
      </c>
      <c r="AL46" s="65" t="str">
        <f>IF(EsteeNew!AL46-EsteeOld!AL46=0,"",EsteeNew!AL46-EsteeOld!AL46)</f>
        <v/>
      </c>
      <c r="AM46" s="65" t="str">
        <f>IF(EsteeNew!AM46-EsteeOld!AM46=0,"",EsteeNew!AM46-EsteeOld!AM46)</f>
        <v/>
      </c>
      <c r="AN46" s="65" t="str">
        <f>IF(EsteeNew!AN46-EsteeOld!AN46=0,"",EsteeNew!AN46-EsteeOld!AN46)</f>
        <v/>
      </c>
      <c r="AO46" s="65" t="str">
        <f>IF(EsteeNew!AO46-EsteeOld!AO46=0,"",EsteeNew!AO46-EsteeOld!AO46)</f>
        <v/>
      </c>
      <c r="AP46" s="65" t="str">
        <f>IF(EsteeNew!AP46-EsteeOld!AP46=0,"",EsteeNew!AP46-EsteeOld!AP46)</f>
        <v/>
      </c>
      <c r="AQ46" s="65" t="str">
        <f>IF(EsteeNew!AQ46-EsteeOld!AQ46=0,"",EsteeNew!AQ46-EsteeOld!AQ46)</f>
        <v/>
      </c>
      <c r="AR46" s="65" t="str">
        <f>IF(EsteeNew!AR46-EsteeOld!AR46=0,"",EsteeNew!AR46-EsteeOld!AR46)</f>
        <v/>
      </c>
      <c r="AS46" s="65" t="str">
        <f>IF(EsteeNew!AS46-EsteeOld!AS46=0,"",EsteeNew!AS46-EsteeOld!AS46)</f>
        <v/>
      </c>
      <c r="AT46" s="65" t="str">
        <f>IF(EsteeNew!AT46-EsteeOld!AT46=0,"",EsteeNew!AT46-EsteeOld!AT46)</f>
        <v/>
      </c>
      <c r="AU46" s="65" t="str">
        <f>IF(EsteeNew!AU46-EsteeOld!AU46=0,"",EsteeNew!AU46-EsteeOld!AU46)</f>
        <v/>
      </c>
      <c r="AV46" s="65" t="str">
        <f>IF(EsteeNew!AV46-EsteeOld!AV46=0,"",EsteeNew!AV46-EsteeOld!AV46)</f>
        <v/>
      </c>
      <c r="AW46" s="65" t="str">
        <f>IF(EsteeNew!AW46-EsteeOld!AW46=0,"",EsteeNew!AW46-EsteeOld!AW46)</f>
        <v/>
      </c>
      <c r="AX46" s="65" t="str">
        <f>IF(EsteeNew!AX46-EsteeOld!AX46=0,"",EsteeNew!AX46-EsteeOld!AX46)</f>
        <v/>
      </c>
      <c r="AY46" s="65" t="str">
        <f>IF(EsteeNew!AY46-EsteeOld!AY46=0,"",EsteeNew!AY46-EsteeOld!AY46)</f>
        <v/>
      </c>
      <c r="AZ46" s="65" t="str">
        <f>IF(EsteeNew!AZ46-EsteeOld!AZ46=0,"",EsteeNew!AZ46-EsteeOld!AZ46)</f>
        <v/>
      </c>
      <c r="BA46" s="65" t="str">
        <f>IF(EsteeNew!BA46-EsteeOld!BA46=0,"",EsteeNew!BA46-EsteeOld!BA46)</f>
        <v/>
      </c>
      <c r="BB46" s="65" t="str">
        <f>IF(EsteeNew!BB46-EsteeOld!BB46=0,"",EsteeNew!BB46-EsteeOld!BB46)</f>
        <v/>
      </c>
      <c r="BC46" s="65" t="str">
        <f>IF(EsteeNew!BC46-EsteeOld!BC46=0,"",EsteeNew!BC46-EsteeOld!BC46)</f>
        <v/>
      </c>
      <c r="BD46" s="65" t="str">
        <f>IF(EsteeNew!BD46-EsteeOld!BD46=0,"",EsteeNew!BD46-EsteeOld!BD46)</f>
        <v/>
      </c>
    </row>
    <row r="47" spans="3:56" x14ac:dyDescent="0.25">
      <c r="C47" s="108"/>
      <c r="D47" s="59" t="s">
        <v>39</v>
      </c>
      <c r="E47" s="65" t="str">
        <f>IF(EsteeNew!E47-EsteeOld!E47=0,"",EsteeNew!E47-EsteeOld!E47)</f>
        <v/>
      </c>
      <c r="F47" s="65" t="str">
        <f>IF(EsteeNew!F47-EsteeOld!F47=0,"",EsteeNew!F47-EsteeOld!F47)</f>
        <v/>
      </c>
      <c r="G47" s="65" t="str">
        <f>IF(EsteeNew!G47-EsteeOld!G47=0,"",EsteeNew!G47-EsteeOld!G47)</f>
        <v/>
      </c>
      <c r="H47" s="65" t="str">
        <f>IF(EsteeNew!H47-EsteeOld!H47=0,"",EsteeNew!H47-EsteeOld!H47)</f>
        <v/>
      </c>
      <c r="I47" s="65" t="str">
        <f>IF(EsteeNew!I47-EsteeOld!I47=0,"",EsteeNew!I47-EsteeOld!I47)</f>
        <v/>
      </c>
      <c r="J47" s="65" t="str">
        <f>IF(EsteeNew!J47-EsteeOld!J47=0,"",EsteeNew!J47-EsteeOld!J47)</f>
        <v/>
      </c>
      <c r="K47" s="65" t="str">
        <f>IF(EsteeNew!K47-EsteeOld!K47=0,"",EsteeNew!K47-EsteeOld!K47)</f>
        <v/>
      </c>
      <c r="L47" s="65" t="str">
        <f>IF(EsteeNew!L47-EsteeOld!L47=0,"",EsteeNew!L47-EsteeOld!L47)</f>
        <v/>
      </c>
      <c r="M47" s="65" t="str">
        <f>IF(EsteeNew!M47-EsteeOld!M47=0,"",EsteeNew!M47-EsteeOld!M47)</f>
        <v/>
      </c>
      <c r="N47" s="65" t="str">
        <f>IF(EsteeNew!N47-EsteeOld!N47=0,"",EsteeNew!N47-EsteeOld!N47)</f>
        <v/>
      </c>
      <c r="O47" s="65" t="str">
        <f>IF(EsteeNew!O47-EsteeOld!O47=0,"",EsteeNew!O47-EsteeOld!O47)</f>
        <v/>
      </c>
      <c r="P47" s="65" t="str">
        <f>IF(EsteeNew!P47-EsteeOld!P47=0,"",EsteeNew!P47-EsteeOld!P47)</f>
        <v/>
      </c>
      <c r="Q47" s="65" t="str">
        <f>IF(EsteeNew!Q47-EsteeOld!Q47=0,"",EsteeNew!Q47-EsteeOld!Q47)</f>
        <v/>
      </c>
      <c r="R47" s="65" t="str">
        <f>IF(EsteeNew!R47-EsteeOld!R47=0,"",EsteeNew!R47-EsteeOld!R47)</f>
        <v/>
      </c>
      <c r="S47" s="65" t="str">
        <f>IF(EsteeNew!S47-EsteeOld!S47=0,"",EsteeNew!S47-EsteeOld!S47)</f>
        <v/>
      </c>
      <c r="T47" s="65" t="str">
        <f>IF(EsteeNew!T47-EsteeOld!T47=0,"",EsteeNew!T47-EsteeOld!T47)</f>
        <v/>
      </c>
      <c r="U47" s="65" t="str">
        <f>IF(EsteeNew!U47-EsteeOld!U47=0,"",EsteeNew!U47-EsteeOld!U47)</f>
        <v/>
      </c>
      <c r="V47" s="65" t="str">
        <f>IF(EsteeNew!V47-EsteeOld!V47=0,"",EsteeNew!V47-EsteeOld!V47)</f>
        <v/>
      </c>
      <c r="W47" s="65" t="str">
        <f>IF(EsteeNew!W47-EsteeOld!W47=0,"",EsteeNew!W47-EsteeOld!W47)</f>
        <v/>
      </c>
      <c r="X47" s="65" t="str">
        <f>IF(EsteeNew!X47-EsteeOld!X47=0,"",EsteeNew!X47-EsteeOld!X47)</f>
        <v/>
      </c>
      <c r="Y47" s="65" t="str">
        <f>IF(EsteeNew!Y47-EsteeOld!Y47=0,"",EsteeNew!Y47-EsteeOld!Y47)</f>
        <v/>
      </c>
      <c r="Z47" s="65" t="str">
        <f>IF(EsteeNew!Z47-EsteeOld!Z47=0,"",EsteeNew!Z47-EsteeOld!Z47)</f>
        <v/>
      </c>
      <c r="AA47" s="65" t="str">
        <f>IF(EsteeNew!AA47-EsteeOld!AA47=0,"",EsteeNew!AA47-EsteeOld!AA47)</f>
        <v/>
      </c>
      <c r="AB47" s="65" t="str">
        <f>IF(EsteeNew!AB47-EsteeOld!AB47=0,"",EsteeNew!AB47-EsteeOld!AB47)</f>
        <v/>
      </c>
      <c r="AC47" s="65" t="str">
        <f>IF(EsteeNew!AC47-EsteeOld!AC47=0,"",EsteeNew!AC47-EsteeOld!AC47)</f>
        <v/>
      </c>
      <c r="AD47" s="65" t="str">
        <f>IF(EsteeNew!AD47-EsteeOld!AD47=0,"",EsteeNew!AD47-EsteeOld!AD47)</f>
        <v/>
      </c>
      <c r="AE47" s="65" t="str">
        <f>IF(EsteeNew!AE47-EsteeOld!AE47=0,"",EsteeNew!AE47-EsteeOld!AE47)</f>
        <v/>
      </c>
      <c r="AF47" s="65" t="str">
        <f>IF(EsteeNew!AF47-EsteeOld!AF47=0,"",EsteeNew!AF47-EsteeOld!AF47)</f>
        <v/>
      </c>
      <c r="AG47" s="65" t="str">
        <f>IF(EsteeNew!AG47-EsteeOld!AG47=0,"",EsteeNew!AG47-EsteeOld!AG47)</f>
        <v/>
      </c>
      <c r="AH47" s="65" t="str">
        <f>IF(EsteeNew!AH47-EsteeOld!AH47=0,"",EsteeNew!AH47-EsteeOld!AH47)</f>
        <v/>
      </c>
      <c r="AI47" s="65" t="str">
        <f>IF(EsteeNew!AI47-EsteeOld!AI47=0,"",EsteeNew!AI47-EsteeOld!AI47)</f>
        <v/>
      </c>
      <c r="AJ47" s="65" t="str">
        <f>IF(EsteeNew!AJ47-EsteeOld!AJ47=0,"",EsteeNew!AJ47-EsteeOld!AJ47)</f>
        <v/>
      </c>
      <c r="AK47" s="65" t="str">
        <f>IF(EsteeNew!AK47-EsteeOld!AK47=0,"",EsteeNew!AK47-EsteeOld!AK47)</f>
        <v/>
      </c>
      <c r="AL47" s="65" t="str">
        <f>IF(EsteeNew!AL47-EsteeOld!AL47=0,"",EsteeNew!AL47-EsteeOld!AL47)</f>
        <v/>
      </c>
      <c r="AM47" s="65" t="str">
        <f>IF(EsteeNew!AM47-EsteeOld!AM47=0,"",EsteeNew!AM47-EsteeOld!AM47)</f>
        <v/>
      </c>
      <c r="AN47" s="65" t="str">
        <f>IF(EsteeNew!AN47-EsteeOld!AN47=0,"",EsteeNew!AN47-EsteeOld!AN47)</f>
        <v/>
      </c>
      <c r="AO47" s="65" t="str">
        <f>IF(EsteeNew!AO47-EsteeOld!AO47=0,"",EsteeNew!AO47-EsteeOld!AO47)</f>
        <v/>
      </c>
      <c r="AP47" s="65" t="str">
        <f>IF(EsteeNew!AP47-EsteeOld!AP47=0,"",EsteeNew!AP47-EsteeOld!AP47)</f>
        <v/>
      </c>
      <c r="AQ47" s="65" t="str">
        <f>IF(EsteeNew!AQ47-EsteeOld!AQ47=0,"",EsteeNew!AQ47-EsteeOld!AQ47)</f>
        <v/>
      </c>
      <c r="AR47" s="65" t="str">
        <f>IF(EsteeNew!AR47-EsteeOld!AR47=0,"",EsteeNew!AR47-EsteeOld!AR47)</f>
        <v/>
      </c>
      <c r="AS47" s="65" t="str">
        <f>IF(EsteeNew!AS47-EsteeOld!AS47=0,"",EsteeNew!AS47-EsteeOld!AS47)</f>
        <v/>
      </c>
      <c r="AT47" s="65" t="str">
        <f>IF(EsteeNew!AT47-EsteeOld!AT47=0,"",EsteeNew!AT47-EsteeOld!AT47)</f>
        <v/>
      </c>
      <c r="AU47" s="65" t="str">
        <f>IF(EsteeNew!AU47-EsteeOld!AU47=0,"",EsteeNew!AU47-EsteeOld!AU47)</f>
        <v/>
      </c>
      <c r="AV47" s="65" t="str">
        <f>IF(EsteeNew!AV47-EsteeOld!AV47=0,"",EsteeNew!AV47-EsteeOld!AV47)</f>
        <v/>
      </c>
      <c r="AW47" s="65" t="str">
        <f>IF(EsteeNew!AW47-EsteeOld!AW47=0,"",EsteeNew!AW47-EsteeOld!AW47)</f>
        <v/>
      </c>
      <c r="AX47" s="65" t="str">
        <f>IF(EsteeNew!AX47-EsteeOld!AX47=0,"",EsteeNew!AX47-EsteeOld!AX47)</f>
        <v/>
      </c>
      <c r="AY47" s="65" t="str">
        <f>IF(EsteeNew!AY47-EsteeOld!AY47=0,"",EsteeNew!AY47-EsteeOld!AY47)</f>
        <v/>
      </c>
      <c r="AZ47" s="65" t="str">
        <f>IF(EsteeNew!AZ47-EsteeOld!AZ47=0,"",EsteeNew!AZ47-EsteeOld!AZ47)</f>
        <v/>
      </c>
      <c r="BA47" s="65" t="str">
        <f>IF(EsteeNew!BA47-EsteeOld!BA47=0,"",EsteeNew!BA47-EsteeOld!BA47)</f>
        <v/>
      </c>
      <c r="BB47" s="65" t="str">
        <f>IF(EsteeNew!BB47-EsteeOld!BB47=0,"",EsteeNew!BB47-EsteeOld!BB47)</f>
        <v/>
      </c>
      <c r="BC47" s="65" t="str">
        <f>IF(EsteeNew!BC47-EsteeOld!BC47=0,"",EsteeNew!BC47-EsteeOld!BC47)</f>
        <v/>
      </c>
      <c r="BD47" s="65" t="str">
        <f>IF(EsteeNew!BD47-EsteeOld!BD47=0,"",EsteeNew!BD47-EsteeOld!BD47)</f>
        <v/>
      </c>
    </row>
    <row r="48" spans="3:56" x14ac:dyDescent="0.25">
      <c r="C48" s="108"/>
      <c r="D48" s="59" t="s">
        <v>40</v>
      </c>
      <c r="E48" s="65" t="str">
        <f>IF(EsteeNew!E48-EsteeOld!E48=0,"",EsteeNew!E48-EsteeOld!E48)</f>
        <v/>
      </c>
      <c r="F48" s="65" t="str">
        <f>IF(EsteeNew!F48-EsteeOld!F48=0,"",EsteeNew!F48-EsteeOld!F48)</f>
        <v/>
      </c>
      <c r="G48" s="65" t="str">
        <f>IF(EsteeNew!G48-EsteeOld!G48=0,"",EsteeNew!G48-EsteeOld!G48)</f>
        <v/>
      </c>
      <c r="H48" s="65" t="str">
        <f>IF(EsteeNew!H48-EsteeOld!H48=0,"",EsteeNew!H48-EsteeOld!H48)</f>
        <v/>
      </c>
      <c r="I48" s="65" t="str">
        <f>IF(EsteeNew!I48-EsteeOld!I48=0,"",EsteeNew!I48-EsteeOld!I48)</f>
        <v/>
      </c>
      <c r="J48" s="65" t="str">
        <f>IF(EsteeNew!J48-EsteeOld!J48=0,"",EsteeNew!J48-EsteeOld!J48)</f>
        <v/>
      </c>
      <c r="K48" s="65" t="str">
        <f>IF(EsteeNew!K48-EsteeOld!K48=0,"",EsteeNew!K48-EsteeOld!K48)</f>
        <v/>
      </c>
      <c r="L48" s="65" t="str">
        <f>IF(EsteeNew!L48-EsteeOld!L48=0,"",EsteeNew!L48-EsteeOld!L48)</f>
        <v/>
      </c>
      <c r="M48" s="65" t="str">
        <f>IF(EsteeNew!M48-EsteeOld!M48=0,"",EsteeNew!M48-EsteeOld!M48)</f>
        <v/>
      </c>
      <c r="N48" s="65" t="str">
        <f>IF(EsteeNew!N48-EsteeOld!N48=0,"",EsteeNew!N48-EsteeOld!N48)</f>
        <v/>
      </c>
      <c r="O48" s="65" t="str">
        <f>IF(EsteeNew!O48-EsteeOld!O48=0,"",EsteeNew!O48-EsteeOld!O48)</f>
        <v/>
      </c>
      <c r="P48" s="65" t="str">
        <f>IF(EsteeNew!P48-EsteeOld!P48=0,"",EsteeNew!P48-EsteeOld!P48)</f>
        <v/>
      </c>
      <c r="Q48" s="65" t="str">
        <f>IF(EsteeNew!Q48-EsteeOld!Q48=0,"",EsteeNew!Q48-EsteeOld!Q48)</f>
        <v/>
      </c>
      <c r="R48" s="65" t="str">
        <f>IF(EsteeNew!R48-EsteeOld!R48=0,"",EsteeNew!R48-EsteeOld!R48)</f>
        <v/>
      </c>
      <c r="S48" s="65" t="str">
        <f>IF(EsteeNew!S48-EsteeOld!S48=0,"",EsteeNew!S48-EsteeOld!S48)</f>
        <v/>
      </c>
      <c r="T48" s="65" t="str">
        <f>IF(EsteeNew!T48-EsteeOld!T48=0,"",EsteeNew!T48-EsteeOld!T48)</f>
        <v/>
      </c>
      <c r="U48" s="65" t="str">
        <f>IF(EsteeNew!U48-EsteeOld!U48=0,"",EsteeNew!U48-EsteeOld!U48)</f>
        <v/>
      </c>
      <c r="V48" s="65" t="str">
        <f>IF(EsteeNew!V48-EsteeOld!V48=0,"",EsteeNew!V48-EsteeOld!V48)</f>
        <v/>
      </c>
      <c r="W48" s="65" t="str">
        <f>IF(EsteeNew!W48-EsteeOld!W48=0,"",EsteeNew!W48-EsteeOld!W48)</f>
        <v/>
      </c>
      <c r="X48" s="65" t="str">
        <f>IF(EsteeNew!X48-EsteeOld!X48=0,"",EsteeNew!X48-EsteeOld!X48)</f>
        <v/>
      </c>
      <c r="Y48" s="65" t="str">
        <f>IF(EsteeNew!Y48-EsteeOld!Y48=0,"",EsteeNew!Y48-EsteeOld!Y48)</f>
        <v/>
      </c>
      <c r="Z48" s="65" t="str">
        <f>IF(EsteeNew!Z48-EsteeOld!Z48=0,"",EsteeNew!Z48-EsteeOld!Z48)</f>
        <v/>
      </c>
      <c r="AA48" s="65" t="str">
        <f>IF(EsteeNew!AA48-EsteeOld!AA48=0,"",EsteeNew!AA48-EsteeOld!AA48)</f>
        <v/>
      </c>
      <c r="AB48" s="65" t="str">
        <f>IF(EsteeNew!AB48-EsteeOld!AB48=0,"",EsteeNew!AB48-EsteeOld!AB48)</f>
        <v/>
      </c>
      <c r="AC48" s="65" t="str">
        <f>IF(EsteeNew!AC48-EsteeOld!AC48=0,"",EsteeNew!AC48-EsteeOld!AC48)</f>
        <v/>
      </c>
      <c r="AD48" s="65" t="str">
        <f>IF(EsteeNew!AD48-EsteeOld!AD48=0,"",EsteeNew!AD48-EsteeOld!AD48)</f>
        <v/>
      </c>
      <c r="AE48" s="65" t="str">
        <f>IF(EsteeNew!AE48-EsteeOld!AE48=0,"",EsteeNew!AE48-EsteeOld!AE48)</f>
        <v/>
      </c>
      <c r="AF48" s="65" t="str">
        <f>IF(EsteeNew!AF48-EsteeOld!AF48=0,"",EsteeNew!AF48-EsteeOld!AF48)</f>
        <v/>
      </c>
      <c r="AG48" s="65" t="str">
        <f>IF(EsteeNew!AG48-EsteeOld!AG48=0,"",EsteeNew!AG48-EsteeOld!AG48)</f>
        <v/>
      </c>
      <c r="AH48" s="65" t="str">
        <f>IF(EsteeNew!AH48-EsteeOld!AH48=0,"",EsteeNew!AH48-EsteeOld!AH48)</f>
        <v/>
      </c>
      <c r="AI48" s="65" t="str">
        <f>IF(EsteeNew!AI48-EsteeOld!AI48=0,"",EsteeNew!AI48-EsteeOld!AI48)</f>
        <v/>
      </c>
      <c r="AJ48" s="65" t="str">
        <f>IF(EsteeNew!AJ48-EsteeOld!AJ48=0,"",EsteeNew!AJ48-EsteeOld!AJ48)</f>
        <v/>
      </c>
      <c r="AK48" s="65" t="str">
        <f>IF(EsteeNew!AK48-EsteeOld!AK48=0,"",EsteeNew!AK48-EsteeOld!AK48)</f>
        <v/>
      </c>
      <c r="AL48" s="65" t="str">
        <f>IF(EsteeNew!AL48-EsteeOld!AL48=0,"",EsteeNew!AL48-EsteeOld!AL48)</f>
        <v/>
      </c>
      <c r="AM48" s="65" t="str">
        <f>IF(EsteeNew!AM48-EsteeOld!AM48=0,"",EsteeNew!AM48-EsteeOld!AM48)</f>
        <v/>
      </c>
      <c r="AN48" s="65" t="str">
        <f>IF(EsteeNew!AN48-EsteeOld!AN48=0,"",EsteeNew!AN48-EsteeOld!AN48)</f>
        <v/>
      </c>
      <c r="AO48" s="65" t="str">
        <f>IF(EsteeNew!AO48-EsteeOld!AO48=0,"",EsteeNew!AO48-EsteeOld!AO48)</f>
        <v/>
      </c>
      <c r="AP48" s="65" t="str">
        <f>IF(EsteeNew!AP48-EsteeOld!AP48=0,"",EsteeNew!AP48-EsteeOld!AP48)</f>
        <v/>
      </c>
      <c r="AQ48" s="65" t="str">
        <f>IF(EsteeNew!AQ48-EsteeOld!AQ48=0,"",EsteeNew!AQ48-EsteeOld!AQ48)</f>
        <v/>
      </c>
      <c r="AR48" s="65" t="str">
        <f>IF(EsteeNew!AR48-EsteeOld!AR48=0,"",EsteeNew!AR48-EsteeOld!AR48)</f>
        <v/>
      </c>
      <c r="AS48" s="65" t="str">
        <f>IF(EsteeNew!AS48-EsteeOld!AS48=0,"",EsteeNew!AS48-EsteeOld!AS48)</f>
        <v/>
      </c>
      <c r="AT48" s="65" t="str">
        <f>IF(EsteeNew!AT48-EsteeOld!AT48=0,"",EsteeNew!AT48-EsteeOld!AT48)</f>
        <v/>
      </c>
      <c r="AU48" s="65" t="str">
        <f>IF(EsteeNew!AU48-EsteeOld!AU48=0,"",EsteeNew!AU48-EsteeOld!AU48)</f>
        <v/>
      </c>
      <c r="AV48" s="65" t="str">
        <f>IF(EsteeNew!AV48-EsteeOld!AV48=0,"",EsteeNew!AV48-EsteeOld!AV48)</f>
        <v/>
      </c>
      <c r="AW48" s="65" t="str">
        <f>IF(EsteeNew!AW48-EsteeOld!AW48=0,"",EsteeNew!AW48-EsteeOld!AW48)</f>
        <v/>
      </c>
      <c r="AX48" s="65" t="str">
        <f>IF(EsteeNew!AX48-EsteeOld!AX48=0,"",EsteeNew!AX48-EsteeOld!AX48)</f>
        <v/>
      </c>
      <c r="AY48" s="65" t="str">
        <f>IF(EsteeNew!AY48-EsteeOld!AY48=0,"",EsteeNew!AY48-EsteeOld!AY48)</f>
        <v/>
      </c>
      <c r="AZ48" s="65" t="str">
        <f>IF(EsteeNew!AZ48-EsteeOld!AZ48=0,"",EsteeNew!AZ48-EsteeOld!AZ48)</f>
        <v/>
      </c>
      <c r="BA48" s="65" t="str">
        <f>IF(EsteeNew!BA48-EsteeOld!BA48=0,"",EsteeNew!BA48-EsteeOld!BA48)</f>
        <v/>
      </c>
      <c r="BB48" s="65" t="str">
        <f>IF(EsteeNew!BB48-EsteeOld!BB48=0,"",EsteeNew!BB48-EsteeOld!BB48)</f>
        <v/>
      </c>
      <c r="BC48" s="65" t="str">
        <f>IF(EsteeNew!BC48-EsteeOld!BC48=0,"",EsteeNew!BC48-EsteeOld!BC48)</f>
        <v/>
      </c>
      <c r="BD48" s="65" t="str">
        <f>IF(EsteeNew!BD48-EsteeOld!BD48=0,"",EsteeNew!BD48-EsteeOld!BD48)</f>
        <v/>
      </c>
    </row>
    <row r="49" spans="3:56" x14ac:dyDescent="0.25">
      <c r="C49" s="108"/>
      <c r="D49" s="59" t="s">
        <v>41</v>
      </c>
      <c r="E49" s="54" t="str">
        <f>IFERROR((SUM(E42:E48)*E51)/((40*(1-E50)+40)),"")</f>
        <v/>
      </c>
      <c r="F49" s="54" t="str">
        <f t="shared" ref="F49:BD49" si="7">IFERROR((SUM(F42:F48)*F51)/((40*(1-F50)+40)),"")</f>
        <v/>
      </c>
      <c r="G49" s="54" t="str">
        <f t="shared" si="7"/>
        <v/>
      </c>
      <c r="H49" s="54" t="str">
        <f t="shared" si="7"/>
        <v/>
      </c>
      <c r="I49" s="54" t="str">
        <f t="shared" si="7"/>
        <v/>
      </c>
      <c r="J49" s="54" t="str">
        <f t="shared" si="7"/>
        <v/>
      </c>
      <c r="K49" s="54" t="str">
        <f t="shared" si="7"/>
        <v/>
      </c>
      <c r="L49" s="54" t="str">
        <f t="shared" si="7"/>
        <v/>
      </c>
      <c r="M49" s="54" t="str">
        <f t="shared" si="7"/>
        <v/>
      </c>
      <c r="N49" s="54" t="str">
        <f t="shared" si="7"/>
        <v/>
      </c>
      <c r="O49" s="54" t="str">
        <f t="shared" si="7"/>
        <v/>
      </c>
      <c r="P49" s="54" t="str">
        <f t="shared" si="7"/>
        <v/>
      </c>
      <c r="Q49" s="54" t="str">
        <f t="shared" si="7"/>
        <v/>
      </c>
      <c r="R49" s="54" t="str">
        <f t="shared" si="7"/>
        <v/>
      </c>
      <c r="S49" s="54" t="str">
        <f t="shared" si="7"/>
        <v/>
      </c>
      <c r="T49" s="54" t="str">
        <f t="shared" si="7"/>
        <v/>
      </c>
      <c r="U49" s="54" t="str">
        <f t="shared" si="7"/>
        <v/>
      </c>
      <c r="V49" s="54" t="str">
        <f t="shared" si="7"/>
        <v/>
      </c>
      <c r="W49" s="54" t="str">
        <f t="shared" si="7"/>
        <v/>
      </c>
      <c r="X49" s="54" t="str">
        <f t="shared" si="7"/>
        <v/>
      </c>
      <c r="Y49" s="54" t="str">
        <f t="shared" si="7"/>
        <v/>
      </c>
      <c r="Z49" s="54" t="str">
        <f t="shared" si="7"/>
        <v/>
      </c>
      <c r="AA49" s="54" t="str">
        <f t="shared" si="7"/>
        <v/>
      </c>
      <c r="AB49" s="54" t="str">
        <f t="shared" si="7"/>
        <v/>
      </c>
      <c r="AC49" s="54" t="str">
        <f t="shared" si="7"/>
        <v/>
      </c>
      <c r="AD49" s="54" t="str">
        <f t="shared" si="7"/>
        <v/>
      </c>
      <c r="AE49" s="54" t="str">
        <f t="shared" si="7"/>
        <v/>
      </c>
      <c r="AF49" s="54" t="str">
        <f t="shared" si="7"/>
        <v/>
      </c>
      <c r="AG49" s="54" t="str">
        <f t="shared" si="7"/>
        <v/>
      </c>
      <c r="AH49" s="54" t="str">
        <f t="shared" si="7"/>
        <v/>
      </c>
      <c r="AI49" s="54" t="str">
        <f t="shared" si="7"/>
        <v/>
      </c>
      <c r="AJ49" s="54" t="str">
        <f t="shared" si="7"/>
        <v/>
      </c>
      <c r="AK49" s="54" t="str">
        <f t="shared" si="7"/>
        <v/>
      </c>
      <c r="AL49" s="54" t="str">
        <f t="shared" si="7"/>
        <v/>
      </c>
      <c r="AM49" s="54" t="str">
        <f t="shared" si="7"/>
        <v/>
      </c>
      <c r="AN49" s="54" t="str">
        <f t="shared" si="7"/>
        <v/>
      </c>
      <c r="AO49" s="54" t="str">
        <f t="shared" si="7"/>
        <v/>
      </c>
      <c r="AP49" s="54" t="str">
        <f t="shared" si="7"/>
        <v/>
      </c>
      <c r="AQ49" s="54" t="str">
        <f t="shared" si="7"/>
        <v/>
      </c>
      <c r="AR49" s="54" t="str">
        <f t="shared" si="7"/>
        <v/>
      </c>
      <c r="AS49" s="54" t="str">
        <f t="shared" si="7"/>
        <v/>
      </c>
      <c r="AT49" s="54" t="str">
        <f t="shared" si="7"/>
        <v/>
      </c>
      <c r="AU49" s="54" t="str">
        <f t="shared" si="7"/>
        <v/>
      </c>
      <c r="AV49" s="54" t="str">
        <f t="shared" si="7"/>
        <v/>
      </c>
      <c r="AW49" s="54" t="str">
        <f t="shared" si="7"/>
        <v/>
      </c>
      <c r="AX49" s="54" t="str">
        <f t="shared" si="7"/>
        <v/>
      </c>
      <c r="AY49" s="54" t="str">
        <f t="shared" si="7"/>
        <v/>
      </c>
      <c r="AZ49" s="54" t="str">
        <f t="shared" si="7"/>
        <v/>
      </c>
      <c r="BA49" s="54" t="str">
        <f t="shared" si="7"/>
        <v/>
      </c>
      <c r="BB49" s="54" t="str">
        <f t="shared" si="7"/>
        <v/>
      </c>
      <c r="BC49" s="54" t="str">
        <f t="shared" si="7"/>
        <v/>
      </c>
      <c r="BD49" s="54" t="str">
        <f t="shared" si="7"/>
        <v/>
      </c>
    </row>
    <row r="50" spans="3:56" x14ac:dyDescent="0.25">
      <c r="C50" s="108"/>
      <c r="D50" s="59" t="s">
        <v>42</v>
      </c>
      <c r="E50" s="67" t="str">
        <f>IF(EsteeNew!E50-EsteeOld!E50=0,"",EsteeNew!E50-EsteeOld!E50)</f>
        <v/>
      </c>
      <c r="F50" s="67" t="str">
        <f>IF(EsteeNew!F50-EsteeOld!F50=0,"",EsteeNew!F50-EsteeOld!F50)</f>
        <v/>
      </c>
      <c r="G50" s="67" t="str">
        <f>IF(EsteeNew!G50-EsteeOld!G50=0,"",EsteeNew!G50-EsteeOld!G50)</f>
        <v/>
      </c>
      <c r="H50" s="67" t="str">
        <f>IF(EsteeNew!H50-EsteeOld!H50=0,"",EsteeNew!H50-EsteeOld!H50)</f>
        <v/>
      </c>
      <c r="I50" s="67" t="str">
        <f>IF(EsteeNew!I50-EsteeOld!I50=0,"",EsteeNew!I50-EsteeOld!I50)</f>
        <v/>
      </c>
      <c r="J50" s="67" t="str">
        <f>IF(EsteeNew!J50-EsteeOld!J50=0,"",EsteeNew!J50-EsteeOld!J50)</f>
        <v/>
      </c>
      <c r="K50" s="67" t="str">
        <f>IF(EsteeNew!K50-EsteeOld!K50=0,"",EsteeNew!K50-EsteeOld!K50)</f>
        <v/>
      </c>
      <c r="L50" s="67" t="str">
        <f>IF(EsteeNew!L50-EsteeOld!L50=0,"",EsteeNew!L50-EsteeOld!L50)</f>
        <v/>
      </c>
      <c r="M50" s="67" t="str">
        <f>IF(EsteeNew!M50-EsteeOld!M50=0,"",EsteeNew!M50-EsteeOld!M50)</f>
        <v/>
      </c>
      <c r="N50" s="67" t="str">
        <f>IF(EsteeNew!N50-EsteeOld!N50=0,"",EsteeNew!N50-EsteeOld!N50)</f>
        <v/>
      </c>
      <c r="O50" s="67" t="str">
        <f>IF(EsteeNew!O50-EsteeOld!O50=0,"",EsteeNew!O50-EsteeOld!O50)</f>
        <v/>
      </c>
      <c r="P50" s="67" t="str">
        <f>IF(EsteeNew!P50-EsteeOld!P50=0,"",EsteeNew!P50-EsteeOld!P50)</f>
        <v/>
      </c>
      <c r="Q50" s="67" t="str">
        <f>IF(EsteeNew!Q50-EsteeOld!Q50=0,"",EsteeNew!Q50-EsteeOld!Q50)</f>
        <v/>
      </c>
      <c r="R50" s="67" t="str">
        <f>IF(EsteeNew!R50-EsteeOld!R50=0,"",EsteeNew!R50-EsteeOld!R50)</f>
        <v/>
      </c>
      <c r="S50" s="67" t="str">
        <f>IF(EsteeNew!S50-EsteeOld!S50=0,"",EsteeNew!S50-EsteeOld!S50)</f>
        <v/>
      </c>
      <c r="T50" s="67" t="str">
        <f>IF(EsteeNew!T50-EsteeOld!T50=0,"",EsteeNew!T50-EsteeOld!T50)</f>
        <v/>
      </c>
      <c r="U50" s="67" t="str">
        <f>IF(EsteeNew!U50-EsteeOld!U50=0,"",EsteeNew!U50-EsteeOld!U50)</f>
        <v/>
      </c>
      <c r="V50" s="67" t="str">
        <f>IF(EsteeNew!V50-EsteeOld!V50=0,"",EsteeNew!V50-EsteeOld!V50)</f>
        <v/>
      </c>
      <c r="W50" s="67" t="str">
        <f>IF(EsteeNew!W50-EsteeOld!W50=0,"",EsteeNew!W50-EsteeOld!W50)</f>
        <v/>
      </c>
      <c r="X50" s="67" t="str">
        <f>IF(EsteeNew!X50-EsteeOld!X50=0,"",EsteeNew!X50-EsteeOld!X50)</f>
        <v/>
      </c>
      <c r="Y50" s="67" t="str">
        <f>IF(EsteeNew!Y50-EsteeOld!Y50=0,"",EsteeNew!Y50-EsteeOld!Y50)</f>
        <v/>
      </c>
      <c r="Z50" s="67" t="str">
        <f>IF(EsteeNew!Z50-EsteeOld!Z50=0,"",EsteeNew!Z50-EsteeOld!Z50)</f>
        <v/>
      </c>
      <c r="AA50" s="67" t="str">
        <f>IF(EsteeNew!AA50-EsteeOld!AA50=0,"",EsteeNew!AA50-EsteeOld!AA50)</f>
        <v/>
      </c>
      <c r="AB50" s="67" t="str">
        <f>IF(EsteeNew!AB50-EsteeOld!AB50=0,"",EsteeNew!AB50-EsteeOld!AB50)</f>
        <v/>
      </c>
      <c r="AC50" s="67" t="str">
        <f>IF(EsteeNew!AC50-EsteeOld!AC50=0,"",EsteeNew!AC50-EsteeOld!AC50)</f>
        <v/>
      </c>
      <c r="AD50" s="67" t="str">
        <f>IF(EsteeNew!AD50-EsteeOld!AD50=0,"",EsteeNew!AD50-EsteeOld!AD50)</f>
        <v/>
      </c>
      <c r="AE50" s="67" t="str">
        <f>IF(EsteeNew!AE50-EsteeOld!AE50=0,"",EsteeNew!AE50-EsteeOld!AE50)</f>
        <v/>
      </c>
      <c r="AF50" s="67" t="str">
        <f>IF(EsteeNew!AF50-EsteeOld!AF50=0,"",EsteeNew!AF50-EsteeOld!AF50)</f>
        <v/>
      </c>
      <c r="AG50" s="67" t="str">
        <f>IF(EsteeNew!AG50-EsteeOld!AG50=0,"",EsteeNew!AG50-EsteeOld!AG50)</f>
        <v/>
      </c>
      <c r="AH50" s="67" t="str">
        <f>IF(EsteeNew!AH50-EsteeOld!AH50=0,"",EsteeNew!AH50-EsteeOld!AH50)</f>
        <v/>
      </c>
      <c r="AI50" s="67" t="str">
        <f>IF(EsteeNew!AI50-EsteeOld!AI50=0,"",EsteeNew!AI50-EsteeOld!AI50)</f>
        <v/>
      </c>
      <c r="AJ50" s="67" t="str">
        <f>IF(EsteeNew!AJ50-EsteeOld!AJ50=0,"",EsteeNew!AJ50-EsteeOld!AJ50)</f>
        <v/>
      </c>
      <c r="AK50" s="67" t="str">
        <f>IF(EsteeNew!AK50-EsteeOld!AK50=0,"",EsteeNew!AK50-EsteeOld!AK50)</f>
        <v/>
      </c>
      <c r="AL50" s="67" t="str">
        <f>IF(EsteeNew!AL50-EsteeOld!AL50=0,"",EsteeNew!AL50-EsteeOld!AL50)</f>
        <v/>
      </c>
      <c r="AM50" s="67" t="str">
        <f>IF(EsteeNew!AM50-EsteeOld!AM50=0,"",EsteeNew!AM50-EsteeOld!AM50)</f>
        <v/>
      </c>
      <c r="AN50" s="67" t="str">
        <f>IF(EsteeNew!AN50-EsteeOld!AN50=0,"",EsteeNew!AN50-EsteeOld!AN50)</f>
        <v/>
      </c>
      <c r="AO50" s="67" t="str">
        <f>IF(EsteeNew!AO50-EsteeOld!AO50=0,"",EsteeNew!AO50-EsteeOld!AO50)</f>
        <v/>
      </c>
      <c r="AP50" s="67" t="str">
        <f>IF(EsteeNew!AP50-EsteeOld!AP50=0,"",EsteeNew!AP50-EsteeOld!AP50)</f>
        <v/>
      </c>
      <c r="AQ50" s="67" t="str">
        <f>IF(EsteeNew!AQ50-EsteeOld!AQ50=0,"",EsteeNew!AQ50-EsteeOld!AQ50)</f>
        <v/>
      </c>
      <c r="AR50" s="67" t="str">
        <f>IF(EsteeNew!AR50-EsteeOld!AR50=0,"",EsteeNew!AR50-EsteeOld!AR50)</f>
        <v/>
      </c>
      <c r="AS50" s="67" t="str">
        <f>IF(EsteeNew!AS50-EsteeOld!AS50=0,"",EsteeNew!AS50-EsteeOld!AS50)</f>
        <v/>
      </c>
      <c r="AT50" s="67" t="str">
        <f>IF(EsteeNew!AT50-EsteeOld!AT50=0,"",EsteeNew!AT50-EsteeOld!AT50)</f>
        <v/>
      </c>
      <c r="AU50" s="67" t="str">
        <f>IF(EsteeNew!AU50-EsteeOld!AU50=0,"",EsteeNew!AU50-EsteeOld!AU50)</f>
        <v/>
      </c>
      <c r="AV50" s="67" t="str">
        <f>IF(EsteeNew!AV50-EsteeOld!AV50=0,"",EsteeNew!AV50-EsteeOld!AV50)</f>
        <v/>
      </c>
      <c r="AW50" s="67" t="str">
        <f>IF(EsteeNew!AW50-EsteeOld!AW50=0,"",EsteeNew!AW50-EsteeOld!AW50)</f>
        <v/>
      </c>
      <c r="AX50" s="67" t="str">
        <f>IF(EsteeNew!AX50-EsteeOld!AX50=0,"",EsteeNew!AX50-EsteeOld!AX50)</f>
        <v/>
      </c>
      <c r="AY50" s="67" t="str">
        <f>IF(EsteeNew!AY50-EsteeOld!AY50=0,"",EsteeNew!AY50-EsteeOld!AY50)</f>
        <v/>
      </c>
      <c r="AZ50" s="67" t="str">
        <f>IF(EsteeNew!AZ50-EsteeOld!AZ50=0,"",EsteeNew!AZ50-EsteeOld!AZ50)</f>
        <v/>
      </c>
      <c r="BA50" s="67" t="str">
        <f>IF(EsteeNew!BA50-EsteeOld!BA50=0,"",EsteeNew!BA50-EsteeOld!BA50)</f>
        <v/>
      </c>
      <c r="BB50" s="67" t="str">
        <f>IF(EsteeNew!BB50-EsteeOld!BB50=0,"",EsteeNew!BB50-EsteeOld!BB50)</f>
        <v/>
      </c>
      <c r="BC50" s="67" t="str">
        <f>IF(EsteeNew!BC50-EsteeOld!BC50=0,"",EsteeNew!BC50-EsteeOld!BC50)</f>
        <v/>
      </c>
      <c r="BD50" s="67" t="str">
        <f>IF(EsteeNew!BD50-EsteeOld!BD50=0,"",EsteeNew!BD50-EsteeOld!BD50)</f>
        <v/>
      </c>
    </row>
    <row r="51" spans="3:56" x14ac:dyDescent="0.25">
      <c r="C51" s="108"/>
      <c r="D51" s="59" t="s">
        <v>43</v>
      </c>
      <c r="E51" s="65" t="str">
        <f>IF(EsteeNew!E51-EsteeOld!E51=0,"",EsteeNew!E51-EsteeOld!E51)</f>
        <v/>
      </c>
      <c r="F51" s="65" t="str">
        <f>IF(EsteeNew!F51-EsteeOld!F51=0,"",EsteeNew!F51-EsteeOld!F51)</f>
        <v/>
      </c>
      <c r="G51" s="65" t="str">
        <f>IF(EsteeNew!G51-EsteeOld!G51=0,"",EsteeNew!G51-EsteeOld!G51)</f>
        <v/>
      </c>
      <c r="H51" s="65" t="str">
        <f>IF(EsteeNew!H51-EsteeOld!H51=0,"",EsteeNew!H51-EsteeOld!H51)</f>
        <v/>
      </c>
      <c r="I51" s="65" t="str">
        <f>IF(EsteeNew!I51-EsteeOld!I51=0,"",EsteeNew!I51-EsteeOld!I51)</f>
        <v/>
      </c>
      <c r="J51" s="65" t="str">
        <f>IF(EsteeNew!J51-EsteeOld!J51=0,"",EsteeNew!J51-EsteeOld!J51)</f>
        <v/>
      </c>
      <c r="K51" s="65" t="str">
        <f>IF(EsteeNew!K51-EsteeOld!K51=0,"",EsteeNew!K51-EsteeOld!K51)</f>
        <v/>
      </c>
      <c r="L51" s="65" t="str">
        <f>IF(EsteeNew!L51-EsteeOld!L51=0,"",EsteeNew!L51-EsteeOld!L51)</f>
        <v/>
      </c>
      <c r="M51" s="65" t="str">
        <f>IF(EsteeNew!M51-EsteeOld!M51=0,"",EsteeNew!M51-EsteeOld!M51)</f>
        <v/>
      </c>
      <c r="N51" s="65" t="str">
        <f>IF(EsteeNew!N51-EsteeOld!N51=0,"",EsteeNew!N51-EsteeOld!N51)</f>
        <v/>
      </c>
      <c r="O51" s="65" t="str">
        <f>IF(EsteeNew!O51-EsteeOld!O51=0,"",EsteeNew!O51-EsteeOld!O51)</f>
        <v/>
      </c>
      <c r="P51" s="65" t="str">
        <f>IF(EsteeNew!P51-EsteeOld!P51=0,"",EsteeNew!P51-EsteeOld!P51)</f>
        <v/>
      </c>
      <c r="Q51" s="65" t="str">
        <f>IF(EsteeNew!Q51-EsteeOld!Q51=0,"",EsteeNew!Q51-EsteeOld!Q51)</f>
        <v/>
      </c>
      <c r="R51" s="65" t="str">
        <f>IF(EsteeNew!R51-EsteeOld!R51=0,"",EsteeNew!R51-EsteeOld!R51)</f>
        <v/>
      </c>
      <c r="S51" s="65" t="str">
        <f>IF(EsteeNew!S51-EsteeOld!S51=0,"",EsteeNew!S51-EsteeOld!S51)</f>
        <v/>
      </c>
      <c r="T51" s="65" t="str">
        <f>IF(EsteeNew!T51-EsteeOld!T51=0,"",EsteeNew!T51-EsteeOld!T51)</f>
        <v/>
      </c>
      <c r="U51" s="65" t="str">
        <f>IF(EsteeNew!U51-EsteeOld!U51=0,"",EsteeNew!U51-EsteeOld!U51)</f>
        <v/>
      </c>
      <c r="V51" s="65" t="str">
        <f>IF(EsteeNew!V51-EsteeOld!V51=0,"",EsteeNew!V51-EsteeOld!V51)</f>
        <v/>
      </c>
      <c r="W51" s="65" t="str">
        <f>IF(EsteeNew!W51-EsteeOld!W51=0,"",EsteeNew!W51-EsteeOld!W51)</f>
        <v/>
      </c>
      <c r="X51" s="65" t="str">
        <f>IF(EsteeNew!X51-EsteeOld!X51=0,"",EsteeNew!X51-EsteeOld!X51)</f>
        <v/>
      </c>
      <c r="Y51" s="65" t="str">
        <f>IF(EsteeNew!Y51-EsteeOld!Y51=0,"",EsteeNew!Y51-EsteeOld!Y51)</f>
        <v/>
      </c>
      <c r="Z51" s="65" t="str">
        <f>IF(EsteeNew!Z51-EsteeOld!Z51=0,"",EsteeNew!Z51-EsteeOld!Z51)</f>
        <v/>
      </c>
      <c r="AA51" s="65" t="str">
        <f>IF(EsteeNew!AA51-EsteeOld!AA51=0,"",EsteeNew!AA51-EsteeOld!AA51)</f>
        <v/>
      </c>
      <c r="AB51" s="65" t="str">
        <f>IF(EsteeNew!AB51-EsteeOld!AB51=0,"",EsteeNew!AB51-EsteeOld!AB51)</f>
        <v/>
      </c>
      <c r="AC51" s="65" t="str">
        <f>IF(EsteeNew!AC51-EsteeOld!AC51=0,"",EsteeNew!AC51-EsteeOld!AC51)</f>
        <v/>
      </c>
      <c r="AD51" s="65" t="str">
        <f>IF(EsteeNew!AD51-EsteeOld!AD51=0,"",EsteeNew!AD51-EsteeOld!AD51)</f>
        <v/>
      </c>
      <c r="AE51" s="65" t="str">
        <f>IF(EsteeNew!AE51-EsteeOld!AE51=0,"",EsteeNew!AE51-EsteeOld!AE51)</f>
        <v/>
      </c>
      <c r="AF51" s="65" t="str">
        <f>IF(EsteeNew!AF51-EsteeOld!AF51=0,"",EsteeNew!AF51-EsteeOld!AF51)</f>
        <v/>
      </c>
      <c r="AG51" s="65" t="str">
        <f>IF(EsteeNew!AG51-EsteeOld!AG51=0,"",EsteeNew!AG51-EsteeOld!AG51)</f>
        <v/>
      </c>
      <c r="AH51" s="65" t="str">
        <f>IF(EsteeNew!AH51-EsteeOld!AH51=0,"",EsteeNew!AH51-EsteeOld!AH51)</f>
        <v/>
      </c>
      <c r="AI51" s="65" t="str">
        <f>IF(EsteeNew!AI51-EsteeOld!AI51=0,"",EsteeNew!AI51-EsteeOld!AI51)</f>
        <v/>
      </c>
      <c r="AJ51" s="65" t="str">
        <f>IF(EsteeNew!AJ51-EsteeOld!AJ51=0,"",EsteeNew!AJ51-EsteeOld!AJ51)</f>
        <v/>
      </c>
      <c r="AK51" s="65" t="str">
        <f>IF(EsteeNew!AK51-EsteeOld!AK51=0,"",EsteeNew!AK51-EsteeOld!AK51)</f>
        <v/>
      </c>
      <c r="AL51" s="65" t="str">
        <f>IF(EsteeNew!AL51-EsteeOld!AL51=0,"",EsteeNew!AL51-EsteeOld!AL51)</f>
        <v/>
      </c>
      <c r="AM51" s="65" t="str">
        <f>IF(EsteeNew!AM51-EsteeOld!AM51=0,"",EsteeNew!AM51-EsteeOld!AM51)</f>
        <v/>
      </c>
      <c r="AN51" s="65" t="str">
        <f>IF(EsteeNew!AN51-EsteeOld!AN51=0,"",EsteeNew!AN51-EsteeOld!AN51)</f>
        <v/>
      </c>
      <c r="AO51" s="65" t="str">
        <f>IF(EsteeNew!AO51-EsteeOld!AO51=0,"",EsteeNew!AO51-EsteeOld!AO51)</f>
        <v/>
      </c>
      <c r="AP51" s="65" t="str">
        <f>IF(EsteeNew!AP51-EsteeOld!AP51=0,"",EsteeNew!AP51-EsteeOld!AP51)</f>
        <v/>
      </c>
      <c r="AQ51" s="65" t="str">
        <f>IF(EsteeNew!AQ51-EsteeOld!AQ51=0,"",EsteeNew!AQ51-EsteeOld!AQ51)</f>
        <v/>
      </c>
      <c r="AR51" s="65" t="str">
        <f>IF(EsteeNew!AR51-EsteeOld!AR51=0,"",EsteeNew!AR51-EsteeOld!AR51)</f>
        <v/>
      </c>
      <c r="AS51" s="65" t="str">
        <f>IF(EsteeNew!AS51-EsteeOld!AS51=0,"",EsteeNew!AS51-EsteeOld!AS51)</f>
        <v/>
      </c>
      <c r="AT51" s="65" t="str">
        <f>IF(EsteeNew!AT51-EsteeOld!AT51=0,"",EsteeNew!AT51-EsteeOld!AT51)</f>
        <v/>
      </c>
      <c r="AU51" s="65" t="str">
        <f>IF(EsteeNew!AU51-EsteeOld!AU51=0,"",EsteeNew!AU51-EsteeOld!AU51)</f>
        <v/>
      </c>
      <c r="AV51" s="65" t="str">
        <f>IF(EsteeNew!AV51-EsteeOld!AV51=0,"",EsteeNew!AV51-EsteeOld!AV51)</f>
        <v/>
      </c>
      <c r="AW51" s="65" t="str">
        <f>IF(EsteeNew!AW51-EsteeOld!AW51=0,"",EsteeNew!AW51-EsteeOld!AW51)</f>
        <v/>
      </c>
      <c r="AX51" s="65" t="str">
        <f>IF(EsteeNew!AX51-EsteeOld!AX51=0,"",EsteeNew!AX51-EsteeOld!AX51)</f>
        <v/>
      </c>
      <c r="AY51" s="65" t="str">
        <f>IF(EsteeNew!AY51-EsteeOld!AY51=0,"",EsteeNew!AY51-EsteeOld!AY51)</f>
        <v/>
      </c>
      <c r="AZ51" s="65" t="str">
        <f>IF(EsteeNew!AZ51-EsteeOld!AZ51=0,"",EsteeNew!AZ51-EsteeOld!AZ51)</f>
        <v/>
      </c>
      <c r="BA51" s="65" t="str">
        <f>IF(EsteeNew!BA51-EsteeOld!BA51=0,"",EsteeNew!BA51-EsteeOld!BA51)</f>
        <v/>
      </c>
      <c r="BB51" s="65" t="str">
        <f>IF(EsteeNew!BB51-EsteeOld!BB51=0,"",EsteeNew!BB51-EsteeOld!BB51)</f>
        <v/>
      </c>
      <c r="BC51" s="65" t="str">
        <f>IF(EsteeNew!BC51-EsteeOld!BC51=0,"",EsteeNew!BC51-EsteeOld!BC51)</f>
        <v/>
      </c>
      <c r="BD51" s="65" t="str">
        <f>IF(EsteeNew!BD51-EsteeOld!BD51=0,"",EsteeNew!BD51-EsteeOld!BD51)</f>
        <v/>
      </c>
    </row>
    <row r="52" spans="3:56" x14ac:dyDescent="0.25">
      <c r="C52" s="108"/>
      <c r="D52" s="60" t="s">
        <v>44</v>
      </c>
      <c r="E52" s="61">
        <f t="shared" ref="E52" si="8">SUM(E42:E49)</f>
        <v>0</v>
      </c>
      <c r="F52" s="61">
        <f t="shared" ref="F52:BD52" si="9">SUM(F42:F49)</f>
        <v>0</v>
      </c>
      <c r="G52" s="61">
        <f t="shared" si="9"/>
        <v>0</v>
      </c>
      <c r="H52" s="61">
        <f t="shared" si="9"/>
        <v>0</v>
      </c>
      <c r="I52" s="61">
        <f t="shared" si="9"/>
        <v>0</v>
      </c>
      <c r="J52" s="61">
        <f t="shared" si="9"/>
        <v>0</v>
      </c>
      <c r="K52" s="61">
        <f t="shared" si="9"/>
        <v>0</v>
      </c>
      <c r="L52" s="61">
        <f t="shared" si="9"/>
        <v>0</v>
      </c>
      <c r="M52" s="61">
        <f t="shared" si="9"/>
        <v>0</v>
      </c>
      <c r="N52" s="61">
        <f t="shared" si="9"/>
        <v>0</v>
      </c>
      <c r="O52" s="61">
        <f t="shared" si="9"/>
        <v>0</v>
      </c>
      <c r="P52" s="61">
        <f t="shared" si="9"/>
        <v>0</v>
      </c>
      <c r="Q52" s="61">
        <f t="shared" si="9"/>
        <v>0</v>
      </c>
      <c r="R52" s="61">
        <f t="shared" si="9"/>
        <v>0</v>
      </c>
      <c r="S52" s="61">
        <f t="shared" si="9"/>
        <v>0</v>
      </c>
      <c r="T52" s="61">
        <f t="shared" si="9"/>
        <v>0</v>
      </c>
      <c r="U52" s="61">
        <f t="shared" si="9"/>
        <v>0</v>
      </c>
      <c r="V52" s="61">
        <f t="shared" si="9"/>
        <v>0</v>
      </c>
      <c r="W52" s="61">
        <f t="shared" si="9"/>
        <v>0</v>
      </c>
      <c r="X52" s="61">
        <f t="shared" si="9"/>
        <v>0</v>
      </c>
      <c r="Y52" s="61">
        <f t="shared" si="9"/>
        <v>0</v>
      </c>
      <c r="Z52" s="61">
        <f t="shared" si="9"/>
        <v>0</v>
      </c>
      <c r="AA52" s="61">
        <f t="shared" si="9"/>
        <v>0</v>
      </c>
      <c r="AB52" s="61">
        <f t="shared" si="9"/>
        <v>0</v>
      </c>
      <c r="AC52" s="61">
        <f t="shared" si="9"/>
        <v>0</v>
      </c>
      <c r="AD52" s="61">
        <f t="shared" si="9"/>
        <v>0</v>
      </c>
      <c r="AE52" s="61">
        <f t="shared" si="9"/>
        <v>0</v>
      </c>
      <c r="AF52" s="61">
        <f t="shared" si="9"/>
        <v>0</v>
      </c>
      <c r="AG52" s="61">
        <f t="shared" si="9"/>
        <v>0</v>
      </c>
      <c r="AH52" s="61">
        <f t="shared" si="9"/>
        <v>0</v>
      </c>
      <c r="AI52" s="61">
        <f t="shared" si="9"/>
        <v>0</v>
      </c>
      <c r="AJ52" s="61">
        <f t="shared" si="9"/>
        <v>0</v>
      </c>
      <c r="AK52" s="61">
        <f t="shared" si="9"/>
        <v>0</v>
      </c>
      <c r="AL52" s="61">
        <f t="shared" si="9"/>
        <v>0</v>
      </c>
      <c r="AM52" s="61">
        <f t="shared" si="9"/>
        <v>0</v>
      </c>
      <c r="AN52" s="61">
        <f t="shared" si="9"/>
        <v>0</v>
      </c>
      <c r="AO52" s="61">
        <f t="shared" si="9"/>
        <v>0</v>
      </c>
      <c r="AP52" s="61">
        <f t="shared" si="9"/>
        <v>0</v>
      </c>
      <c r="AQ52" s="61">
        <f t="shared" si="9"/>
        <v>0</v>
      </c>
      <c r="AR52" s="61">
        <f t="shared" si="9"/>
        <v>0</v>
      </c>
      <c r="AS52" s="61">
        <f t="shared" si="9"/>
        <v>0</v>
      </c>
      <c r="AT52" s="61">
        <f t="shared" si="9"/>
        <v>0</v>
      </c>
      <c r="AU52" s="61">
        <f t="shared" si="9"/>
        <v>0</v>
      </c>
      <c r="AV52" s="61">
        <f t="shared" si="9"/>
        <v>0</v>
      </c>
      <c r="AW52" s="61">
        <f t="shared" si="9"/>
        <v>0</v>
      </c>
      <c r="AX52" s="61">
        <f t="shared" si="9"/>
        <v>0</v>
      </c>
      <c r="AY52" s="61">
        <f t="shared" si="9"/>
        <v>0</v>
      </c>
      <c r="AZ52" s="61">
        <f t="shared" si="9"/>
        <v>0</v>
      </c>
      <c r="BA52" s="61">
        <f t="shared" si="9"/>
        <v>0</v>
      </c>
      <c r="BB52" s="61">
        <f t="shared" si="9"/>
        <v>0</v>
      </c>
      <c r="BC52" s="61">
        <f t="shared" si="9"/>
        <v>0</v>
      </c>
      <c r="BD52" s="61">
        <f t="shared" si="9"/>
        <v>0</v>
      </c>
    </row>
    <row r="53" spans="3:56" x14ac:dyDescent="0.25">
      <c r="C53" s="108"/>
      <c r="D53" s="59" t="s">
        <v>52</v>
      </c>
      <c r="E53" s="56" t="str">
        <f>IFERROR(E52-E40,"")</f>
        <v/>
      </c>
      <c r="F53" s="56" t="str">
        <f t="shared" ref="F53:BD53" si="10">IFERROR(F52-F40,"")</f>
        <v/>
      </c>
      <c r="G53" s="56" t="str">
        <f t="shared" si="10"/>
        <v/>
      </c>
      <c r="H53" s="56" t="str">
        <f t="shared" si="10"/>
        <v/>
      </c>
      <c r="I53" s="56" t="str">
        <f t="shared" si="10"/>
        <v/>
      </c>
      <c r="J53" s="56" t="str">
        <f t="shared" si="10"/>
        <v/>
      </c>
      <c r="K53" s="56" t="str">
        <f t="shared" si="10"/>
        <v/>
      </c>
      <c r="L53" s="56" t="str">
        <f t="shared" si="10"/>
        <v/>
      </c>
      <c r="M53" s="56" t="str">
        <f t="shared" si="10"/>
        <v/>
      </c>
      <c r="N53" s="56" t="str">
        <f t="shared" si="10"/>
        <v/>
      </c>
      <c r="O53" s="56" t="str">
        <f t="shared" si="10"/>
        <v/>
      </c>
      <c r="P53" s="56" t="str">
        <f t="shared" si="10"/>
        <v/>
      </c>
      <c r="Q53" s="56" t="str">
        <f t="shared" si="10"/>
        <v/>
      </c>
      <c r="R53" s="56" t="str">
        <f t="shared" si="10"/>
        <v/>
      </c>
      <c r="S53" s="56" t="str">
        <f t="shared" si="10"/>
        <v/>
      </c>
      <c r="T53" s="56" t="str">
        <f t="shared" si="10"/>
        <v/>
      </c>
      <c r="U53" s="56" t="str">
        <f t="shared" si="10"/>
        <v/>
      </c>
      <c r="V53" s="56" t="str">
        <f t="shared" si="10"/>
        <v/>
      </c>
      <c r="W53" s="56" t="str">
        <f t="shared" si="10"/>
        <v/>
      </c>
      <c r="X53" s="56" t="str">
        <f t="shared" si="10"/>
        <v/>
      </c>
      <c r="Y53" s="56" t="str">
        <f t="shared" si="10"/>
        <v/>
      </c>
      <c r="Z53" s="56" t="str">
        <f t="shared" si="10"/>
        <v/>
      </c>
      <c r="AA53" s="56" t="str">
        <f t="shared" si="10"/>
        <v/>
      </c>
      <c r="AB53" s="56" t="str">
        <f t="shared" si="10"/>
        <v/>
      </c>
      <c r="AC53" s="56" t="str">
        <f t="shared" si="10"/>
        <v/>
      </c>
      <c r="AD53" s="56" t="str">
        <f t="shared" si="10"/>
        <v/>
      </c>
      <c r="AE53" s="56" t="str">
        <f t="shared" si="10"/>
        <v/>
      </c>
      <c r="AF53" s="56" t="str">
        <f t="shared" si="10"/>
        <v/>
      </c>
      <c r="AG53" s="56" t="str">
        <f t="shared" si="10"/>
        <v/>
      </c>
      <c r="AH53" s="56" t="str">
        <f t="shared" si="10"/>
        <v/>
      </c>
      <c r="AI53" s="56" t="str">
        <f t="shared" si="10"/>
        <v/>
      </c>
      <c r="AJ53" s="56" t="str">
        <f t="shared" si="10"/>
        <v/>
      </c>
      <c r="AK53" s="56" t="str">
        <f t="shared" si="10"/>
        <v/>
      </c>
      <c r="AL53" s="56" t="str">
        <f t="shared" si="10"/>
        <v/>
      </c>
      <c r="AM53" s="56" t="str">
        <f t="shared" si="10"/>
        <v/>
      </c>
      <c r="AN53" s="56" t="str">
        <f t="shared" si="10"/>
        <v/>
      </c>
      <c r="AO53" s="56" t="str">
        <f t="shared" si="10"/>
        <v/>
      </c>
      <c r="AP53" s="56" t="str">
        <f t="shared" si="10"/>
        <v/>
      </c>
      <c r="AQ53" s="56" t="str">
        <f t="shared" si="10"/>
        <v/>
      </c>
      <c r="AR53" s="56" t="str">
        <f t="shared" si="10"/>
        <v/>
      </c>
      <c r="AS53" s="56" t="str">
        <f t="shared" si="10"/>
        <v/>
      </c>
      <c r="AT53" s="56" t="str">
        <f t="shared" si="10"/>
        <v/>
      </c>
      <c r="AU53" s="56" t="str">
        <f t="shared" si="10"/>
        <v/>
      </c>
      <c r="AV53" s="56" t="str">
        <f t="shared" si="10"/>
        <v/>
      </c>
      <c r="AW53" s="56" t="str">
        <f t="shared" si="10"/>
        <v/>
      </c>
      <c r="AX53" s="56" t="str">
        <f t="shared" si="10"/>
        <v/>
      </c>
      <c r="AY53" s="56" t="str">
        <f t="shared" si="10"/>
        <v/>
      </c>
      <c r="AZ53" s="56" t="str">
        <f t="shared" si="10"/>
        <v/>
      </c>
      <c r="BA53" s="56" t="str">
        <f t="shared" si="10"/>
        <v/>
      </c>
      <c r="BB53" s="56" t="str">
        <f t="shared" si="10"/>
        <v/>
      </c>
      <c r="BC53" s="56" t="str">
        <f t="shared" si="10"/>
        <v/>
      </c>
      <c r="BD53" s="56" t="str">
        <f t="shared" si="10"/>
        <v/>
      </c>
    </row>
    <row r="54" spans="3:56" x14ac:dyDescent="0.25">
      <c r="C54" s="108"/>
      <c r="D54" s="59" t="s">
        <v>46</v>
      </c>
      <c r="E54" s="56" t="str">
        <f>IFERROR(E53+LauderFTEChan!E51,"")</f>
        <v/>
      </c>
      <c r="F54" s="56" t="str">
        <f>IFERROR(F53+LauderFTEChan!F51,"")</f>
        <v/>
      </c>
      <c r="G54" s="56" t="str">
        <f>IFERROR(G53+LauderFTEChan!G51,"")</f>
        <v/>
      </c>
      <c r="H54" s="56" t="str">
        <f>IFERROR(H53+LauderFTEChan!H51,"")</f>
        <v/>
      </c>
      <c r="I54" s="56" t="str">
        <f>IFERROR(I53+LauderFTEChan!I51,"")</f>
        <v/>
      </c>
      <c r="J54" s="56" t="str">
        <f>IFERROR(J53+LauderFTEChan!J51,"")</f>
        <v/>
      </c>
      <c r="K54" s="56" t="str">
        <f>IFERROR(K53+LauderFTEChan!K51,"")</f>
        <v/>
      </c>
      <c r="L54" s="56" t="str">
        <f>IFERROR(L53+LauderFTEChan!L51,"")</f>
        <v/>
      </c>
      <c r="M54" s="56" t="str">
        <f>IFERROR(M53+LauderFTEChan!M51,"")</f>
        <v/>
      </c>
      <c r="N54" s="56" t="str">
        <f>IFERROR(N53+LauderFTEChan!N51,"")</f>
        <v/>
      </c>
      <c r="O54" s="56" t="str">
        <f>IFERROR(O53+LauderFTEChan!O51,"")</f>
        <v/>
      </c>
      <c r="P54" s="56" t="str">
        <f>IFERROR(P53+LauderFTEChan!P51,"")</f>
        <v/>
      </c>
      <c r="Q54" s="56" t="str">
        <f>IFERROR(Q53+LauderFTEChan!Q51,"")</f>
        <v/>
      </c>
      <c r="R54" s="56" t="str">
        <f>IFERROR(R53+LauderFTEChan!R51,"")</f>
        <v/>
      </c>
      <c r="S54" s="56" t="str">
        <f>IFERROR(S53+LauderFTEChan!S51,"")</f>
        <v/>
      </c>
      <c r="T54" s="56" t="str">
        <f>IFERROR(T53+LauderFTEChan!T51,"")</f>
        <v/>
      </c>
      <c r="U54" s="56" t="str">
        <f>IFERROR(U53+LauderFTEChan!U51,"")</f>
        <v/>
      </c>
      <c r="V54" s="56" t="str">
        <f>IFERROR(V53+LauderFTEChan!V51,"")</f>
        <v/>
      </c>
      <c r="W54" s="56" t="str">
        <f>IFERROR(W53+LauderFTEChan!W51,"")</f>
        <v/>
      </c>
      <c r="X54" s="56" t="str">
        <f>IFERROR(X53+LauderFTEChan!X51,"")</f>
        <v/>
      </c>
      <c r="Y54" s="56" t="str">
        <f>IFERROR(Y53+LauderFTEChan!Y51,"")</f>
        <v/>
      </c>
      <c r="Z54" s="56" t="str">
        <f>IFERROR(Z53+LauderFTEChan!Z51,"")</f>
        <v/>
      </c>
      <c r="AA54" s="56" t="str">
        <f>IFERROR(AA53+LauderFTEChan!AA51,"")</f>
        <v/>
      </c>
      <c r="AB54" s="56" t="str">
        <f>IFERROR(AB53+LauderFTEChan!AB51,"")</f>
        <v/>
      </c>
      <c r="AC54" s="56" t="str">
        <f>IFERROR(AC53+LauderFTEChan!AC51,"")</f>
        <v/>
      </c>
      <c r="AD54" s="56" t="str">
        <f>IFERROR(AD53+LauderFTEChan!AD51,"")</f>
        <v/>
      </c>
      <c r="AE54" s="56" t="str">
        <f>IFERROR(AE53+LauderFTEChan!AE51,"")</f>
        <v/>
      </c>
      <c r="AF54" s="56" t="str">
        <f>IFERROR(AF53+LauderFTEChan!AF51,"")</f>
        <v/>
      </c>
      <c r="AG54" s="56" t="str">
        <f>IFERROR(AG53+LauderFTEChan!AG51,"")</f>
        <v/>
      </c>
      <c r="AH54" s="56" t="str">
        <f>IFERROR(AH53+LauderFTEChan!AH51,"")</f>
        <v/>
      </c>
      <c r="AI54" s="56" t="str">
        <f>IFERROR(AI53+LauderFTEChan!AI51,"")</f>
        <v/>
      </c>
      <c r="AJ54" s="56" t="str">
        <f>IFERROR(AJ53+LauderFTEChan!AJ51,"")</f>
        <v/>
      </c>
      <c r="AK54" s="56" t="str">
        <f>IFERROR(AK53+LauderFTEChan!AK51,"")</f>
        <v/>
      </c>
      <c r="AL54" s="56" t="str">
        <f>IFERROR(AL53+LauderFTEChan!AL51,"")</f>
        <v/>
      </c>
      <c r="AM54" s="56" t="str">
        <f>IFERROR(AM53+LauderFTEChan!AM51,"")</f>
        <v/>
      </c>
      <c r="AN54" s="56" t="str">
        <f>IFERROR(AN53+LauderFTEChan!AN51,"")</f>
        <v/>
      </c>
      <c r="AO54" s="56" t="str">
        <f>IFERROR(AO53+LauderFTEChan!AO51,"")</f>
        <v/>
      </c>
      <c r="AP54" s="56" t="str">
        <f>IFERROR(AP53+LauderFTEChan!AP51,"")</f>
        <v/>
      </c>
      <c r="AQ54" s="56" t="str">
        <f>IFERROR(AQ53+LauderFTEChan!AQ51,"")</f>
        <v/>
      </c>
      <c r="AR54" s="56" t="str">
        <f>IFERROR(AR53+LauderFTEChan!AR51,"")</f>
        <v/>
      </c>
      <c r="AS54" s="56" t="str">
        <f>IFERROR(AS53+LauderFTEChan!AS51,"")</f>
        <v/>
      </c>
      <c r="AT54" s="56" t="str">
        <f>IFERROR(AT53+LauderFTEChan!AT51,"")</f>
        <v/>
      </c>
      <c r="AU54" s="56" t="str">
        <f>IFERROR(AU53+LauderFTEChan!AU51,"")</f>
        <v/>
      </c>
      <c r="AV54" s="56" t="str">
        <f>IFERROR(AV53+LauderFTEChan!AV51,"")</f>
        <v/>
      </c>
      <c r="AW54" s="56" t="str">
        <f>IFERROR(AW53+LauderFTEChan!AW51,"")</f>
        <v/>
      </c>
      <c r="AX54" s="56" t="str">
        <f>IFERROR(AX53+LauderFTEChan!AX51,"")</f>
        <v/>
      </c>
      <c r="AY54" s="56" t="str">
        <f>IFERROR(AY53+LauderFTEChan!AY51,"")</f>
        <v/>
      </c>
      <c r="AZ54" s="56" t="str">
        <f>IFERROR(AZ53+LauderFTEChan!AZ51,"")</f>
        <v/>
      </c>
      <c r="BA54" s="56" t="str">
        <f>IFERROR(BA53+LauderFTEChan!BA51,"")</f>
        <v/>
      </c>
      <c r="BB54" s="56" t="str">
        <f>IFERROR(BB53+LauderFTEChan!BB51,"")</f>
        <v/>
      </c>
      <c r="BC54" s="56" t="str">
        <f>IFERROR(BC53+LauderFTEChan!BC51,"")</f>
        <v/>
      </c>
      <c r="BD54" s="56" t="str">
        <f>IFERROR(BD53+LauderFTEChan!BD51,"")</f>
        <v/>
      </c>
    </row>
    <row r="55" spans="3:56" x14ac:dyDescent="0.25">
      <c r="C55" s="48"/>
      <c r="E55" s="45"/>
      <c r="F55" s="45"/>
      <c r="G55" s="45"/>
      <c r="H55" s="45"/>
      <c r="I55" s="45"/>
      <c r="J55" s="45"/>
      <c r="K55" s="45"/>
      <c r="L55" s="45"/>
      <c r="M55" s="45"/>
    </row>
    <row r="56" spans="3:56" x14ac:dyDescent="0.25">
      <c r="D56" s="46" t="s">
        <v>19</v>
      </c>
      <c r="E56" s="82">
        <f>E2</f>
        <v>44569</v>
      </c>
      <c r="F56" s="82">
        <f t="shared" ref="F56:BD56" si="11">F2</f>
        <v>44576</v>
      </c>
      <c r="G56" s="82">
        <f t="shared" si="11"/>
        <v>44583</v>
      </c>
      <c r="H56" s="82">
        <f t="shared" si="11"/>
        <v>44590</v>
      </c>
      <c r="I56" s="82">
        <f t="shared" si="11"/>
        <v>44597</v>
      </c>
      <c r="J56" s="82">
        <f t="shared" si="11"/>
        <v>44604</v>
      </c>
      <c r="K56" s="82">
        <f t="shared" si="11"/>
        <v>44611</v>
      </c>
      <c r="L56" s="82">
        <f t="shared" si="11"/>
        <v>44618</v>
      </c>
      <c r="M56" s="82">
        <f t="shared" si="11"/>
        <v>44625</v>
      </c>
      <c r="N56" s="82">
        <f t="shared" si="11"/>
        <v>44632</v>
      </c>
      <c r="O56" s="82">
        <f t="shared" si="11"/>
        <v>44639</v>
      </c>
      <c r="P56" s="82">
        <f t="shared" si="11"/>
        <v>44646</v>
      </c>
      <c r="Q56" s="82">
        <f t="shared" si="11"/>
        <v>44653</v>
      </c>
      <c r="R56" s="82">
        <f t="shared" si="11"/>
        <v>44660</v>
      </c>
      <c r="S56" s="82">
        <f t="shared" si="11"/>
        <v>44667</v>
      </c>
      <c r="T56" s="82">
        <f t="shared" si="11"/>
        <v>44674</v>
      </c>
      <c r="U56" s="82">
        <f t="shared" si="11"/>
        <v>44681</v>
      </c>
      <c r="V56" s="82">
        <f t="shared" si="11"/>
        <v>44688</v>
      </c>
      <c r="W56" s="82">
        <f t="shared" si="11"/>
        <v>44695</v>
      </c>
      <c r="X56" s="82">
        <f t="shared" si="11"/>
        <v>44702</v>
      </c>
      <c r="Y56" s="82">
        <f t="shared" si="11"/>
        <v>44709</v>
      </c>
      <c r="Z56" s="82">
        <f t="shared" si="11"/>
        <v>44716</v>
      </c>
      <c r="AA56" s="82">
        <f t="shared" si="11"/>
        <v>44723</v>
      </c>
      <c r="AB56" s="82">
        <f t="shared" si="11"/>
        <v>44730</v>
      </c>
      <c r="AC56" s="82">
        <f t="shared" si="11"/>
        <v>44737</v>
      </c>
      <c r="AD56" s="82">
        <f t="shared" si="11"/>
        <v>44744</v>
      </c>
      <c r="AE56" s="82">
        <f t="shared" si="11"/>
        <v>44751</v>
      </c>
      <c r="AF56" s="82">
        <f t="shared" si="11"/>
        <v>44758</v>
      </c>
      <c r="AG56" s="82">
        <f t="shared" si="11"/>
        <v>44765</v>
      </c>
      <c r="AH56" s="82">
        <f t="shared" si="11"/>
        <v>44772</v>
      </c>
      <c r="AI56" s="82">
        <f t="shared" si="11"/>
        <v>44779</v>
      </c>
      <c r="AJ56" s="82">
        <f t="shared" si="11"/>
        <v>44786</v>
      </c>
      <c r="AK56" s="82">
        <f t="shared" si="11"/>
        <v>44793</v>
      </c>
      <c r="AL56" s="82">
        <f t="shared" si="11"/>
        <v>44800</v>
      </c>
      <c r="AM56" s="82">
        <f t="shared" si="11"/>
        <v>44807</v>
      </c>
      <c r="AN56" s="82">
        <f t="shared" si="11"/>
        <v>44814</v>
      </c>
      <c r="AO56" s="82">
        <f t="shared" si="11"/>
        <v>44821</v>
      </c>
      <c r="AP56" s="82">
        <f t="shared" si="11"/>
        <v>44828</v>
      </c>
      <c r="AQ56" s="82">
        <f t="shared" si="11"/>
        <v>44835</v>
      </c>
      <c r="AR56" s="82">
        <f t="shared" si="11"/>
        <v>44842</v>
      </c>
      <c r="AS56" s="82">
        <f t="shared" si="11"/>
        <v>44849</v>
      </c>
      <c r="AT56" s="82">
        <f t="shared" si="11"/>
        <v>44856</v>
      </c>
      <c r="AU56" s="82">
        <f t="shared" si="11"/>
        <v>44863</v>
      </c>
      <c r="AV56" s="82">
        <f t="shared" si="11"/>
        <v>44870</v>
      </c>
      <c r="AW56" s="82">
        <f t="shared" si="11"/>
        <v>44877</v>
      </c>
      <c r="AX56" s="82">
        <f t="shared" si="11"/>
        <v>44884</v>
      </c>
      <c r="AY56" s="82">
        <f t="shared" si="11"/>
        <v>44891</v>
      </c>
      <c r="AZ56" s="82">
        <f t="shared" si="11"/>
        <v>44898</v>
      </c>
      <c r="BA56" s="82">
        <f t="shared" si="11"/>
        <v>44905</v>
      </c>
      <c r="BB56" s="82">
        <f t="shared" si="11"/>
        <v>44912</v>
      </c>
      <c r="BC56" s="82">
        <f t="shared" si="11"/>
        <v>44919</v>
      </c>
      <c r="BD56" s="82">
        <f t="shared" si="11"/>
        <v>44926</v>
      </c>
    </row>
    <row r="57" spans="3:56" x14ac:dyDescent="0.25">
      <c r="C57" s="105" t="s">
        <v>19</v>
      </c>
      <c r="D57" s="41" t="s">
        <v>21</v>
      </c>
      <c r="E57" s="70" t="str">
        <f>IF(EsteeNew!E57-EsteeOld!E57=0,"",EsteeNew!E57-EsteeOld!E57)</f>
        <v/>
      </c>
      <c r="F57" s="70" t="str">
        <f>IF(EsteeNew!F57-EsteeOld!F57=0,"",EsteeNew!F57-EsteeOld!F57)</f>
        <v/>
      </c>
      <c r="G57" s="70" t="str">
        <f>IF(EsteeNew!G57-EsteeOld!G57=0,"",EsteeNew!G57-EsteeOld!G57)</f>
        <v/>
      </c>
      <c r="H57" s="70" t="str">
        <f>IF(EsteeNew!H57-EsteeOld!H57=0,"",EsteeNew!H57-EsteeOld!H57)</f>
        <v/>
      </c>
      <c r="I57" s="70" t="str">
        <f>IF(EsteeNew!I57-EsteeOld!I57=0,"",EsteeNew!I57-EsteeOld!I57)</f>
        <v/>
      </c>
      <c r="J57" s="70" t="str">
        <f>IF(EsteeNew!J57-EsteeOld!J57=0,"",EsteeNew!J57-EsteeOld!J57)</f>
        <v/>
      </c>
      <c r="K57" s="70" t="str">
        <f>IF(EsteeNew!K57-EsteeOld!K57=0,"",EsteeNew!K57-EsteeOld!K57)</f>
        <v/>
      </c>
      <c r="L57" s="70" t="str">
        <f>IF(EsteeNew!L57-EsteeOld!L57=0,"",EsteeNew!L57-EsteeOld!L57)</f>
        <v/>
      </c>
      <c r="M57" s="70" t="str">
        <f>IF(EsteeNew!M57-EsteeOld!M57=0,"",EsteeNew!M57-EsteeOld!M57)</f>
        <v/>
      </c>
      <c r="N57" s="70" t="str">
        <f>IF(EsteeNew!N57-EsteeOld!N57=0,"",EsteeNew!N57-EsteeOld!N57)</f>
        <v/>
      </c>
      <c r="O57" s="70" t="str">
        <f>IF(EsteeNew!O57-EsteeOld!O57=0,"",EsteeNew!O57-EsteeOld!O57)</f>
        <v/>
      </c>
      <c r="P57" s="70" t="str">
        <f>IF(EsteeNew!P57-EsteeOld!P57=0,"",EsteeNew!P57-EsteeOld!P57)</f>
        <v/>
      </c>
      <c r="Q57" s="70" t="str">
        <f>IF(EsteeNew!Q57-EsteeOld!Q57=0,"",EsteeNew!Q57-EsteeOld!Q57)</f>
        <v/>
      </c>
      <c r="R57" s="70" t="str">
        <f>IF(EsteeNew!R57-EsteeOld!R57=0,"",EsteeNew!R57-EsteeOld!R57)</f>
        <v/>
      </c>
      <c r="S57" s="70" t="str">
        <f>IF(EsteeNew!S57-EsteeOld!S57=0,"",EsteeNew!S57-EsteeOld!S57)</f>
        <v/>
      </c>
      <c r="T57" s="70" t="str">
        <f>IF(EsteeNew!T57-EsteeOld!T57=0,"",EsteeNew!T57-EsteeOld!T57)</f>
        <v/>
      </c>
      <c r="U57" s="70" t="str">
        <f>IF(EsteeNew!U57-EsteeOld!U57=0,"",EsteeNew!U57-EsteeOld!U57)</f>
        <v/>
      </c>
      <c r="V57" s="70" t="str">
        <f>IF(EsteeNew!V57-EsteeOld!V57=0,"",EsteeNew!V57-EsteeOld!V57)</f>
        <v/>
      </c>
      <c r="W57" s="70" t="str">
        <f>IF(EsteeNew!W57-EsteeOld!W57=0,"",EsteeNew!W57-EsteeOld!W57)</f>
        <v/>
      </c>
      <c r="X57" s="70" t="str">
        <f>IF(EsteeNew!X57-EsteeOld!X57=0,"",EsteeNew!X57-EsteeOld!X57)</f>
        <v/>
      </c>
      <c r="Y57" s="70">
        <f>IF(EsteeNew!Y57-EsteeOld!Y57=0,"",EsteeNew!Y57-EsteeOld!Y57)</f>
        <v>-670.88000000000102</v>
      </c>
      <c r="Z57" s="70" t="str">
        <f>IF(EsteeNew!Z57-EsteeOld!Z57=0,"",EsteeNew!Z57-EsteeOld!Z57)</f>
        <v/>
      </c>
      <c r="AA57" s="70" t="str">
        <f>IF(EsteeNew!AA57-EsteeOld!AA57=0,"",EsteeNew!AA57-EsteeOld!AA57)</f>
        <v/>
      </c>
      <c r="AB57" s="70" t="str">
        <f>IF(EsteeNew!AB57-EsteeOld!AB57=0,"",EsteeNew!AB57-EsteeOld!AB57)</f>
        <v/>
      </c>
      <c r="AC57" s="70" t="str">
        <f>IF(EsteeNew!AC57-EsteeOld!AC57=0,"",EsteeNew!AC57-EsteeOld!AC57)</f>
        <v/>
      </c>
      <c r="AD57" s="70" t="str">
        <f>IF(EsteeNew!AD57-EsteeOld!AD57=0,"",EsteeNew!AD57-EsteeOld!AD57)</f>
        <v/>
      </c>
      <c r="AE57" s="70" t="str">
        <f>IF(EsteeNew!AE57-EsteeOld!AE57=0,"",EsteeNew!AE57-EsteeOld!AE57)</f>
        <v/>
      </c>
      <c r="AF57" s="70" t="str">
        <f>IF(EsteeNew!AF57-EsteeOld!AF57=0,"",EsteeNew!AF57-EsteeOld!AF57)</f>
        <v/>
      </c>
      <c r="AG57" s="70" t="str">
        <f>IF(EsteeNew!AG57-EsteeOld!AG57=0,"",EsteeNew!AG57-EsteeOld!AG57)</f>
        <v/>
      </c>
      <c r="AH57" s="70" t="str">
        <f>IF(EsteeNew!AH57-EsteeOld!AH57=0,"",EsteeNew!AH57-EsteeOld!AH57)</f>
        <v/>
      </c>
      <c r="AI57" s="70" t="str">
        <f>IF(EsteeNew!AI57-EsteeOld!AI57=0,"",EsteeNew!AI57-EsteeOld!AI57)</f>
        <v/>
      </c>
      <c r="AJ57" s="70" t="str">
        <f>IF(EsteeNew!AJ57-EsteeOld!AJ57=0,"",EsteeNew!AJ57-EsteeOld!AJ57)</f>
        <v/>
      </c>
      <c r="AK57" s="70" t="str">
        <f>IF(EsteeNew!AK57-EsteeOld!AK57=0,"",EsteeNew!AK57-EsteeOld!AK57)</f>
        <v/>
      </c>
      <c r="AL57" s="70" t="str">
        <f>IF(EsteeNew!AL57-EsteeOld!AL57=0,"",EsteeNew!AL57-EsteeOld!AL57)</f>
        <v/>
      </c>
      <c r="AM57" s="70" t="str">
        <f>IF(EsteeNew!AM57-EsteeOld!AM57=0,"",EsteeNew!AM57-EsteeOld!AM57)</f>
        <v/>
      </c>
      <c r="AN57" s="70" t="str">
        <f>IF(EsteeNew!AN57-EsteeOld!AN57=0,"",EsteeNew!AN57-EsteeOld!AN57)</f>
        <v/>
      </c>
      <c r="AO57" s="70" t="str">
        <f>IF(EsteeNew!AO57-EsteeOld!AO57=0,"",EsteeNew!AO57-EsteeOld!AO57)</f>
        <v/>
      </c>
      <c r="AP57" s="70" t="str">
        <f>IF(EsteeNew!AP57-EsteeOld!AP57=0,"",EsteeNew!AP57-EsteeOld!AP57)</f>
        <v/>
      </c>
      <c r="AQ57" s="70" t="str">
        <f>IF(EsteeNew!AQ57-EsteeOld!AQ57=0,"",EsteeNew!AQ57-EsteeOld!AQ57)</f>
        <v/>
      </c>
      <c r="AR57" s="70" t="str">
        <f>IF(EsteeNew!AR57-EsteeOld!AR57=0,"",EsteeNew!AR57-EsteeOld!AR57)</f>
        <v/>
      </c>
      <c r="AS57" s="70" t="str">
        <f>IF(EsteeNew!AS57-EsteeOld!AS57=0,"",EsteeNew!AS57-EsteeOld!AS57)</f>
        <v/>
      </c>
      <c r="AT57" s="70" t="str">
        <f>IF(EsteeNew!AT57-EsteeOld!AT57=0,"",EsteeNew!AT57-EsteeOld!AT57)</f>
        <v/>
      </c>
      <c r="AU57" s="70" t="str">
        <f>IF(EsteeNew!AU57-EsteeOld!AU57=0,"",EsteeNew!AU57-EsteeOld!AU57)</f>
        <v/>
      </c>
      <c r="AV57" s="70" t="str">
        <f>IF(EsteeNew!AV57-EsteeOld!AV57=0,"",EsteeNew!AV57-EsteeOld!AV57)</f>
        <v/>
      </c>
      <c r="AW57" s="70" t="str">
        <f>IF(EsteeNew!AW57-EsteeOld!AW57=0,"",EsteeNew!AW57-EsteeOld!AW57)</f>
        <v/>
      </c>
      <c r="AX57" s="70" t="str">
        <f>IF(EsteeNew!AX57-EsteeOld!AX57=0,"",EsteeNew!AX57-EsteeOld!AX57)</f>
        <v/>
      </c>
      <c r="AY57" s="70" t="str">
        <f>IF(EsteeNew!AY57-EsteeOld!AY57=0,"",EsteeNew!AY57-EsteeOld!AY57)</f>
        <v/>
      </c>
      <c r="AZ57" s="70" t="str">
        <f>IF(EsteeNew!AZ57-EsteeOld!AZ57=0,"",EsteeNew!AZ57-EsteeOld!AZ57)</f>
        <v/>
      </c>
      <c r="BA57" s="70" t="str">
        <f>IF(EsteeNew!BA57-EsteeOld!BA57=0,"",EsteeNew!BA57-EsteeOld!BA57)</f>
        <v/>
      </c>
      <c r="BB57" s="70" t="str">
        <f>IF(EsteeNew!BB57-EsteeOld!BB57=0,"",EsteeNew!BB57-EsteeOld!BB57)</f>
        <v/>
      </c>
      <c r="BC57" s="70" t="str">
        <f>IF(EsteeNew!BC57-EsteeOld!BC57=0,"",EsteeNew!BC57-EsteeOld!BC57)</f>
        <v/>
      </c>
      <c r="BD57" s="70" t="str">
        <f>IF(EsteeNew!BD57-EsteeOld!BD57=0,"",EsteeNew!BD57-EsteeOld!BD57)</f>
        <v/>
      </c>
    </row>
    <row r="58" spans="3:56" x14ac:dyDescent="0.25">
      <c r="C58" s="106"/>
      <c r="D58" s="41" t="s">
        <v>22</v>
      </c>
      <c r="E58" s="70" t="str">
        <f>IF(EsteeNew!E58-EsteeOld!E58=0,"",EsteeNew!E58-EsteeOld!E58)</f>
        <v/>
      </c>
      <c r="F58" s="70" t="str">
        <f>IF(EsteeNew!F58-EsteeOld!F58=0,"",EsteeNew!F58-EsteeOld!F58)</f>
        <v/>
      </c>
      <c r="G58" s="70" t="str">
        <f>IF(EsteeNew!G58-EsteeOld!G58=0,"",EsteeNew!G58-EsteeOld!G58)</f>
        <v/>
      </c>
      <c r="H58" s="70" t="str">
        <f>IF(EsteeNew!H58-EsteeOld!H58=0,"",EsteeNew!H58-EsteeOld!H58)</f>
        <v/>
      </c>
      <c r="I58" s="70" t="str">
        <f>IF(EsteeNew!I58-EsteeOld!I58=0,"",EsteeNew!I58-EsteeOld!I58)</f>
        <v/>
      </c>
      <c r="J58" s="70" t="str">
        <f>IF(EsteeNew!J58-EsteeOld!J58=0,"",EsteeNew!J58-EsteeOld!J58)</f>
        <v/>
      </c>
      <c r="K58" s="70" t="str">
        <f>IF(EsteeNew!K58-EsteeOld!K58=0,"",EsteeNew!K58-EsteeOld!K58)</f>
        <v/>
      </c>
      <c r="L58" s="70" t="str">
        <f>IF(EsteeNew!L58-EsteeOld!L58=0,"",EsteeNew!L58-EsteeOld!L58)</f>
        <v/>
      </c>
      <c r="M58" s="70" t="str">
        <f>IF(EsteeNew!M58-EsteeOld!M58=0,"",EsteeNew!M58-EsteeOld!M58)</f>
        <v/>
      </c>
      <c r="N58" s="70" t="str">
        <f>IF(EsteeNew!N58-EsteeOld!N58=0,"",EsteeNew!N58-EsteeOld!N58)</f>
        <v/>
      </c>
      <c r="O58" s="70" t="str">
        <f>IF(EsteeNew!O58-EsteeOld!O58=0,"",EsteeNew!O58-EsteeOld!O58)</f>
        <v/>
      </c>
      <c r="P58" s="70" t="str">
        <f>IF(EsteeNew!P58-EsteeOld!P58=0,"",EsteeNew!P58-EsteeOld!P58)</f>
        <v/>
      </c>
      <c r="Q58" s="70" t="str">
        <f>IF(EsteeNew!Q58-EsteeOld!Q58=0,"",EsteeNew!Q58-EsteeOld!Q58)</f>
        <v/>
      </c>
      <c r="R58" s="70" t="str">
        <f>IF(EsteeNew!R58-EsteeOld!R58=0,"",EsteeNew!R58-EsteeOld!R58)</f>
        <v/>
      </c>
      <c r="S58" s="70" t="str">
        <f>IF(EsteeNew!S58-EsteeOld!S58=0,"",EsteeNew!S58-EsteeOld!S58)</f>
        <v/>
      </c>
      <c r="T58" s="70" t="str">
        <f>IF(EsteeNew!T58-EsteeOld!T58=0,"",EsteeNew!T58-EsteeOld!T58)</f>
        <v/>
      </c>
      <c r="U58" s="70" t="str">
        <f>IF(EsteeNew!U58-EsteeOld!U58=0,"",EsteeNew!U58-EsteeOld!U58)</f>
        <v/>
      </c>
      <c r="V58" s="70" t="str">
        <f>IF(EsteeNew!V58-EsteeOld!V58=0,"",EsteeNew!V58-EsteeOld!V58)</f>
        <v/>
      </c>
      <c r="W58" s="70" t="str">
        <f>IF(EsteeNew!W58-EsteeOld!W58=0,"",EsteeNew!W58-EsteeOld!W58)</f>
        <v/>
      </c>
      <c r="X58" s="70" t="str">
        <f>IF(EsteeNew!X58-EsteeOld!X58=0,"",EsteeNew!X58-EsteeOld!X58)</f>
        <v/>
      </c>
      <c r="Y58" s="70" t="str">
        <f>IF(EsteeNew!Y58-EsteeOld!Y58=0,"",EsteeNew!Y58-EsteeOld!Y58)</f>
        <v/>
      </c>
      <c r="Z58" s="70" t="str">
        <f>IF(EsteeNew!Z58-EsteeOld!Z58=0,"",EsteeNew!Z58-EsteeOld!Z58)</f>
        <v/>
      </c>
      <c r="AA58" s="70" t="str">
        <f>IF(EsteeNew!AA58-EsteeOld!AA58=0,"",EsteeNew!AA58-EsteeOld!AA58)</f>
        <v/>
      </c>
      <c r="AB58" s="70" t="str">
        <f>IF(EsteeNew!AB58-EsteeOld!AB58=0,"",EsteeNew!AB58-EsteeOld!AB58)</f>
        <v/>
      </c>
      <c r="AC58" s="70" t="str">
        <f>IF(EsteeNew!AC58-EsteeOld!AC58=0,"",EsteeNew!AC58-EsteeOld!AC58)</f>
        <v/>
      </c>
      <c r="AD58" s="70" t="str">
        <f>IF(EsteeNew!AD58-EsteeOld!AD58=0,"",EsteeNew!AD58-EsteeOld!AD58)</f>
        <v/>
      </c>
      <c r="AE58" s="70" t="str">
        <f>IF(EsteeNew!AE58-EsteeOld!AE58=0,"",EsteeNew!AE58-EsteeOld!AE58)</f>
        <v/>
      </c>
      <c r="AF58" s="70" t="str">
        <f>IF(EsteeNew!AF58-EsteeOld!AF58=0,"",EsteeNew!AF58-EsteeOld!AF58)</f>
        <v/>
      </c>
      <c r="AG58" s="70" t="str">
        <f>IF(EsteeNew!AG58-EsteeOld!AG58=0,"",EsteeNew!AG58-EsteeOld!AG58)</f>
        <v/>
      </c>
      <c r="AH58" s="70" t="str">
        <f>IF(EsteeNew!AH58-EsteeOld!AH58=0,"",EsteeNew!AH58-EsteeOld!AH58)</f>
        <v/>
      </c>
      <c r="AI58" s="70" t="str">
        <f>IF(EsteeNew!AI58-EsteeOld!AI58=0,"",EsteeNew!AI58-EsteeOld!AI58)</f>
        <v/>
      </c>
      <c r="AJ58" s="70" t="str">
        <f>IF(EsteeNew!AJ58-EsteeOld!AJ58=0,"",EsteeNew!AJ58-EsteeOld!AJ58)</f>
        <v/>
      </c>
      <c r="AK58" s="70" t="str">
        <f>IF(EsteeNew!AK58-EsteeOld!AK58=0,"",EsteeNew!AK58-EsteeOld!AK58)</f>
        <v/>
      </c>
      <c r="AL58" s="70" t="str">
        <f>IF(EsteeNew!AL58-EsteeOld!AL58=0,"",EsteeNew!AL58-EsteeOld!AL58)</f>
        <v/>
      </c>
      <c r="AM58" s="70" t="str">
        <f>IF(EsteeNew!AM58-EsteeOld!AM58=0,"",EsteeNew!AM58-EsteeOld!AM58)</f>
        <v/>
      </c>
      <c r="AN58" s="70" t="str">
        <f>IF(EsteeNew!AN58-EsteeOld!AN58=0,"",EsteeNew!AN58-EsteeOld!AN58)</f>
        <v/>
      </c>
      <c r="AO58" s="70" t="str">
        <f>IF(EsteeNew!AO58-EsteeOld!AO58=0,"",EsteeNew!AO58-EsteeOld!AO58)</f>
        <v/>
      </c>
      <c r="AP58" s="70" t="str">
        <f>IF(EsteeNew!AP58-EsteeOld!AP58=0,"",EsteeNew!AP58-EsteeOld!AP58)</f>
        <v/>
      </c>
      <c r="AQ58" s="70" t="str">
        <f>IF(EsteeNew!AQ58-EsteeOld!AQ58=0,"",EsteeNew!AQ58-EsteeOld!AQ58)</f>
        <v/>
      </c>
      <c r="AR58" s="70" t="str">
        <f>IF(EsteeNew!AR58-EsteeOld!AR58=0,"",EsteeNew!AR58-EsteeOld!AR58)</f>
        <v/>
      </c>
      <c r="AS58" s="70" t="str">
        <f>IF(EsteeNew!AS58-EsteeOld!AS58=0,"",EsteeNew!AS58-EsteeOld!AS58)</f>
        <v/>
      </c>
      <c r="AT58" s="70" t="str">
        <f>IF(EsteeNew!AT58-EsteeOld!AT58=0,"",EsteeNew!AT58-EsteeOld!AT58)</f>
        <v/>
      </c>
      <c r="AU58" s="70" t="str">
        <f>IF(EsteeNew!AU58-EsteeOld!AU58=0,"",EsteeNew!AU58-EsteeOld!AU58)</f>
        <v/>
      </c>
      <c r="AV58" s="70" t="str">
        <f>IF(EsteeNew!AV58-EsteeOld!AV58=0,"",EsteeNew!AV58-EsteeOld!AV58)</f>
        <v/>
      </c>
      <c r="AW58" s="70" t="str">
        <f>IF(EsteeNew!AW58-EsteeOld!AW58=0,"",EsteeNew!AW58-EsteeOld!AW58)</f>
        <v/>
      </c>
      <c r="AX58" s="70" t="str">
        <f>IF(EsteeNew!AX58-EsteeOld!AX58=0,"",EsteeNew!AX58-EsteeOld!AX58)</f>
        <v/>
      </c>
      <c r="AY58" s="70" t="str">
        <f>IF(EsteeNew!AY58-EsteeOld!AY58=0,"",EsteeNew!AY58-EsteeOld!AY58)</f>
        <v/>
      </c>
      <c r="AZ58" s="70" t="str">
        <f>IF(EsteeNew!AZ58-EsteeOld!AZ58=0,"",EsteeNew!AZ58-EsteeOld!AZ58)</f>
        <v/>
      </c>
      <c r="BA58" s="70" t="str">
        <f>IF(EsteeNew!BA58-EsteeOld!BA58=0,"",EsteeNew!BA58-EsteeOld!BA58)</f>
        <v/>
      </c>
      <c r="BB58" s="70" t="str">
        <f>IF(EsteeNew!BB58-EsteeOld!BB58=0,"",EsteeNew!BB58-EsteeOld!BB58)</f>
        <v/>
      </c>
      <c r="BC58" s="70" t="str">
        <f>IF(EsteeNew!BC58-EsteeOld!BC58=0,"",EsteeNew!BC58-EsteeOld!BC58)</f>
        <v/>
      </c>
      <c r="BD58" s="70" t="str">
        <f>IF(EsteeNew!BD58-EsteeOld!BD58=0,"",EsteeNew!BD58-EsteeOld!BD58)</f>
        <v/>
      </c>
    </row>
    <row r="59" spans="3:56" x14ac:dyDescent="0.25">
      <c r="C59" s="106"/>
      <c r="D59" s="41" t="s">
        <v>30</v>
      </c>
      <c r="E59" s="68" t="str">
        <f>IF(EsteeNew!E59-EsteeOld!E59=0,"",EsteeNew!E59-EsteeOld!E59)</f>
        <v/>
      </c>
      <c r="F59" s="68" t="str">
        <f>IF(EsteeNew!F59-EsteeOld!F59=0,"",EsteeNew!F59-EsteeOld!F59)</f>
        <v/>
      </c>
      <c r="G59" s="68" t="str">
        <f>IF(EsteeNew!G59-EsteeOld!G59=0,"",EsteeNew!G59-EsteeOld!G59)</f>
        <v/>
      </c>
      <c r="H59" s="68" t="str">
        <f>IF(EsteeNew!H59-EsteeOld!H59=0,"",EsteeNew!H59-EsteeOld!H59)</f>
        <v/>
      </c>
      <c r="I59" s="68" t="str">
        <f>IF(EsteeNew!I59-EsteeOld!I59=0,"",EsteeNew!I59-EsteeOld!I59)</f>
        <v/>
      </c>
      <c r="J59" s="68" t="str">
        <f>IF(EsteeNew!J59-EsteeOld!J59=0,"",EsteeNew!J59-EsteeOld!J59)</f>
        <v/>
      </c>
      <c r="K59" s="68" t="str">
        <f>IF(EsteeNew!K59-EsteeOld!K59=0,"",EsteeNew!K59-EsteeOld!K59)</f>
        <v/>
      </c>
      <c r="L59" s="68" t="str">
        <f>IF(EsteeNew!L59-EsteeOld!L59=0,"",EsteeNew!L59-EsteeOld!L59)</f>
        <v/>
      </c>
      <c r="M59" s="68" t="str">
        <f>IF(EsteeNew!M59-EsteeOld!M59=0,"",EsteeNew!M59-EsteeOld!M59)</f>
        <v/>
      </c>
      <c r="N59" s="68" t="str">
        <f>IF(EsteeNew!N59-EsteeOld!N59=0,"",EsteeNew!N59-EsteeOld!N59)</f>
        <v/>
      </c>
      <c r="O59" s="68" t="str">
        <f>IF(EsteeNew!O59-EsteeOld!O59=0,"",EsteeNew!O59-EsteeOld!O59)</f>
        <v/>
      </c>
      <c r="P59" s="68" t="str">
        <f>IF(EsteeNew!P59-EsteeOld!P59=0,"",EsteeNew!P59-EsteeOld!P59)</f>
        <v/>
      </c>
      <c r="Q59" s="68" t="str">
        <f>IF(EsteeNew!Q59-EsteeOld!Q59=0,"",EsteeNew!Q59-EsteeOld!Q59)</f>
        <v/>
      </c>
      <c r="R59" s="68" t="str">
        <f>IF(EsteeNew!R59-EsteeOld!R59=0,"",EsteeNew!R59-EsteeOld!R59)</f>
        <v/>
      </c>
      <c r="S59" s="68" t="str">
        <f>IF(EsteeNew!S59-EsteeOld!S59=0,"",EsteeNew!S59-EsteeOld!S59)</f>
        <v/>
      </c>
      <c r="T59" s="68" t="str">
        <f>IF(EsteeNew!T59-EsteeOld!T59=0,"",EsteeNew!T59-EsteeOld!T59)</f>
        <v/>
      </c>
      <c r="U59" s="68" t="str">
        <f>IF(EsteeNew!U59-EsteeOld!U59=0,"",EsteeNew!U59-EsteeOld!U59)</f>
        <v/>
      </c>
      <c r="V59" s="68" t="str">
        <f>IF(EsteeNew!V59-EsteeOld!V59=0,"",EsteeNew!V59-EsteeOld!V59)</f>
        <v/>
      </c>
      <c r="W59" s="68" t="str">
        <f>IF(EsteeNew!W59-EsteeOld!W59=0,"",EsteeNew!W59-EsteeOld!W59)</f>
        <v/>
      </c>
      <c r="X59" s="68" t="str">
        <f>IF(EsteeNew!X59-EsteeOld!X59=0,"",EsteeNew!X59-EsteeOld!X59)</f>
        <v/>
      </c>
      <c r="Y59" s="68" t="str">
        <f>IF(EsteeNew!Y59-EsteeOld!Y59=0,"",EsteeNew!Y59-EsteeOld!Y59)</f>
        <v/>
      </c>
      <c r="Z59" s="68" t="str">
        <f>IF(EsteeNew!Z59-EsteeOld!Z59=0,"",EsteeNew!Z59-EsteeOld!Z59)</f>
        <v/>
      </c>
      <c r="AA59" s="68" t="str">
        <f>IF(EsteeNew!AA59-EsteeOld!AA59=0,"",EsteeNew!AA59-EsteeOld!AA59)</f>
        <v/>
      </c>
      <c r="AB59" s="68" t="str">
        <f>IF(EsteeNew!AB59-EsteeOld!AB59=0,"",EsteeNew!AB59-EsteeOld!AB59)</f>
        <v/>
      </c>
      <c r="AC59" s="68" t="str">
        <f>IF(EsteeNew!AC59-EsteeOld!AC59=0,"",EsteeNew!AC59-EsteeOld!AC59)</f>
        <v/>
      </c>
      <c r="AD59" s="68" t="str">
        <f>IF(EsteeNew!AD59-EsteeOld!AD59=0,"",EsteeNew!AD59-EsteeOld!AD59)</f>
        <v/>
      </c>
      <c r="AE59" s="68" t="str">
        <f>IF(EsteeNew!AE59-EsteeOld!AE59=0,"",EsteeNew!AE59-EsteeOld!AE59)</f>
        <v/>
      </c>
      <c r="AF59" s="68" t="str">
        <f>IF(EsteeNew!AF59-EsteeOld!AF59=0,"",EsteeNew!AF59-EsteeOld!AF59)</f>
        <v/>
      </c>
      <c r="AG59" s="68" t="str">
        <f>IF(EsteeNew!AG59-EsteeOld!AG59=0,"",EsteeNew!AG59-EsteeOld!AG59)</f>
        <v/>
      </c>
      <c r="AH59" s="68" t="str">
        <f>IF(EsteeNew!AH59-EsteeOld!AH59=0,"",EsteeNew!AH59-EsteeOld!AH59)</f>
        <v/>
      </c>
      <c r="AI59" s="68" t="str">
        <f>IF(EsteeNew!AI59-EsteeOld!AI59=0,"",EsteeNew!AI59-EsteeOld!AI59)</f>
        <v/>
      </c>
      <c r="AJ59" s="68" t="str">
        <f>IF(EsteeNew!AJ59-EsteeOld!AJ59=0,"",EsteeNew!AJ59-EsteeOld!AJ59)</f>
        <v/>
      </c>
      <c r="AK59" s="68" t="str">
        <f>IF(EsteeNew!AK59-EsteeOld!AK59=0,"",EsteeNew!AK59-EsteeOld!AK59)</f>
        <v/>
      </c>
      <c r="AL59" s="68" t="str">
        <f>IF(EsteeNew!AL59-EsteeOld!AL59=0,"",EsteeNew!AL59-EsteeOld!AL59)</f>
        <v/>
      </c>
      <c r="AM59" s="68" t="str">
        <f>IF(EsteeNew!AM59-EsteeOld!AM59=0,"",EsteeNew!AM59-EsteeOld!AM59)</f>
        <v/>
      </c>
      <c r="AN59" s="68" t="str">
        <f>IF(EsteeNew!AN59-EsteeOld!AN59=0,"",EsteeNew!AN59-EsteeOld!AN59)</f>
        <v/>
      </c>
      <c r="AO59" s="68" t="str">
        <f>IF(EsteeNew!AO59-EsteeOld!AO59=0,"",EsteeNew!AO59-EsteeOld!AO59)</f>
        <v/>
      </c>
      <c r="AP59" s="68" t="str">
        <f>IF(EsteeNew!AP59-EsteeOld!AP59=0,"",EsteeNew!AP59-EsteeOld!AP59)</f>
        <v/>
      </c>
      <c r="AQ59" s="68" t="str">
        <f>IF(EsteeNew!AQ59-EsteeOld!AQ59=0,"",EsteeNew!AQ59-EsteeOld!AQ59)</f>
        <v/>
      </c>
      <c r="AR59" s="68" t="str">
        <f>IF(EsteeNew!AR59-EsteeOld!AR59=0,"",EsteeNew!AR59-EsteeOld!AR59)</f>
        <v/>
      </c>
      <c r="AS59" s="68" t="str">
        <f>IF(EsteeNew!AS59-EsteeOld!AS59=0,"",EsteeNew!AS59-EsteeOld!AS59)</f>
        <v/>
      </c>
      <c r="AT59" s="68" t="str">
        <f>IF(EsteeNew!AT59-EsteeOld!AT59=0,"",EsteeNew!AT59-EsteeOld!AT59)</f>
        <v/>
      </c>
      <c r="AU59" s="68" t="str">
        <f>IF(EsteeNew!AU59-EsteeOld!AU59=0,"",EsteeNew!AU59-EsteeOld!AU59)</f>
        <v/>
      </c>
      <c r="AV59" s="68" t="str">
        <f>IF(EsteeNew!AV59-EsteeOld!AV59=0,"",EsteeNew!AV59-EsteeOld!AV59)</f>
        <v/>
      </c>
      <c r="AW59" s="68" t="str">
        <f>IF(EsteeNew!AW59-EsteeOld!AW59=0,"",EsteeNew!AW59-EsteeOld!AW59)</f>
        <v/>
      </c>
      <c r="AX59" s="68" t="str">
        <f>IF(EsteeNew!AX59-EsteeOld!AX59=0,"",EsteeNew!AX59-EsteeOld!AX59)</f>
        <v/>
      </c>
      <c r="AY59" s="68" t="str">
        <f>IF(EsteeNew!AY59-EsteeOld!AY59=0,"",EsteeNew!AY59-EsteeOld!AY59)</f>
        <v/>
      </c>
      <c r="AZ59" s="68" t="str">
        <f>IF(EsteeNew!AZ59-EsteeOld!AZ59=0,"",EsteeNew!AZ59-EsteeOld!AZ59)</f>
        <v/>
      </c>
      <c r="BA59" s="68" t="str">
        <f>IF(EsteeNew!BA59-EsteeOld!BA59=0,"",EsteeNew!BA59-EsteeOld!BA59)</f>
        <v/>
      </c>
      <c r="BB59" s="68" t="str">
        <f>IF(EsteeNew!BB59-EsteeOld!BB59=0,"",EsteeNew!BB59-EsteeOld!BB59)</f>
        <v/>
      </c>
      <c r="BC59" s="68" t="str">
        <f>IF(EsteeNew!BC59-EsteeOld!BC59=0,"",EsteeNew!BC59-EsteeOld!BC59)</f>
        <v/>
      </c>
      <c r="BD59" s="68" t="str">
        <f>IF(EsteeNew!BD59-EsteeOld!BD59=0,"",EsteeNew!BD59-EsteeOld!BD59)</f>
        <v/>
      </c>
    </row>
    <row r="60" spans="3:56" x14ac:dyDescent="0.25">
      <c r="C60" s="106"/>
      <c r="D60" s="41" t="s">
        <v>31</v>
      </c>
      <c r="E60" s="68" t="str">
        <f>IF(EsteeNew!E60-EsteeOld!E60=0,"",EsteeNew!E60-EsteeOld!E60)</f>
        <v/>
      </c>
      <c r="F60" s="68" t="str">
        <f>IF(EsteeNew!F60-EsteeOld!F60=0,"",EsteeNew!F60-EsteeOld!F60)</f>
        <v/>
      </c>
      <c r="G60" s="68" t="str">
        <f>IF(EsteeNew!G60-EsteeOld!G60=0,"",EsteeNew!G60-EsteeOld!G60)</f>
        <v/>
      </c>
      <c r="H60" s="68" t="str">
        <f>IF(EsteeNew!H60-EsteeOld!H60=0,"",EsteeNew!H60-EsteeOld!H60)</f>
        <v/>
      </c>
      <c r="I60" s="68" t="str">
        <f>IF(EsteeNew!I60-EsteeOld!I60=0,"",EsteeNew!I60-EsteeOld!I60)</f>
        <v/>
      </c>
      <c r="J60" s="68" t="str">
        <f>IF(EsteeNew!J60-EsteeOld!J60=0,"",EsteeNew!J60-EsteeOld!J60)</f>
        <v/>
      </c>
      <c r="K60" s="68" t="str">
        <f>IF(EsteeNew!K60-EsteeOld!K60=0,"",EsteeNew!K60-EsteeOld!K60)</f>
        <v/>
      </c>
      <c r="L60" s="68" t="str">
        <f>IF(EsteeNew!L60-EsteeOld!L60=0,"",EsteeNew!L60-EsteeOld!L60)</f>
        <v/>
      </c>
      <c r="M60" s="68" t="str">
        <f>IF(EsteeNew!M60-EsteeOld!M60=0,"",EsteeNew!M60-EsteeOld!M60)</f>
        <v/>
      </c>
      <c r="N60" s="68" t="str">
        <f>IF(EsteeNew!N60-EsteeOld!N60=0,"",EsteeNew!N60-EsteeOld!N60)</f>
        <v/>
      </c>
      <c r="O60" s="68" t="str">
        <f>IF(EsteeNew!O60-EsteeOld!O60=0,"",EsteeNew!O60-EsteeOld!O60)</f>
        <v/>
      </c>
      <c r="P60" s="68" t="str">
        <f>IF(EsteeNew!P60-EsteeOld!P60=0,"",EsteeNew!P60-EsteeOld!P60)</f>
        <v/>
      </c>
      <c r="Q60" s="68" t="str">
        <f>IF(EsteeNew!Q60-EsteeOld!Q60=0,"",EsteeNew!Q60-EsteeOld!Q60)</f>
        <v/>
      </c>
      <c r="R60" s="68" t="str">
        <f>IF(EsteeNew!R60-EsteeOld!R60=0,"",EsteeNew!R60-EsteeOld!R60)</f>
        <v/>
      </c>
      <c r="S60" s="68" t="str">
        <f>IF(EsteeNew!S60-EsteeOld!S60=0,"",EsteeNew!S60-EsteeOld!S60)</f>
        <v/>
      </c>
      <c r="T60" s="68" t="str">
        <f>IF(EsteeNew!T60-EsteeOld!T60=0,"",EsteeNew!T60-EsteeOld!T60)</f>
        <v/>
      </c>
      <c r="U60" s="68" t="str">
        <f>IF(EsteeNew!U60-EsteeOld!U60=0,"",EsteeNew!U60-EsteeOld!U60)</f>
        <v/>
      </c>
      <c r="V60" s="68" t="str">
        <f>IF(EsteeNew!V60-EsteeOld!V60=0,"",EsteeNew!V60-EsteeOld!V60)</f>
        <v/>
      </c>
      <c r="W60" s="68" t="str">
        <f>IF(EsteeNew!W60-EsteeOld!W60=0,"",EsteeNew!W60-EsteeOld!W60)</f>
        <v/>
      </c>
      <c r="X60" s="68" t="str">
        <f>IF(EsteeNew!X60-EsteeOld!X60=0,"",EsteeNew!X60-EsteeOld!X60)</f>
        <v/>
      </c>
      <c r="Y60" s="68" t="str">
        <f>IF(EsteeNew!Y60-EsteeOld!Y60=0,"",EsteeNew!Y60-EsteeOld!Y60)</f>
        <v/>
      </c>
      <c r="Z60" s="68" t="str">
        <f>IF(EsteeNew!Z60-EsteeOld!Z60=0,"",EsteeNew!Z60-EsteeOld!Z60)</f>
        <v/>
      </c>
      <c r="AA60" s="68" t="str">
        <f>IF(EsteeNew!AA60-EsteeOld!AA60=0,"",EsteeNew!AA60-EsteeOld!AA60)</f>
        <v/>
      </c>
      <c r="AB60" s="68" t="str">
        <f>IF(EsteeNew!AB60-EsteeOld!AB60=0,"",EsteeNew!AB60-EsteeOld!AB60)</f>
        <v/>
      </c>
      <c r="AC60" s="68" t="str">
        <f>IF(EsteeNew!AC60-EsteeOld!AC60=0,"",EsteeNew!AC60-EsteeOld!AC60)</f>
        <v/>
      </c>
      <c r="AD60" s="68" t="str">
        <f>IF(EsteeNew!AD60-EsteeOld!AD60=0,"",EsteeNew!AD60-EsteeOld!AD60)</f>
        <v/>
      </c>
      <c r="AE60" s="68" t="str">
        <f>IF(EsteeNew!AE60-EsteeOld!AE60=0,"",EsteeNew!AE60-EsteeOld!AE60)</f>
        <v/>
      </c>
      <c r="AF60" s="68" t="str">
        <f>IF(EsteeNew!AF60-EsteeOld!AF60=0,"",EsteeNew!AF60-EsteeOld!AF60)</f>
        <v/>
      </c>
      <c r="AG60" s="68" t="str">
        <f>IF(EsteeNew!AG60-EsteeOld!AG60=0,"",EsteeNew!AG60-EsteeOld!AG60)</f>
        <v/>
      </c>
      <c r="AH60" s="68" t="str">
        <f>IF(EsteeNew!AH60-EsteeOld!AH60=0,"",EsteeNew!AH60-EsteeOld!AH60)</f>
        <v/>
      </c>
      <c r="AI60" s="68" t="str">
        <f>IF(EsteeNew!AI60-EsteeOld!AI60=0,"",EsteeNew!AI60-EsteeOld!AI60)</f>
        <v/>
      </c>
      <c r="AJ60" s="68" t="str">
        <f>IF(EsteeNew!AJ60-EsteeOld!AJ60=0,"",EsteeNew!AJ60-EsteeOld!AJ60)</f>
        <v/>
      </c>
      <c r="AK60" s="68" t="str">
        <f>IF(EsteeNew!AK60-EsteeOld!AK60=0,"",EsteeNew!AK60-EsteeOld!AK60)</f>
        <v/>
      </c>
      <c r="AL60" s="68" t="str">
        <f>IF(EsteeNew!AL60-EsteeOld!AL60=0,"",EsteeNew!AL60-EsteeOld!AL60)</f>
        <v/>
      </c>
      <c r="AM60" s="68" t="str">
        <f>IF(EsteeNew!AM60-EsteeOld!AM60=0,"",EsteeNew!AM60-EsteeOld!AM60)</f>
        <v/>
      </c>
      <c r="AN60" s="68" t="str">
        <f>IF(EsteeNew!AN60-EsteeOld!AN60=0,"",EsteeNew!AN60-EsteeOld!AN60)</f>
        <v/>
      </c>
      <c r="AO60" s="68" t="str">
        <f>IF(EsteeNew!AO60-EsteeOld!AO60=0,"",EsteeNew!AO60-EsteeOld!AO60)</f>
        <v/>
      </c>
      <c r="AP60" s="68" t="str">
        <f>IF(EsteeNew!AP60-EsteeOld!AP60=0,"",EsteeNew!AP60-EsteeOld!AP60)</f>
        <v/>
      </c>
      <c r="AQ60" s="68" t="str">
        <f>IF(EsteeNew!AQ60-EsteeOld!AQ60=0,"",EsteeNew!AQ60-EsteeOld!AQ60)</f>
        <v/>
      </c>
      <c r="AR60" s="68" t="str">
        <f>IF(EsteeNew!AR60-EsteeOld!AR60=0,"",EsteeNew!AR60-EsteeOld!AR60)</f>
        <v/>
      </c>
      <c r="AS60" s="68" t="str">
        <f>IF(EsteeNew!AS60-EsteeOld!AS60=0,"",EsteeNew!AS60-EsteeOld!AS60)</f>
        <v/>
      </c>
      <c r="AT60" s="68" t="str">
        <f>IF(EsteeNew!AT60-EsteeOld!AT60=0,"",EsteeNew!AT60-EsteeOld!AT60)</f>
        <v/>
      </c>
      <c r="AU60" s="68" t="str">
        <f>IF(EsteeNew!AU60-EsteeOld!AU60=0,"",EsteeNew!AU60-EsteeOld!AU60)</f>
        <v/>
      </c>
      <c r="AV60" s="68" t="str">
        <f>IF(EsteeNew!AV60-EsteeOld!AV60=0,"",EsteeNew!AV60-EsteeOld!AV60)</f>
        <v/>
      </c>
      <c r="AW60" s="68" t="str">
        <f>IF(EsteeNew!AW60-EsteeOld!AW60=0,"",EsteeNew!AW60-EsteeOld!AW60)</f>
        <v/>
      </c>
      <c r="AX60" s="68" t="str">
        <f>IF(EsteeNew!AX60-EsteeOld!AX60=0,"",EsteeNew!AX60-EsteeOld!AX60)</f>
        <v/>
      </c>
      <c r="AY60" s="68" t="str">
        <f>IF(EsteeNew!AY60-EsteeOld!AY60=0,"",EsteeNew!AY60-EsteeOld!AY60)</f>
        <v/>
      </c>
      <c r="AZ60" s="68" t="str">
        <f>IF(EsteeNew!AZ60-EsteeOld!AZ60=0,"",EsteeNew!AZ60-EsteeOld!AZ60)</f>
        <v/>
      </c>
      <c r="BA60" s="68" t="str">
        <f>IF(EsteeNew!BA60-EsteeOld!BA60=0,"",EsteeNew!BA60-EsteeOld!BA60)</f>
        <v/>
      </c>
      <c r="BB60" s="68" t="str">
        <f>IF(EsteeNew!BB60-EsteeOld!BB60=0,"",EsteeNew!BB60-EsteeOld!BB60)</f>
        <v/>
      </c>
      <c r="BC60" s="68" t="str">
        <f>IF(EsteeNew!BC60-EsteeOld!BC60=0,"",EsteeNew!BC60-EsteeOld!BC60)</f>
        <v/>
      </c>
      <c r="BD60" s="68" t="str">
        <f>IF(EsteeNew!BD60-EsteeOld!BD60=0,"",EsteeNew!BD60-EsteeOld!BD60)</f>
        <v/>
      </c>
    </row>
    <row r="61" spans="3:56" x14ac:dyDescent="0.25">
      <c r="C61" s="106"/>
      <c r="D61" s="41" t="s">
        <v>24</v>
      </c>
      <c r="E61" s="69" t="str">
        <f>IF(EsteeNew!E61-EsteeOld!E61=0,"",EsteeNew!E61-EsteeOld!E61)</f>
        <v/>
      </c>
      <c r="F61" s="69" t="str">
        <f>IF(EsteeNew!F61-EsteeOld!F61=0,"",EsteeNew!F61-EsteeOld!F61)</f>
        <v/>
      </c>
      <c r="G61" s="69" t="str">
        <f>IF(EsteeNew!G61-EsteeOld!G61=0,"",EsteeNew!G61-EsteeOld!G61)</f>
        <v/>
      </c>
      <c r="H61" s="69" t="str">
        <f>IF(EsteeNew!H61-EsteeOld!H61=0,"",EsteeNew!H61-EsteeOld!H61)</f>
        <v/>
      </c>
      <c r="I61" s="69" t="str">
        <f>IF(EsteeNew!I61-EsteeOld!I61=0,"",EsteeNew!I61-EsteeOld!I61)</f>
        <v/>
      </c>
      <c r="J61" s="69" t="str">
        <f>IF(EsteeNew!J61-EsteeOld!J61=0,"",EsteeNew!J61-EsteeOld!J61)</f>
        <v/>
      </c>
      <c r="K61" s="69" t="str">
        <f>IF(EsteeNew!K61-EsteeOld!K61=0,"",EsteeNew!K61-EsteeOld!K61)</f>
        <v/>
      </c>
      <c r="L61" s="69" t="str">
        <f>IF(EsteeNew!L61-EsteeOld!L61=0,"",EsteeNew!L61-EsteeOld!L61)</f>
        <v/>
      </c>
      <c r="M61" s="69" t="str">
        <f>IF(EsteeNew!M61-EsteeOld!M61=0,"",EsteeNew!M61-EsteeOld!M61)</f>
        <v/>
      </c>
      <c r="N61" s="69" t="str">
        <f>IF(EsteeNew!N61-EsteeOld!N61=0,"",EsteeNew!N61-EsteeOld!N61)</f>
        <v/>
      </c>
      <c r="O61" s="69" t="str">
        <f>IF(EsteeNew!O61-EsteeOld!O61=0,"",EsteeNew!O61-EsteeOld!O61)</f>
        <v/>
      </c>
      <c r="P61" s="69" t="str">
        <f>IF(EsteeNew!P61-EsteeOld!P61=0,"",EsteeNew!P61-EsteeOld!P61)</f>
        <v/>
      </c>
      <c r="Q61" s="69" t="str">
        <f>IF(EsteeNew!Q61-EsteeOld!Q61=0,"",EsteeNew!Q61-EsteeOld!Q61)</f>
        <v/>
      </c>
      <c r="R61" s="69" t="str">
        <f>IF(EsteeNew!R61-EsteeOld!R61=0,"",EsteeNew!R61-EsteeOld!R61)</f>
        <v/>
      </c>
      <c r="S61" s="69" t="str">
        <f>IF(EsteeNew!S61-EsteeOld!S61=0,"",EsteeNew!S61-EsteeOld!S61)</f>
        <v/>
      </c>
      <c r="T61" s="69" t="str">
        <f>IF(EsteeNew!T61-EsteeOld!T61=0,"",EsteeNew!T61-EsteeOld!T61)</f>
        <v/>
      </c>
      <c r="U61" s="69" t="str">
        <f>IF(EsteeNew!U61-EsteeOld!U61=0,"",EsteeNew!U61-EsteeOld!U61)</f>
        <v/>
      </c>
      <c r="V61" s="69" t="str">
        <f>IF(EsteeNew!V61-EsteeOld!V61=0,"",EsteeNew!V61-EsteeOld!V61)</f>
        <v/>
      </c>
      <c r="W61" s="69" t="str">
        <f>IF(EsteeNew!W61-EsteeOld!W61=0,"",EsteeNew!W61-EsteeOld!W61)</f>
        <v/>
      </c>
      <c r="X61" s="69" t="str">
        <f>IF(EsteeNew!X61-EsteeOld!X61=0,"",EsteeNew!X61-EsteeOld!X61)</f>
        <v/>
      </c>
      <c r="Y61" s="69" t="str">
        <f>IF(EsteeNew!Y61-EsteeOld!Y61=0,"",EsteeNew!Y61-EsteeOld!Y61)</f>
        <v/>
      </c>
      <c r="Z61" s="69" t="str">
        <f>IF(EsteeNew!Z61-EsteeOld!Z61=0,"",EsteeNew!Z61-EsteeOld!Z61)</f>
        <v/>
      </c>
      <c r="AA61" s="69" t="str">
        <f>IF(EsteeNew!AA61-EsteeOld!AA61=0,"",EsteeNew!AA61-EsteeOld!AA61)</f>
        <v/>
      </c>
      <c r="AB61" s="69" t="str">
        <f>IF(EsteeNew!AB61-EsteeOld!AB61=0,"",EsteeNew!AB61-EsteeOld!AB61)</f>
        <v/>
      </c>
      <c r="AC61" s="69" t="str">
        <f>IF(EsteeNew!AC61-EsteeOld!AC61=0,"",EsteeNew!AC61-EsteeOld!AC61)</f>
        <v/>
      </c>
      <c r="AD61" s="69" t="str">
        <f>IF(EsteeNew!AD61-EsteeOld!AD61=0,"",EsteeNew!AD61-EsteeOld!AD61)</f>
        <v/>
      </c>
      <c r="AE61" s="69" t="str">
        <f>IF(EsteeNew!AE61-EsteeOld!AE61=0,"",EsteeNew!AE61-EsteeOld!AE61)</f>
        <v/>
      </c>
      <c r="AF61" s="69" t="str">
        <f>IF(EsteeNew!AF61-EsteeOld!AF61=0,"",EsteeNew!AF61-EsteeOld!AF61)</f>
        <v/>
      </c>
      <c r="AG61" s="69" t="str">
        <f>IF(EsteeNew!AG61-EsteeOld!AG61=0,"",EsteeNew!AG61-EsteeOld!AG61)</f>
        <v/>
      </c>
      <c r="AH61" s="69" t="str">
        <f>IF(EsteeNew!AH61-EsteeOld!AH61=0,"",EsteeNew!AH61-EsteeOld!AH61)</f>
        <v/>
      </c>
      <c r="AI61" s="69" t="str">
        <f>IF(EsteeNew!AI61-EsteeOld!AI61=0,"",EsteeNew!AI61-EsteeOld!AI61)</f>
        <v/>
      </c>
      <c r="AJ61" s="69" t="str">
        <f>IF(EsteeNew!AJ61-EsteeOld!AJ61=0,"",EsteeNew!AJ61-EsteeOld!AJ61)</f>
        <v/>
      </c>
      <c r="AK61" s="69" t="str">
        <f>IF(EsteeNew!AK61-EsteeOld!AK61=0,"",EsteeNew!AK61-EsteeOld!AK61)</f>
        <v/>
      </c>
      <c r="AL61" s="69" t="str">
        <f>IF(EsteeNew!AL61-EsteeOld!AL61=0,"",EsteeNew!AL61-EsteeOld!AL61)</f>
        <v/>
      </c>
      <c r="AM61" s="69" t="str">
        <f>IF(EsteeNew!AM61-EsteeOld!AM61=0,"",EsteeNew!AM61-EsteeOld!AM61)</f>
        <v/>
      </c>
      <c r="AN61" s="69" t="str">
        <f>IF(EsteeNew!AN61-EsteeOld!AN61=0,"",EsteeNew!AN61-EsteeOld!AN61)</f>
        <v/>
      </c>
      <c r="AO61" s="69" t="str">
        <f>IF(EsteeNew!AO61-EsteeOld!AO61=0,"",EsteeNew!AO61-EsteeOld!AO61)</f>
        <v/>
      </c>
      <c r="AP61" s="69" t="str">
        <f>IF(EsteeNew!AP61-EsteeOld!AP61=0,"",EsteeNew!AP61-EsteeOld!AP61)</f>
        <v/>
      </c>
      <c r="AQ61" s="69" t="str">
        <f>IF(EsteeNew!AQ61-EsteeOld!AQ61=0,"",EsteeNew!AQ61-EsteeOld!AQ61)</f>
        <v/>
      </c>
      <c r="AR61" s="69" t="str">
        <f>IF(EsteeNew!AR61-EsteeOld!AR61=0,"",EsteeNew!AR61-EsteeOld!AR61)</f>
        <v/>
      </c>
      <c r="AS61" s="69" t="str">
        <f>IF(EsteeNew!AS61-EsteeOld!AS61=0,"",EsteeNew!AS61-EsteeOld!AS61)</f>
        <v/>
      </c>
      <c r="AT61" s="69" t="str">
        <f>IF(EsteeNew!AT61-EsteeOld!AT61=0,"",EsteeNew!AT61-EsteeOld!AT61)</f>
        <v/>
      </c>
      <c r="AU61" s="69" t="str">
        <f>IF(EsteeNew!AU61-EsteeOld!AU61=0,"",EsteeNew!AU61-EsteeOld!AU61)</f>
        <v/>
      </c>
      <c r="AV61" s="69" t="str">
        <f>IF(EsteeNew!AV61-EsteeOld!AV61=0,"",EsteeNew!AV61-EsteeOld!AV61)</f>
        <v/>
      </c>
      <c r="AW61" s="69" t="str">
        <f>IF(EsteeNew!AW61-EsteeOld!AW61=0,"",EsteeNew!AW61-EsteeOld!AW61)</f>
        <v/>
      </c>
      <c r="AX61" s="69" t="str">
        <f>IF(EsteeNew!AX61-EsteeOld!AX61=0,"",EsteeNew!AX61-EsteeOld!AX61)</f>
        <v/>
      </c>
      <c r="AY61" s="69" t="str">
        <f>IF(EsteeNew!AY61-EsteeOld!AY61=0,"",EsteeNew!AY61-EsteeOld!AY61)</f>
        <v/>
      </c>
      <c r="AZ61" s="69" t="str">
        <f>IF(EsteeNew!AZ61-EsteeOld!AZ61=0,"",EsteeNew!AZ61-EsteeOld!AZ61)</f>
        <v/>
      </c>
      <c r="BA61" s="69" t="str">
        <f>IF(EsteeNew!BA61-EsteeOld!BA61=0,"",EsteeNew!BA61-EsteeOld!BA61)</f>
        <v/>
      </c>
      <c r="BB61" s="69" t="str">
        <f>IF(EsteeNew!BB61-EsteeOld!BB61=0,"",EsteeNew!BB61-EsteeOld!BB61)</f>
        <v/>
      </c>
      <c r="BC61" s="69" t="str">
        <f>IF(EsteeNew!BC61-EsteeOld!BC61=0,"",EsteeNew!BC61-EsteeOld!BC61)</f>
        <v/>
      </c>
      <c r="BD61" s="69" t="str">
        <f>IF(EsteeNew!BD61-EsteeOld!BD61=0,"",EsteeNew!BD61-EsteeOld!BD61)</f>
        <v/>
      </c>
    </row>
    <row r="62" spans="3:56" x14ac:dyDescent="0.25">
      <c r="C62" s="106"/>
      <c r="D62" s="41" t="s">
        <v>33</v>
      </c>
      <c r="E62" s="83" t="str">
        <f>IF(EsteeNew!E62-EsteeOld!E62=0,"",EsteeNew!E62-EsteeOld!E62)</f>
        <v/>
      </c>
      <c r="F62" s="83" t="str">
        <f>IF(EsteeNew!F62-EsteeOld!F62=0,"",EsteeNew!F62-EsteeOld!F62)</f>
        <v/>
      </c>
      <c r="G62" s="83" t="str">
        <f>IF(EsteeNew!G62-EsteeOld!G62=0,"",EsteeNew!G62-EsteeOld!G62)</f>
        <v/>
      </c>
      <c r="H62" s="83" t="str">
        <f>IF(EsteeNew!H62-EsteeOld!H62=0,"",EsteeNew!H62-EsteeOld!H62)</f>
        <v/>
      </c>
      <c r="I62" s="83" t="str">
        <f>IF(EsteeNew!I62-EsteeOld!I62=0,"",EsteeNew!I62-EsteeOld!I62)</f>
        <v/>
      </c>
      <c r="J62" s="83" t="str">
        <f>IF(EsteeNew!J62-EsteeOld!J62=0,"",EsteeNew!J62-EsteeOld!J62)</f>
        <v/>
      </c>
      <c r="K62" s="83" t="str">
        <f>IF(EsteeNew!K62-EsteeOld!K62=0,"",EsteeNew!K62-EsteeOld!K62)</f>
        <v/>
      </c>
      <c r="L62" s="83" t="str">
        <f>IF(EsteeNew!L62-EsteeOld!L62=0,"",EsteeNew!L62-EsteeOld!L62)</f>
        <v/>
      </c>
      <c r="M62" s="83" t="str">
        <f>IF(EsteeNew!M62-EsteeOld!M62=0,"",EsteeNew!M62-EsteeOld!M62)</f>
        <v/>
      </c>
      <c r="N62" s="83" t="str">
        <f>IF(EsteeNew!N62-EsteeOld!N62=0,"",EsteeNew!N62-EsteeOld!N62)</f>
        <v/>
      </c>
      <c r="O62" s="83" t="str">
        <f>IF(EsteeNew!O62-EsteeOld!O62=0,"",EsteeNew!O62-EsteeOld!O62)</f>
        <v/>
      </c>
      <c r="P62" s="83" t="str">
        <f>IF(EsteeNew!P62-EsteeOld!P62=0,"",EsteeNew!P62-EsteeOld!P62)</f>
        <v/>
      </c>
      <c r="Q62" s="83" t="str">
        <f>IF(EsteeNew!Q62-EsteeOld!Q62=0,"",EsteeNew!Q62-EsteeOld!Q62)</f>
        <v/>
      </c>
      <c r="R62" s="83" t="str">
        <f>IF(EsteeNew!R62-EsteeOld!R62=0,"",EsteeNew!R62-EsteeOld!R62)</f>
        <v/>
      </c>
      <c r="S62" s="83" t="str">
        <f>IF(EsteeNew!S62-EsteeOld!S62=0,"",EsteeNew!S62-EsteeOld!S62)</f>
        <v/>
      </c>
      <c r="T62" s="83" t="str">
        <f>IF(EsteeNew!T62-EsteeOld!T62=0,"",EsteeNew!T62-EsteeOld!T62)</f>
        <v/>
      </c>
      <c r="U62" s="83" t="str">
        <f>IF(EsteeNew!U62-EsteeOld!U62=0,"",EsteeNew!U62-EsteeOld!U62)</f>
        <v/>
      </c>
      <c r="V62" s="83" t="str">
        <f>IF(EsteeNew!V62-EsteeOld!V62=0,"",EsteeNew!V62-EsteeOld!V62)</f>
        <v/>
      </c>
      <c r="W62" s="83" t="str">
        <f>IF(EsteeNew!W62-EsteeOld!W62=0,"",EsteeNew!W62-EsteeOld!W62)</f>
        <v/>
      </c>
      <c r="X62" s="83" t="str">
        <f>IF(EsteeNew!X62-EsteeOld!X62=0,"",EsteeNew!X62-EsteeOld!X62)</f>
        <v/>
      </c>
      <c r="Y62" s="83">
        <f>IF(EsteeNew!Y62-EsteeOld!Y62=0,"",EsteeNew!Y62-EsteeOld!Y62)</f>
        <v>-2.5882716049382779</v>
      </c>
      <c r="Z62" s="83" t="str">
        <f>IF(EsteeNew!Z62-EsteeOld!Z62=0,"",EsteeNew!Z62-EsteeOld!Z62)</f>
        <v/>
      </c>
      <c r="AA62" s="83" t="str">
        <f>IF(EsteeNew!AA62-EsteeOld!AA62=0,"",EsteeNew!AA62-EsteeOld!AA62)</f>
        <v/>
      </c>
      <c r="AB62" s="83" t="str">
        <f>IF(EsteeNew!AB62-EsteeOld!AB62=0,"",EsteeNew!AB62-EsteeOld!AB62)</f>
        <v/>
      </c>
      <c r="AC62" s="83" t="str">
        <f>IF(EsteeNew!AC62-EsteeOld!AC62=0,"",EsteeNew!AC62-EsteeOld!AC62)</f>
        <v/>
      </c>
      <c r="AD62" s="83" t="str">
        <f>IF(EsteeNew!AD62-EsteeOld!AD62=0,"",EsteeNew!AD62-EsteeOld!AD62)</f>
        <v/>
      </c>
      <c r="AE62" s="83" t="str">
        <f>IF(EsteeNew!AE62-EsteeOld!AE62=0,"",EsteeNew!AE62-EsteeOld!AE62)</f>
        <v/>
      </c>
      <c r="AF62" s="83" t="str">
        <f>IF(EsteeNew!AF62-EsteeOld!AF62=0,"",EsteeNew!AF62-EsteeOld!AF62)</f>
        <v/>
      </c>
      <c r="AG62" s="83" t="str">
        <f>IF(EsteeNew!AG62-EsteeOld!AG62=0,"",EsteeNew!AG62-EsteeOld!AG62)</f>
        <v/>
      </c>
      <c r="AH62" s="83" t="str">
        <f>IF(EsteeNew!AH62-EsteeOld!AH62=0,"",EsteeNew!AH62-EsteeOld!AH62)</f>
        <v/>
      </c>
      <c r="AI62" s="83" t="str">
        <f>IF(EsteeNew!AI62-EsteeOld!AI62=0,"",EsteeNew!AI62-EsteeOld!AI62)</f>
        <v/>
      </c>
      <c r="AJ62" s="83" t="str">
        <f>IF(EsteeNew!AJ62-EsteeOld!AJ62=0,"",EsteeNew!AJ62-EsteeOld!AJ62)</f>
        <v/>
      </c>
      <c r="AK62" s="83" t="str">
        <f>IF(EsteeNew!AK62-EsteeOld!AK62=0,"",EsteeNew!AK62-EsteeOld!AK62)</f>
        <v/>
      </c>
      <c r="AL62" s="83" t="str">
        <f>IF(EsteeNew!AL62-EsteeOld!AL62=0,"",EsteeNew!AL62-EsteeOld!AL62)</f>
        <v/>
      </c>
      <c r="AM62" s="83" t="str">
        <f>IF(EsteeNew!AM62-EsteeOld!AM62=0,"",EsteeNew!AM62-EsteeOld!AM62)</f>
        <v/>
      </c>
      <c r="AN62" s="83" t="str">
        <f>IF(EsteeNew!AN62-EsteeOld!AN62=0,"",EsteeNew!AN62-EsteeOld!AN62)</f>
        <v/>
      </c>
      <c r="AO62" s="83" t="str">
        <f>IF(EsteeNew!AO62-EsteeOld!AO62=0,"",EsteeNew!AO62-EsteeOld!AO62)</f>
        <v/>
      </c>
      <c r="AP62" s="83" t="str">
        <f>IF(EsteeNew!AP62-EsteeOld!AP62=0,"",EsteeNew!AP62-EsteeOld!AP62)</f>
        <v/>
      </c>
      <c r="AQ62" s="83" t="str">
        <f>IF(EsteeNew!AQ62-EsteeOld!AQ62=0,"",EsteeNew!AQ62-EsteeOld!AQ62)</f>
        <v/>
      </c>
      <c r="AR62" s="83" t="str">
        <f>IF(EsteeNew!AR62-EsteeOld!AR62=0,"",EsteeNew!AR62-EsteeOld!AR62)</f>
        <v/>
      </c>
      <c r="AS62" s="83" t="str">
        <f>IF(EsteeNew!AS62-EsteeOld!AS62=0,"",EsteeNew!AS62-EsteeOld!AS62)</f>
        <v/>
      </c>
      <c r="AT62" s="83" t="str">
        <f>IF(EsteeNew!AT62-EsteeOld!AT62=0,"",EsteeNew!AT62-EsteeOld!AT62)</f>
        <v/>
      </c>
      <c r="AU62" s="83" t="str">
        <f>IF(EsteeNew!AU62-EsteeOld!AU62=0,"",EsteeNew!AU62-EsteeOld!AU62)</f>
        <v/>
      </c>
      <c r="AV62" s="83" t="str">
        <f>IF(EsteeNew!AV62-EsteeOld!AV62=0,"",EsteeNew!AV62-EsteeOld!AV62)</f>
        <v/>
      </c>
      <c r="AW62" s="83" t="str">
        <f>IF(EsteeNew!AW62-EsteeOld!AW62=0,"",EsteeNew!AW62-EsteeOld!AW62)</f>
        <v/>
      </c>
      <c r="AX62" s="83" t="str">
        <f>IF(EsteeNew!AX62-EsteeOld!AX62=0,"",EsteeNew!AX62-EsteeOld!AX62)</f>
        <v/>
      </c>
      <c r="AY62" s="83" t="str">
        <f>IF(EsteeNew!AY62-EsteeOld!AY62=0,"",EsteeNew!AY62-EsteeOld!AY62)</f>
        <v/>
      </c>
      <c r="AZ62" s="83" t="str">
        <f>IF(EsteeNew!AZ62-EsteeOld!AZ62=0,"",EsteeNew!AZ62-EsteeOld!AZ62)</f>
        <v/>
      </c>
      <c r="BA62" s="83" t="str">
        <f>IF(EsteeNew!BA62-EsteeOld!BA62=0,"",EsteeNew!BA62-EsteeOld!BA62)</f>
        <v/>
      </c>
      <c r="BB62" s="83" t="str">
        <f>IF(EsteeNew!BB62-EsteeOld!BB62=0,"",EsteeNew!BB62-EsteeOld!BB62)</f>
        <v/>
      </c>
      <c r="BC62" s="83" t="str">
        <f>IF(EsteeNew!BC62-EsteeOld!BC62=0,"",EsteeNew!BC62-EsteeOld!BC62)</f>
        <v/>
      </c>
      <c r="BD62" s="83" t="str">
        <f>IF(EsteeNew!BD62-EsteeOld!BD62=0,"",EsteeNew!BD62-EsteeOld!BD62)</f>
        <v/>
      </c>
    </row>
    <row r="63" spans="3:56" x14ac:dyDescent="0.25">
      <c r="C63" s="106"/>
      <c r="E63" s="44"/>
      <c r="F63" s="44"/>
      <c r="G63" s="44"/>
      <c r="H63" s="44"/>
      <c r="I63" s="44"/>
      <c r="J63" s="44"/>
      <c r="K63" s="44"/>
      <c r="L63" s="44"/>
      <c r="M63" s="44"/>
    </row>
    <row r="64" spans="3:56" x14ac:dyDescent="0.25">
      <c r="C64" s="106"/>
      <c r="D64" s="49" t="s">
        <v>34</v>
      </c>
      <c r="E64" s="65" t="str">
        <f>IF(EsteeNew!E64-EsteeOld!E64=0,"",EsteeNew!E64-EsteeOld!E64)</f>
        <v/>
      </c>
      <c r="F64" s="65" t="str">
        <f>IF(EsteeNew!F64-EsteeOld!F64=0,"",EsteeNew!F64-EsteeOld!F64)</f>
        <v/>
      </c>
      <c r="G64" s="65" t="str">
        <f>IF(EsteeNew!G64-EsteeOld!G64=0,"",EsteeNew!G64-EsteeOld!G64)</f>
        <v/>
      </c>
      <c r="H64" s="65" t="str">
        <f>IF(EsteeNew!H64-EsteeOld!H64=0,"",EsteeNew!H64-EsteeOld!H64)</f>
        <v/>
      </c>
      <c r="I64" s="65" t="str">
        <f>IF(EsteeNew!I64-EsteeOld!I64=0,"",EsteeNew!I64-EsteeOld!I64)</f>
        <v/>
      </c>
      <c r="J64" s="65" t="str">
        <f>IF(EsteeNew!J64-EsteeOld!J64=0,"",EsteeNew!J64-EsteeOld!J64)</f>
        <v/>
      </c>
      <c r="K64" s="65" t="str">
        <f>IF(EsteeNew!K64-EsteeOld!K64=0,"",EsteeNew!K64-EsteeOld!K64)</f>
        <v/>
      </c>
      <c r="L64" s="65" t="str">
        <f>IF(EsteeNew!L64-EsteeOld!L64=0,"",EsteeNew!L64-EsteeOld!L64)</f>
        <v/>
      </c>
      <c r="M64" s="65" t="str">
        <f>IF(EsteeNew!M64-EsteeOld!M64=0,"",EsteeNew!M64-EsteeOld!M64)</f>
        <v/>
      </c>
      <c r="N64" s="65" t="str">
        <f>IF(EsteeNew!N64-EsteeOld!N64=0,"",EsteeNew!N64-EsteeOld!N64)</f>
        <v/>
      </c>
      <c r="O64" s="65" t="str">
        <f>IF(EsteeNew!O64-EsteeOld!O64=0,"",EsteeNew!O64-EsteeOld!O64)</f>
        <v/>
      </c>
      <c r="P64" s="65" t="str">
        <f>IF(EsteeNew!P64-EsteeOld!P64=0,"",EsteeNew!P64-EsteeOld!P64)</f>
        <v/>
      </c>
      <c r="Q64" s="65" t="str">
        <f>IF(EsteeNew!Q64-EsteeOld!Q64=0,"",EsteeNew!Q64-EsteeOld!Q64)</f>
        <v/>
      </c>
      <c r="R64" s="65" t="str">
        <f>IF(EsteeNew!R64-EsteeOld!R64=0,"",EsteeNew!R64-EsteeOld!R64)</f>
        <v/>
      </c>
      <c r="S64" s="65" t="str">
        <f>IF(EsteeNew!S64-EsteeOld!S64=0,"",EsteeNew!S64-EsteeOld!S64)</f>
        <v/>
      </c>
      <c r="T64" s="65" t="str">
        <f>IF(EsteeNew!T64-EsteeOld!T64=0,"",EsteeNew!T64-EsteeOld!T64)</f>
        <v/>
      </c>
      <c r="U64" s="65" t="str">
        <f>IF(EsteeNew!U64-EsteeOld!U64=0,"",EsteeNew!U64-EsteeOld!U64)</f>
        <v/>
      </c>
      <c r="V64" s="65" t="str">
        <f>IF(EsteeNew!V64-EsteeOld!V64=0,"",EsteeNew!V64-EsteeOld!V64)</f>
        <v/>
      </c>
      <c r="W64" s="65" t="str">
        <f>IF(EsteeNew!W64-EsteeOld!W64=0,"",EsteeNew!W64-EsteeOld!W64)</f>
        <v/>
      </c>
      <c r="X64" s="65" t="str">
        <f>IF(EsteeNew!X64-EsteeOld!X64=0,"",EsteeNew!X64-EsteeOld!X64)</f>
        <v/>
      </c>
      <c r="Y64" s="65" t="str">
        <f>IF(EsteeNew!Y64-EsteeOld!Y64=0,"",EsteeNew!Y64-EsteeOld!Y64)</f>
        <v/>
      </c>
      <c r="Z64" s="65" t="str">
        <f>IF(EsteeNew!Z64-EsteeOld!Z64=0,"",EsteeNew!Z64-EsteeOld!Z64)</f>
        <v/>
      </c>
      <c r="AA64" s="65" t="str">
        <f>IF(EsteeNew!AA64-EsteeOld!AA64=0,"",EsteeNew!AA64-EsteeOld!AA64)</f>
        <v/>
      </c>
      <c r="AB64" s="65" t="str">
        <f>IF(EsteeNew!AB64-EsteeOld!AB64=0,"",EsteeNew!AB64-EsteeOld!AB64)</f>
        <v/>
      </c>
      <c r="AC64" s="65" t="str">
        <f>IF(EsteeNew!AC64-EsteeOld!AC64=0,"",EsteeNew!AC64-EsteeOld!AC64)</f>
        <v/>
      </c>
      <c r="AD64" s="65" t="str">
        <f>IF(EsteeNew!AD64-EsteeOld!AD64=0,"",EsteeNew!AD64-EsteeOld!AD64)</f>
        <v/>
      </c>
      <c r="AE64" s="65" t="str">
        <f>IF(EsteeNew!AE64-EsteeOld!AE64=0,"",EsteeNew!AE64-EsteeOld!AE64)</f>
        <v/>
      </c>
      <c r="AF64" s="65" t="str">
        <f>IF(EsteeNew!AF64-EsteeOld!AF64=0,"",EsteeNew!AF64-EsteeOld!AF64)</f>
        <v/>
      </c>
      <c r="AG64" s="65" t="str">
        <f>IF(EsteeNew!AG64-EsteeOld!AG64=0,"",EsteeNew!AG64-EsteeOld!AG64)</f>
        <v/>
      </c>
      <c r="AH64" s="65" t="str">
        <f>IF(EsteeNew!AH64-EsteeOld!AH64=0,"",EsteeNew!AH64-EsteeOld!AH64)</f>
        <v/>
      </c>
      <c r="AI64" s="65" t="str">
        <f>IF(EsteeNew!AI64-EsteeOld!AI64=0,"",EsteeNew!AI64-EsteeOld!AI64)</f>
        <v/>
      </c>
      <c r="AJ64" s="65" t="str">
        <f>IF(EsteeNew!AJ64-EsteeOld!AJ64=0,"",EsteeNew!AJ64-EsteeOld!AJ64)</f>
        <v/>
      </c>
      <c r="AK64" s="65" t="str">
        <f>IF(EsteeNew!AK64-EsteeOld!AK64=0,"",EsteeNew!AK64-EsteeOld!AK64)</f>
        <v/>
      </c>
      <c r="AL64" s="65" t="str">
        <f>IF(EsteeNew!AL64-EsteeOld!AL64=0,"",EsteeNew!AL64-EsteeOld!AL64)</f>
        <v/>
      </c>
      <c r="AM64" s="65" t="str">
        <f>IF(EsteeNew!AM64-EsteeOld!AM64=0,"",EsteeNew!AM64-EsteeOld!AM64)</f>
        <v/>
      </c>
      <c r="AN64" s="65" t="str">
        <f>IF(EsteeNew!AN64-EsteeOld!AN64=0,"",EsteeNew!AN64-EsteeOld!AN64)</f>
        <v/>
      </c>
      <c r="AO64" s="65" t="str">
        <f>IF(EsteeNew!AO64-EsteeOld!AO64=0,"",EsteeNew!AO64-EsteeOld!AO64)</f>
        <v/>
      </c>
      <c r="AP64" s="65" t="str">
        <f>IF(EsteeNew!AP64-EsteeOld!AP64=0,"",EsteeNew!AP64-EsteeOld!AP64)</f>
        <v/>
      </c>
      <c r="AQ64" s="65" t="str">
        <f>IF(EsteeNew!AQ64-EsteeOld!AQ64=0,"",EsteeNew!AQ64-EsteeOld!AQ64)</f>
        <v/>
      </c>
      <c r="AR64" s="65" t="str">
        <f>IF(EsteeNew!AR64-EsteeOld!AR64=0,"",EsteeNew!AR64-EsteeOld!AR64)</f>
        <v/>
      </c>
      <c r="AS64" s="65" t="str">
        <f>IF(EsteeNew!AS64-EsteeOld!AS64=0,"",EsteeNew!AS64-EsteeOld!AS64)</f>
        <v/>
      </c>
      <c r="AT64" s="65" t="str">
        <f>IF(EsteeNew!AT64-EsteeOld!AT64=0,"",EsteeNew!AT64-EsteeOld!AT64)</f>
        <v/>
      </c>
      <c r="AU64" s="65" t="str">
        <f>IF(EsteeNew!AU64-EsteeOld!AU64=0,"",EsteeNew!AU64-EsteeOld!AU64)</f>
        <v/>
      </c>
      <c r="AV64" s="65" t="str">
        <f>IF(EsteeNew!AV64-EsteeOld!AV64=0,"",EsteeNew!AV64-EsteeOld!AV64)</f>
        <v/>
      </c>
      <c r="AW64" s="65" t="str">
        <f>IF(EsteeNew!AW64-EsteeOld!AW64=0,"",EsteeNew!AW64-EsteeOld!AW64)</f>
        <v/>
      </c>
      <c r="AX64" s="65" t="str">
        <f>IF(EsteeNew!AX64-EsteeOld!AX64=0,"",EsteeNew!AX64-EsteeOld!AX64)</f>
        <v/>
      </c>
      <c r="AY64" s="65" t="str">
        <f>IF(EsteeNew!AY64-EsteeOld!AY64=0,"",EsteeNew!AY64-EsteeOld!AY64)</f>
        <v/>
      </c>
      <c r="AZ64" s="65" t="str">
        <f>IF(EsteeNew!AZ64-EsteeOld!AZ64=0,"",EsteeNew!AZ64-EsteeOld!AZ64)</f>
        <v/>
      </c>
      <c r="BA64" s="65" t="str">
        <f>IF(EsteeNew!BA64-EsteeOld!BA64=0,"",EsteeNew!BA64-EsteeOld!BA64)</f>
        <v/>
      </c>
      <c r="BB64" s="65" t="str">
        <f>IF(EsteeNew!BB64-EsteeOld!BB64=0,"",EsteeNew!BB64-EsteeOld!BB64)</f>
        <v/>
      </c>
      <c r="BC64" s="65" t="str">
        <f>IF(EsteeNew!BC64-EsteeOld!BC64=0,"",EsteeNew!BC64-EsteeOld!BC64)</f>
        <v/>
      </c>
      <c r="BD64" s="65" t="str">
        <f>IF(EsteeNew!BD64-EsteeOld!BD64=0,"",EsteeNew!BD64-EsteeOld!BD64)</f>
        <v/>
      </c>
    </row>
    <row r="65" spans="3:56" x14ac:dyDescent="0.25">
      <c r="C65" s="106"/>
      <c r="D65" s="49" t="s">
        <v>35</v>
      </c>
      <c r="E65" s="65" t="str">
        <f>IF(EsteeNew!E65-EsteeOld!E65=0,"",EsteeNew!E65-EsteeOld!E65)</f>
        <v/>
      </c>
      <c r="F65" s="65" t="str">
        <f>IF(EsteeNew!F65-EsteeOld!F65=0,"",EsteeNew!F65-EsteeOld!F65)</f>
        <v/>
      </c>
      <c r="G65" s="65" t="str">
        <f>IF(EsteeNew!G65-EsteeOld!G65=0,"",EsteeNew!G65-EsteeOld!G65)</f>
        <v/>
      </c>
      <c r="H65" s="65" t="str">
        <f>IF(EsteeNew!H65-EsteeOld!H65=0,"",EsteeNew!H65-EsteeOld!H65)</f>
        <v/>
      </c>
      <c r="I65" s="65" t="str">
        <f>IF(EsteeNew!I65-EsteeOld!I65=0,"",EsteeNew!I65-EsteeOld!I65)</f>
        <v/>
      </c>
      <c r="J65" s="65" t="str">
        <f>IF(EsteeNew!J65-EsteeOld!J65=0,"",EsteeNew!J65-EsteeOld!J65)</f>
        <v/>
      </c>
      <c r="K65" s="65" t="str">
        <f>IF(EsteeNew!K65-EsteeOld!K65=0,"",EsteeNew!K65-EsteeOld!K65)</f>
        <v/>
      </c>
      <c r="L65" s="65" t="str">
        <f>IF(EsteeNew!L65-EsteeOld!L65=0,"",EsteeNew!L65-EsteeOld!L65)</f>
        <v/>
      </c>
      <c r="M65" s="65" t="str">
        <f>IF(EsteeNew!M65-EsteeOld!M65=0,"",EsteeNew!M65-EsteeOld!M65)</f>
        <v/>
      </c>
      <c r="N65" s="65" t="str">
        <f>IF(EsteeNew!N65-EsteeOld!N65=0,"",EsteeNew!N65-EsteeOld!N65)</f>
        <v/>
      </c>
      <c r="O65" s="65" t="str">
        <f>IF(EsteeNew!O65-EsteeOld!O65=0,"",EsteeNew!O65-EsteeOld!O65)</f>
        <v/>
      </c>
      <c r="P65" s="65" t="str">
        <f>IF(EsteeNew!P65-EsteeOld!P65=0,"",EsteeNew!P65-EsteeOld!P65)</f>
        <v/>
      </c>
      <c r="Q65" s="65" t="str">
        <f>IF(EsteeNew!Q65-EsteeOld!Q65=0,"",EsteeNew!Q65-EsteeOld!Q65)</f>
        <v/>
      </c>
      <c r="R65" s="65" t="str">
        <f>IF(EsteeNew!R65-EsteeOld!R65=0,"",EsteeNew!R65-EsteeOld!R65)</f>
        <v/>
      </c>
      <c r="S65" s="65" t="str">
        <f>IF(EsteeNew!S65-EsteeOld!S65=0,"",EsteeNew!S65-EsteeOld!S65)</f>
        <v/>
      </c>
      <c r="T65" s="65" t="str">
        <f>IF(EsteeNew!T65-EsteeOld!T65=0,"",EsteeNew!T65-EsteeOld!T65)</f>
        <v/>
      </c>
      <c r="U65" s="65" t="str">
        <f>IF(EsteeNew!U65-EsteeOld!U65=0,"",EsteeNew!U65-EsteeOld!U65)</f>
        <v/>
      </c>
      <c r="V65" s="65" t="str">
        <f>IF(EsteeNew!V65-EsteeOld!V65=0,"",EsteeNew!V65-EsteeOld!V65)</f>
        <v/>
      </c>
      <c r="W65" s="65" t="str">
        <f>IF(EsteeNew!W65-EsteeOld!W65=0,"",EsteeNew!W65-EsteeOld!W65)</f>
        <v/>
      </c>
      <c r="X65" s="65" t="str">
        <f>IF(EsteeNew!X65-EsteeOld!X65=0,"",EsteeNew!X65-EsteeOld!X65)</f>
        <v/>
      </c>
      <c r="Y65" s="65" t="str">
        <f>IF(EsteeNew!Y65-EsteeOld!Y65=0,"",EsteeNew!Y65-EsteeOld!Y65)</f>
        <v/>
      </c>
      <c r="Z65" s="65" t="str">
        <f>IF(EsteeNew!Z65-EsteeOld!Z65=0,"",EsteeNew!Z65-EsteeOld!Z65)</f>
        <v/>
      </c>
      <c r="AA65" s="65" t="str">
        <f>IF(EsteeNew!AA65-EsteeOld!AA65=0,"",EsteeNew!AA65-EsteeOld!AA65)</f>
        <v/>
      </c>
      <c r="AB65" s="65" t="str">
        <f>IF(EsteeNew!AB65-EsteeOld!AB65=0,"",EsteeNew!AB65-EsteeOld!AB65)</f>
        <v/>
      </c>
      <c r="AC65" s="65" t="str">
        <f>IF(EsteeNew!AC65-EsteeOld!AC65=0,"",EsteeNew!AC65-EsteeOld!AC65)</f>
        <v/>
      </c>
      <c r="AD65" s="65" t="str">
        <f>IF(EsteeNew!AD65-EsteeOld!AD65=0,"",EsteeNew!AD65-EsteeOld!AD65)</f>
        <v/>
      </c>
      <c r="AE65" s="65" t="str">
        <f>IF(EsteeNew!AE65-EsteeOld!AE65=0,"",EsteeNew!AE65-EsteeOld!AE65)</f>
        <v/>
      </c>
      <c r="AF65" s="65" t="str">
        <f>IF(EsteeNew!AF65-EsteeOld!AF65=0,"",EsteeNew!AF65-EsteeOld!AF65)</f>
        <v/>
      </c>
      <c r="AG65" s="65" t="str">
        <f>IF(EsteeNew!AG65-EsteeOld!AG65=0,"",EsteeNew!AG65-EsteeOld!AG65)</f>
        <v/>
      </c>
      <c r="AH65" s="65" t="str">
        <f>IF(EsteeNew!AH65-EsteeOld!AH65=0,"",EsteeNew!AH65-EsteeOld!AH65)</f>
        <v/>
      </c>
      <c r="AI65" s="65" t="str">
        <f>IF(EsteeNew!AI65-EsteeOld!AI65=0,"",EsteeNew!AI65-EsteeOld!AI65)</f>
        <v/>
      </c>
      <c r="AJ65" s="65" t="str">
        <f>IF(EsteeNew!AJ65-EsteeOld!AJ65=0,"",EsteeNew!AJ65-EsteeOld!AJ65)</f>
        <v/>
      </c>
      <c r="AK65" s="65" t="str">
        <f>IF(EsteeNew!AK65-EsteeOld!AK65=0,"",EsteeNew!AK65-EsteeOld!AK65)</f>
        <v/>
      </c>
      <c r="AL65" s="65" t="str">
        <f>IF(EsteeNew!AL65-EsteeOld!AL65=0,"",EsteeNew!AL65-EsteeOld!AL65)</f>
        <v/>
      </c>
      <c r="AM65" s="65" t="str">
        <f>IF(EsteeNew!AM65-EsteeOld!AM65=0,"",EsteeNew!AM65-EsteeOld!AM65)</f>
        <v/>
      </c>
      <c r="AN65" s="65" t="str">
        <f>IF(EsteeNew!AN65-EsteeOld!AN65=0,"",EsteeNew!AN65-EsteeOld!AN65)</f>
        <v/>
      </c>
      <c r="AO65" s="65" t="str">
        <f>IF(EsteeNew!AO65-EsteeOld!AO65=0,"",EsteeNew!AO65-EsteeOld!AO65)</f>
        <v/>
      </c>
      <c r="AP65" s="65" t="str">
        <f>IF(EsteeNew!AP65-EsteeOld!AP65=0,"",EsteeNew!AP65-EsteeOld!AP65)</f>
        <v/>
      </c>
      <c r="AQ65" s="65" t="str">
        <f>IF(EsteeNew!AQ65-EsteeOld!AQ65=0,"",EsteeNew!AQ65-EsteeOld!AQ65)</f>
        <v/>
      </c>
      <c r="AR65" s="65" t="str">
        <f>IF(EsteeNew!AR65-EsteeOld!AR65=0,"",EsteeNew!AR65-EsteeOld!AR65)</f>
        <v/>
      </c>
      <c r="AS65" s="65" t="str">
        <f>IF(EsteeNew!AS65-EsteeOld!AS65=0,"",EsteeNew!AS65-EsteeOld!AS65)</f>
        <v/>
      </c>
      <c r="AT65" s="65" t="str">
        <f>IF(EsteeNew!AT65-EsteeOld!AT65=0,"",EsteeNew!AT65-EsteeOld!AT65)</f>
        <v/>
      </c>
      <c r="AU65" s="65" t="str">
        <f>IF(EsteeNew!AU65-EsteeOld!AU65=0,"",EsteeNew!AU65-EsteeOld!AU65)</f>
        <v/>
      </c>
      <c r="AV65" s="65" t="str">
        <f>IF(EsteeNew!AV65-EsteeOld!AV65=0,"",EsteeNew!AV65-EsteeOld!AV65)</f>
        <v/>
      </c>
      <c r="AW65" s="65" t="str">
        <f>IF(EsteeNew!AW65-EsteeOld!AW65=0,"",EsteeNew!AW65-EsteeOld!AW65)</f>
        <v/>
      </c>
      <c r="AX65" s="65" t="str">
        <f>IF(EsteeNew!AX65-EsteeOld!AX65=0,"",EsteeNew!AX65-EsteeOld!AX65)</f>
        <v/>
      </c>
      <c r="AY65" s="65" t="str">
        <f>IF(EsteeNew!AY65-EsteeOld!AY65=0,"",EsteeNew!AY65-EsteeOld!AY65)</f>
        <v/>
      </c>
      <c r="AZ65" s="65" t="str">
        <f>IF(EsteeNew!AZ65-EsteeOld!AZ65=0,"",EsteeNew!AZ65-EsteeOld!AZ65)</f>
        <v/>
      </c>
      <c r="BA65" s="65" t="str">
        <f>IF(EsteeNew!BA65-EsteeOld!BA65=0,"",EsteeNew!BA65-EsteeOld!BA65)</f>
        <v/>
      </c>
      <c r="BB65" s="65" t="str">
        <f>IF(EsteeNew!BB65-EsteeOld!BB65=0,"",EsteeNew!BB65-EsteeOld!BB65)</f>
        <v/>
      </c>
      <c r="BC65" s="65" t="str">
        <f>IF(EsteeNew!BC65-EsteeOld!BC65=0,"",EsteeNew!BC65-EsteeOld!BC65)</f>
        <v/>
      </c>
      <c r="BD65" s="65" t="str">
        <f>IF(EsteeNew!BD65-EsteeOld!BD65=0,"",EsteeNew!BD65-EsteeOld!BD65)</f>
        <v/>
      </c>
    </row>
    <row r="66" spans="3:56" x14ac:dyDescent="0.25">
      <c r="C66" s="106"/>
      <c r="D66" s="49" t="s">
        <v>36</v>
      </c>
      <c r="E66" s="65" t="str">
        <f>IF(EsteeNew!E66-EsteeOld!E66=0,"",EsteeNew!E66-EsteeOld!E66)</f>
        <v/>
      </c>
      <c r="F66" s="65" t="str">
        <f>IF(EsteeNew!F66-EsteeOld!F66=0,"",EsteeNew!F66-EsteeOld!F66)</f>
        <v/>
      </c>
      <c r="G66" s="65" t="str">
        <f>IF(EsteeNew!G66-EsteeOld!G66=0,"",EsteeNew!G66-EsteeOld!G66)</f>
        <v/>
      </c>
      <c r="H66" s="65" t="str">
        <f>IF(EsteeNew!H66-EsteeOld!H66=0,"",EsteeNew!H66-EsteeOld!H66)</f>
        <v/>
      </c>
      <c r="I66" s="65" t="str">
        <f>IF(EsteeNew!I66-EsteeOld!I66=0,"",EsteeNew!I66-EsteeOld!I66)</f>
        <v/>
      </c>
      <c r="J66" s="65" t="str">
        <f>IF(EsteeNew!J66-EsteeOld!J66=0,"",EsteeNew!J66-EsteeOld!J66)</f>
        <v/>
      </c>
      <c r="K66" s="65" t="str">
        <f>IF(EsteeNew!K66-EsteeOld!K66=0,"",EsteeNew!K66-EsteeOld!K66)</f>
        <v/>
      </c>
      <c r="L66" s="65" t="str">
        <f>IF(EsteeNew!L66-EsteeOld!L66=0,"",EsteeNew!L66-EsteeOld!L66)</f>
        <v/>
      </c>
      <c r="M66" s="65" t="str">
        <f>IF(EsteeNew!M66-EsteeOld!M66=0,"",EsteeNew!M66-EsteeOld!M66)</f>
        <v/>
      </c>
      <c r="N66" s="65" t="str">
        <f>IF(EsteeNew!N66-EsteeOld!N66=0,"",EsteeNew!N66-EsteeOld!N66)</f>
        <v/>
      </c>
      <c r="O66" s="65" t="str">
        <f>IF(EsteeNew!O66-EsteeOld!O66=0,"",EsteeNew!O66-EsteeOld!O66)</f>
        <v/>
      </c>
      <c r="P66" s="65" t="str">
        <f>IF(EsteeNew!P66-EsteeOld!P66=0,"",EsteeNew!P66-EsteeOld!P66)</f>
        <v/>
      </c>
      <c r="Q66" s="65" t="str">
        <f>IF(EsteeNew!Q66-EsteeOld!Q66=0,"",EsteeNew!Q66-EsteeOld!Q66)</f>
        <v/>
      </c>
      <c r="R66" s="65" t="str">
        <f>IF(EsteeNew!R66-EsteeOld!R66=0,"",EsteeNew!R66-EsteeOld!R66)</f>
        <v/>
      </c>
      <c r="S66" s="65" t="str">
        <f>IF(EsteeNew!S66-EsteeOld!S66=0,"",EsteeNew!S66-EsteeOld!S66)</f>
        <v/>
      </c>
      <c r="T66" s="65" t="str">
        <f>IF(EsteeNew!T66-EsteeOld!T66=0,"",EsteeNew!T66-EsteeOld!T66)</f>
        <v/>
      </c>
      <c r="U66" s="65" t="str">
        <f>IF(EsteeNew!U66-EsteeOld!U66=0,"",EsteeNew!U66-EsteeOld!U66)</f>
        <v/>
      </c>
      <c r="V66" s="65" t="str">
        <f>IF(EsteeNew!V66-EsteeOld!V66=0,"",EsteeNew!V66-EsteeOld!V66)</f>
        <v/>
      </c>
      <c r="W66" s="65" t="str">
        <f>IF(EsteeNew!W66-EsteeOld!W66=0,"",EsteeNew!W66-EsteeOld!W66)</f>
        <v/>
      </c>
      <c r="X66" s="65" t="str">
        <f>IF(EsteeNew!X66-EsteeOld!X66=0,"",EsteeNew!X66-EsteeOld!X66)</f>
        <v/>
      </c>
      <c r="Y66" s="65" t="str">
        <f>IF(EsteeNew!Y66-EsteeOld!Y66=0,"",EsteeNew!Y66-EsteeOld!Y66)</f>
        <v/>
      </c>
      <c r="Z66" s="65" t="str">
        <f>IF(EsteeNew!Z66-EsteeOld!Z66=0,"",EsteeNew!Z66-EsteeOld!Z66)</f>
        <v/>
      </c>
      <c r="AA66" s="65" t="str">
        <f>IF(EsteeNew!AA66-EsteeOld!AA66=0,"",EsteeNew!AA66-EsteeOld!AA66)</f>
        <v/>
      </c>
      <c r="AB66" s="65" t="str">
        <f>IF(EsteeNew!AB66-EsteeOld!AB66=0,"",EsteeNew!AB66-EsteeOld!AB66)</f>
        <v/>
      </c>
      <c r="AC66" s="65" t="str">
        <f>IF(EsteeNew!AC66-EsteeOld!AC66=0,"",EsteeNew!AC66-EsteeOld!AC66)</f>
        <v/>
      </c>
      <c r="AD66" s="65" t="str">
        <f>IF(EsteeNew!AD66-EsteeOld!AD66=0,"",EsteeNew!AD66-EsteeOld!AD66)</f>
        <v/>
      </c>
      <c r="AE66" s="65" t="str">
        <f>IF(EsteeNew!AE66-EsteeOld!AE66=0,"",EsteeNew!AE66-EsteeOld!AE66)</f>
        <v/>
      </c>
      <c r="AF66" s="65" t="str">
        <f>IF(EsteeNew!AF66-EsteeOld!AF66=0,"",EsteeNew!AF66-EsteeOld!AF66)</f>
        <v/>
      </c>
      <c r="AG66" s="65" t="str">
        <f>IF(EsteeNew!AG66-EsteeOld!AG66=0,"",EsteeNew!AG66-EsteeOld!AG66)</f>
        <v/>
      </c>
      <c r="AH66" s="65" t="str">
        <f>IF(EsteeNew!AH66-EsteeOld!AH66=0,"",EsteeNew!AH66-EsteeOld!AH66)</f>
        <v/>
      </c>
      <c r="AI66" s="65" t="str">
        <f>IF(EsteeNew!AI66-EsteeOld!AI66=0,"",EsteeNew!AI66-EsteeOld!AI66)</f>
        <v/>
      </c>
      <c r="AJ66" s="65" t="str">
        <f>IF(EsteeNew!AJ66-EsteeOld!AJ66=0,"",EsteeNew!AJ66-EsteeOld!AJ66)</f>
        <v/>
      </c>
      <c r="AK66" s="65" t="str">
        <f>IF(EsteeNew!AK66-EsteeOld!AK66=0,"",EsteeNew!AK66-EsteeOld!AK66)</f>
        <v/>
      </c>
      <c r="AL66" s="65" t="str">
        <f>IF(EsteeNew!AL66-EsteeOld!AL66=0,"",EsteeNew!AL66-EsteeOld!AL66)</f>
        <v/>
      </c>
      <c r="AM66" s="65" t="str">
        <f>IF(EsteeNew!AM66-EsteeOld!AM66=0,"",EsteeNew!AM66-EsteeOld!AM66)</f>
        <v/>
      </c>
      <c r="AN66" s="65" t="str">
        <f>IF(EsteeNew!AN66-EsteeOld!AN66=0,"",EsteeNew!AN66-EsteeOld!AN66)</f>
        <v/>
      </c>
      <c r="AO66" s="65" t="str">
        <f>IF(EsteeNew!AO66-EsteeOld!AO66=0,"",EsteeNew!AO66-EsteeOld!AO66)</f>
        <v/>
      </c>
      <c r="AP66" s="65" t="str">
        <f>IF(EsteeNew!AP66-EsteeOld!AP66=0,"",EsteeNew!AP66-EsteeOld!AP66)</f>
        <v/>
      </c>
      <c r="AQ66" s="65" t="str">
        <f>IF(EsteeNew!AQ66-EsteeOld!AQ66=0,"",EsteeNew!AQ66-EsteeOld!AQ66)</f>
        <v/>
      </c>
      <c r="AR66" s="65" t="str">
        <f>IF(EsteeNew!AR66-EsteeOld!AR66=0,"",EsteeNew!AR66-EsteeOld!AR66)</f>
        <v/>
      </c>
      <c r="AS66" s="65" t="str">
        <f>IF(EsteeNew!AS66-EsteeOld!AS66=0,"",EsteeNew!AS66-EsteeOld!AS66)</f>
        <v/>
      </c>
      <c r="AT66" s="65" t="str">
        <f>IF(EsteeNew!AT66-EsteeOld!AT66=0,"",EsteeNew!AT66-EsteeOld!AT66)</f>
        <v/>
      </c>
      <c r="AU66" s="65" t="str">
        <f>IF(EsteeNew!AU66-EsteeOld!AU66=0,"",EsteeNew!AU66-EsteeOld!AU66)</f>
        <v/>
      </c>
      <c r="AV66" s="65" t="str">
        <f>IF(EsteeNew!AV66-EsteeOld!AV66=0,"",EsteeNew!AV66-EsteeOld!AV66)</f>
        <v/>
      </c>
      <c r="AW66" s="65" t="str">
        <f>IF(EsteeNew!AW66-EsteeOld!AW66=0,"",EsteeNew!AW66-EsteeOld!AW66)</f>
        <v/>
      </c>
      <c r="AX66" s="65" t="str">
        <f>IF(EsteeNew!AX66-EsteeOld!AX66=0,"",EsteeNew!AX66-EsteeOld!AX66)</f>
        <v/>
      </c>
      <c r="AY66" s="65" t="str">
        <f>IF(EsteeNew!AY66-EsteeOld!AY66=0,"",EsteeNew!AY66-EsteeOld!AY66)</f>
        <v/>
      </c>
      <c r="AZ66" s="65" t="str">
        <f>IF(EsteeNew!AZ66-EsteeOld!AZ66=0,"",EsteeNew!AZ66-EsteeOld!AZ66)</f>
        <v/>
      </c>
      <c r="BA66" s="65" t="str">
        <f>IF(EsteeNew!BA66-EsteeOld!BA66=0,"",EsteeNew!BA66-EsteeOld!BA66)</f>
        <v/>
      </c>
      <c r="BB66" s="65" t="str">
        <f>IF(EsteeNew!BB66-EsteeOld!BB66=0,"",EsteeNew!BB66-EsteeOld!BB66)</f>
        <v/>
      </c>
      <c r="BC66" s="65" t="str">
        <f>IF(EsteeNew!BC66-EsteeOld!BC66=0,"",EsteeNew!BC66-EsteeOld!BC66)</f>
        <v/>
      </c>
      <c r="BD66" s="65" t="str">
        <f>IF(EsteeNew!BD66-EsteeOld!BD66=0,"",EsteeNew!BD66-EsteeOld!BD66)</f>
        <v/>
      </c>
    </row>
    <row r="67" spans="3:56" x14ac:dyDescent="0.25">
      <c r="C67" s="106"/>
      <c r="D67" s="49" t="s">
        <v>37</v>
      </c>
      <c r="E67" s="65" t="str">
        <f>IF(EsteeNew!E67-EsteeOld!E67=0,"",EsteeNew!E67-EsteeOld!E67)</f>
        <v/>
      </c>
      <c r="F67" s="65" t="str">
        <f>IF(EsteeNew!F67-EsteeOld!F67=0,"",EsteeNew!F67-EsteeOld!F67)</f>
        <v/>
      </c>
      <c r="G67" s="65" t="str">
        <f>IF(EsteeNew!G67-EsteeOld!G67=0,"",EsteeNew!G67-EsteeOld!G67)</f>
        <v/>
      </c>
      <c r="H67" s="65" t="str">
        <f>IF(EsteeNew!H67-EsteeOld!H67=0,"",EsteeNew!H67-EsteeOld!H67)</f>
        <v/>
      </c>
      <c r="I67" s="65" t="str">
        <f>IF(EsteeNew!I67-EsteeOld!I67=0,"",EsteeNew!I67-EsteeOld!I67)</f>
        <v/>
      </c>
      <c r="J67" s="65" t="str">
        <f>IF(EsteeNew!J67-EsteeOld!J67=0,"",EsteeNew!J67-EsteeOld!J67)</f>
        <v/>
      </c>
      <c r="K67" s="65" t="str">
        <f>IF(EsteeNew!K67-EsteeOld!K67=0,"",EsteeNew!K67-EsteeOld!K67)</f>
        <v/>
      </c>
      <c r="L67" s="65" t="str">
        <f>IF(EsteeNew!L67-EsteeOld!L67=0,"",EsteeNew!L67-EsteeOld!L67)</f>
        <v/>
      </c>
      <c r="M67" s="65" t="str">
        <f>IF(EsteeNew!M67-EsteeOld!M67=0,"",EsteeNew!M67-EsteeOld!M67)</f>
        <v/>
      </c>
      <c r="N67" s="65" t="str">
        <f>IF(EsteeNew!N67-EsteeOld!N67=0,"",EsteeNew!N67-EsteeOld!N67)</f>
        <v/>
      </c>
      <c r="O67" s="65" t="str">
        <f>IF(EsteeNew!O67-EsteeOld!O67=0,"",EsteeNew!O67-EsteeOld!O67)</f>
        <v/>
      </c>
      <c r="P67" s="65" t="str">
        <f>IF(EsteeNew!P67-EsteeOld!P67=0,"",EsteeNew!P67-EsteeOld!P67)</f>
        <v/>
      </c>
      <c r="Q67" s="65" t="str">
        <f>IF(EsteeNew!Q67-EsteeOld!Q67=0,"",EsteeNew!Q67-EsteeOld!Q67)</f>
        <v/>
      </c>
      <c r="R67" s="65" t="str">
        <f>IF(EsteeNew!R67-EsteeOld!R67=0,"",EsteeNew!R67-EsteeOld!R67)</f>
        <v/>
      </c>
      <c r="S67" s="65" t="str">
        <f>IF(EsteeNew!S67-EsteeOld!S67=0,"",EsteeNew!S67-EsteeOld!S67)</f>
        <v/>
      </c>
      <c r="T67" s="65" t="str">
        <f>IF(EsteeNew!T67-EsteeOld!T67=0,"",EsteeNew!T67-EsteeOld!T67)</f>
        <v/>
      </c>
      <c r="U67" s="65" t="str">
        <f>IF(EsteeNew!U67-EsteeOld!U67=0,"",EsteeNew!U67-EsteeOld!U67)</f>
        <v/>
      </c>
      <c r="V67" s="65" t="str">
        <f>IF(EsteeNew!V67-EsteeOld!V67=0,"",EsteeNew!V67-EsteeOld!V67)</f>
        <v/>
      </c>
      <c r="W67" s="65" t="str">
        <f>IF(EsteeNew!W67-EsteeOld!W67=0,"",EsteeNew!W67-EsteeOld!W67)</f>
        <v/>
      </c>
      <c r="X67" s="65" t="str">
        <f>IF(EsteeNew!X67-EsteeOld!X67=0,"",EsteeNew!X67-EsteeOld!X67)</f>
        <v/>
      </c>
      <c r="Y67" s="65" t="str">
        <f>IF(EsteeNew!Y67-EsteeOld!Y67=0,"",EsteeNew!Y67-EsteeOld!Y67)</f>
        <v/>
      </c>
      <c r="Z67" s="65" t="str">
        <f>IF(EsteeNew!Z67-EsteeOld!Z67=0,"",EsteeNew!Z67-EsteeOld!Z67)</f>
        <v/>
      </c>
      <c r="AA67" s="65" t="str">
        <f>IF(EsteeNew!AA67-EsteeOld!AA67=0,"",EsteeNew!AA67-EsteeOld!AA67)</f>
        <v/>
      </c>
      <c r="AB67" s="65" t="str">
        <f>IF(EsteeNew!AB67-EsteeOld!AB67=0,"",EsteeNew!AB67-EsteeOld!AB67)</f>
        <v/>
      </c>
      <c r="AC67" s="65" t="str">
        <f>IF(EsteeNew!AC67-EsteeOld!AC67=0,"",EsteeNew!AC67-EsteeOld!AC67)</f>
        <v/>
      </c>
      <c r="AD67" s="65" t="str">
        <f>IF(EsteeNew!AD67-EsteeOld!AD67=0,"",EsteeNew!AD67-EsteeOld!AD67)</f>
        <v/>
      </c>
      <c r="AE67" s="65" t="str">
        <f>IF(EsteeNew!AE67-EsteeOld!AE67=0,"",EsteeNew!AE67-EsteeOld!AE67)</f>
        <v/>
      </c>
      <c r="AF67" s="65" t="str">
        <f>IF(EsteeNew!AF67-EsteeOld!AF67=0,"",EsteeNew!AF67-EsteeOld!AF67)</f>
        <v/>
      </c>
      <c r="AG67" s="65" t="str">
        <f>IF(EsteeNew!AG67-EsteeOld!AG67=0,"",EsteeNew!AG67-EsteeOld!AG67)</f>
        <v/>
      </c>
      <c r="AH67" s="65" t="str">
        <f>IF(EsteeNew!AH67-EsteeOld!AH67=0,"",EsteeNew!AH67-EsteeOld!AH67)</f>
        <v/>
      </c>
      <c r="AI67" s="65" t="str">
        <f>IF(EsteeNew!AI67-EsteeOld!AI67=0,"",EsteeNew!AI67-EsteeOld!AI67)</f>
        <v/>
      </c>
      <c r="AJ67" s="65" t="str">
        <f>IF(EsteeNew!AJ67-EsteeOld!AJ67=0,"",EsteeNew!AJ67-EsteeOld!AJ67)</f>
        <v/>
      </c>
      <c r="AK67" s="65" t="str">
        <f>IF(EsteeNew!AK67-EsteeOld!AK67=0,"",EsteeNew!AK67-EsteeOld!AK67)</f>
        <v/>
      </c>
      <c r="AL67" s="65" t="str">
        <f>IF(EsteeNew!AL67-EsteeOld!AL67=0,"",EsteeNew!AL67-EsteeOld!AL67)</f>
        <v/>
      </c>
      <c r="AM67" s="65" t="str">
        <f>IF(EsteeNew!AM67-EsteeOld!AM67=0,"",EsteeNew!AM67-EsteeOld!AM67)</f>
        <v/>
      </c>
      <c r="AN67" s="65" t="str">
        <f>IF(EsteeNew!AN67-EsteeOld!AN67=0,"",EsteeNew!AN67-EsteeOld!AN67)</f>
        <v/>
      </c>
      <c r="AO67" s="65" t="str">
        <f>IF(EsteeNew!AO67-EsteeOld!AO67=0,"",EsteeNew!AO67-EsteeOld!AO67)</f>
        <v/>
      </c>
      <c r="AP67" s="65" t="str">
        <f>IF(EsteeNew!AP67-EsteeOld!AP67=0,"",EsteeNew!AP67-EsteeOld!AP67)</f>
        <v/>
      </c>
      <c r="AQ67" s="65" t="str">
        <f>IF(EsteeNew!AQ67-EsteeOld!AQ67=0,"",EsteeNew!AQ67-EsteeOld!AQ67)</f>
        <v/>
      </c>
      <c r="AR67" s="65" t="str">
        <f>IF(EsteeNew!AR67-EsteeOld!AR67=0,"",EsteeNew!AR67-EsteeOld!AR67)</f>
        <v/>
      </c>
      <c r="AS67" s="65" t="str">
        <f>IF(EsteeNew!AS67-EsteeOld!AS67=0,"",EsteeNew!AS67-EsteeOld!AS67)</f>
        <v/>
      </c>
      <c r="AT67" s="65" t="str">
        <f>IF(EsteeNew!AT67-EsteeOld!AT67=0,"",EsteeNew!AT67-EsteeOld!AT67)</f>
        <v/>
      </c>
      <c r="AU67" s="65" t="str">
        <f>IF(EsteeNew!AU67-EsteeOld!AU67=0,"",EsteeNew!AU67-EsteeOld!AU67)</f>
        <v/>
      </c>
      <c r="AV67" s="65" t="str">
        <f>IF(EsteeNew!AV67-EsteeOld!AV67=0,"",EsteeNew!AV67-EsteeOld!AV67)</f>
        <v/>
      </c>
      <c r="AW67" s="65" t="str">
        <f>IF(EsteeNew!AW67-EsteeOld!AW67=0,"",EsteeNew!AW67-EsteeOld!AW67)</f>
        <v/>
      </c>
      <c r="AX67" s="65" t="str">
        <f>IF(EsteeNew!AX67-EsteeOld!AX67=0,"",EsteeNew!AX67-EsteeOld!AX67)</f>
        <v/>
      </c>
      <c r="AY67" s="65" t="str">
        <f>IF(EsteeNew!AY67-EsteeOld!AY67=0,"",EsteeNew!AY67-EsteeOld!AY67)</f>
        <v/>
      </c>
      <c r="AZ67" s="65" t="str">
        <f>IF(EsteeNew!AZ67-EsteeOld!AZ67=0,"",EsteeNew!AZ67-EsteeOld!AZ67)</f>
        <v/>
      </c>
      <c r="BA67" s="65" t="str">
        <f>IF(EsteeNew!BA67-EsteeOld!BA67=0,"",EsteeNew!BA67-EsteeOld!BA67)</f>
        <v/>
      </c>
      <c r="BB67" s="65" t="str">
        <f>IF(EsteeNew!BB67-EsteeOld!BB67=0,"",EsteeNew!BB67-EsteeOld!BB67)</f>
        <v/>
      </c>
      <c r="BC67" s="65" t="str">
        <f>IF(EsteeNew!BC67-EsteeOld!BC67=0,"",EsteeNew!BC67-EsteeOld!BC67)</f>
        <v/>
      </c>
      <c r="BD67" s="65" t="str">
        <f>IF(EsteeNew!BD67-EsteeOld!BD67=0,"",EsteeNew!BD67-EsteeOld!BD67)</f>
        <v/>
      </c>
    </row>
    <row r="68" spans="3:56" x14ac:dyDescent="0.25">
      <c r="C68" s="106"/>
      <c r="D68" s="49" t="s">
        <v>38</v>
      </c>
      <c r="E68" s="65" t="str">
        <f>IF(EsteeNew!E68-EsteeOld!E68=0,"",EsteeNew!E68-EsteeOld!E68)</f>
        <v/>
      </c>
      <c r="F68" s="65" t="str">
        <f>IF(EsteeNew!F68-EsteeOld!F68=0,"",EsteeNew!F68-EsteeOld!F68)</f>
        <v/>
      </c>
      <c r="G68" s="65" t="str">
        <f>IF(EsteeNew!G68-EsteeOld!G68=0,"",EsteeNew!G68-EsteeOld!G68)</f>
        <v/>
      </c>
      <c r="H68" s="65" t="str">
        <f>IF(EsteeNew!H68-EsteeOld!H68=0,"",EsteeNew!H68-EsteeOld!H68)</f>
        <v/>
      </c>
      <c r="I68" s="65" t="str">
        <f>IF(EsteeNew!I68-EsteeOld!I68=0,"",EsteeNew!I68-EsteeOld!I68)</f>
        <v/>
      </c>
      <c r="J68" s="65" t="str">
        <f>IF(EsteeNew!J68-EsteeOld!J68=0,"",EsteeNew!J68-EsteeOld!J68)</f>
        <v/>
      </c>
      <c r="K68" s="65" t="str">
        <f>IF(EsteeNew!K68-EsteeOld!K68=0,"",EsteeNew!K68-EsteeOld!K68)</f>
        <v/>
      </c>
      <c r="L68" s="65" t="str">
        <f>IF(EsteeNew!L68-EsteeOld!L68=0,"",EsteeNew!L68-EsteeOld!L68)</f>
        <v/>
      </c>
      <c r="M68" s="65" t="str">
        <f>IF(EsteeNew!M68-EsteeOld!M68=0,"",EsteeNew!M68-EsteeOld!M68)</f>
        <v/>
      </c>
      <c r="N68" s="65" t="str">
        <f>IF(EsteeNew!N68-EsteeOld!N68=0,"",EsteeNew!N68-EsteeOld!N68)</f>
        <v/>
      </c>
      <c r="O68" s="65" t="str">
        <f>IF(EsteeNew!O68-EsteeOld!O68=0,"",EsteeNew!O68-EsteeOld!O68)</f>
        <v/>
      </c>
      <c r="P68" s="65" t="str">
        <f>IF(EsteeNew!P68-EsteeOld!P68=0,"",EsteeNew!P68-EsteeOld!P68)</f>
        <v/>
      </c>
      <c r="Q68" s="65" t="str">
        <f>IF(EsteeNew!Q68-EsteeOld!Q68=0,"",EsteeNew!Q68-EsteeOld!Q68)</f>
        <v/>
      </c>
      <c r="R68" s="65" t="str">
        <f>IF(EsteeNew!R68-EsteeOld!R68=0,"",EsteeNew!R68-EsteeOld!R68)</f>
        <v/>
      </c>
      <c r="S68" s="65" t="str">
        <f>IF(EsteeNew!S68-EsteeOld!S68=0,"",EsteeNew!S68-EsteeOld!S68)</f>
        <v/>
      </c>
      <c r="T68" s="65" t="str">
        <f>IF(EsteeNew!T68-EsteeOld!T68=0,"",EsteeNew!T68-EsteeOld!T68)</f>
        <v/>
      </c>
      <c r="U68" s="65" t="str">
        <f>IF(EsteeNew!U68-EsteeOld!U68=0,"",EsteeNew!U68-EsteeOld!U68)</f>
        <v/>
      </c>
      <c r="V68" s="65" t="str">
        <f>IF(EsteeNew!V68-EsteeOld!V68=0,"",EsteeNew!V68-EsteeOld!V68)</f>
        <v/>
      </c>
      <c r="W68" s="65" t="str">
        <f>IF(EsteeNew!W68-EsteeOld!W68=0,"",EsteeNew!W68-EsteeOld!W68)</f>
        <v/>
      </c>
      <c r="X68" s="65" t="str">
        <f>IF(EsteeNew!X68-EsteeOld!X68=0,"",EsteeNew!X68-EsteeOld!X68)</f>
        <v/>
      </c>
      <c r="Y68" s="65" t="str">
        <f>IF(EsteeNew!Y68-EsteeOld!Y68=0,"",EsteeNew!Y68-EsteeOld!Y68)</f>
        <v/>
      </c>
      <c r="Z68" s="65" t="str">
        <f>IF(EsteeNew!Z68-EsteeOld!Z68=0,"",EsteeNew!Z68-EsteeOld!Z68)</f>
        <v/>
      </c>
      <c r="AA68" s="65" t="str">
        <f>IF(EsteeNew!AA68-EsteeOld!AA68=0,"",EsteeNew!AA68-EsteeOld!AA68)</f>
        <v/>
      </c>
      <c r="AB68" s="65" t="str">
        <f>IF(EsteeNew!AB68-EsteeOld!AB68=0,"",EsteeNew!AB68-EsteeOld!AB68)</f>
        <v/>
      </c>
      <c r="AC68" s="65" t="str">
        <f>IF(EsteeNew!AC68-EsteeOld!AC68=0,"",EsteeNew!AC68-EsteeOld!AC68)</f>
        <v/>
      </c>
      <c r="AD68" s="65" t="str">
        <f>IF(EsteeNew!AD68-EsteeOld!AD68=0,"",EsteeNew!AD68-EsteeOld!AD68)</f>
        <v/>
      </c>
      <c r="AE68" s="65" t="str">
        <f>IF(EsteeNew!AE68-EsteeOld!AE68=0,"",EsteeNew!AE68-EsteeOld!AE68)</f>
        <v/>
      </c>
      <c r="AF68" s="65" t="str">
        <f>IF(EsteeNew!AF68-EsteeOld!AF68=0,"",EsteeNew!AF68-EsteeOld!AF68)</f>
        <v/>
      </c>
      <c r="AG68" s="65" t="str">
        <f>IF(EsteeNew!AG68-EsteeOld!AG68=0,"",EsteeNew!AG68-EsteeOld!AG68)</f>
        <v/>
      </c>
      <c r="AH68" s="65" t="str">
        <f>IF(EsteeNew!AH68-EsteeOld!AH68=0,"",EsteeNew!AH68-EsteeOld!AH68)</f>
        <v/>
      </c>
      <c r="AI68" s="65" t="str">
        <f>IF(EsteeNew!AI68-EsteeOld!AI68=0,"",EsteeNew!AI68-EsteeOld!AI68)</f>
        <v/>
      </c>
      <c r="AJ68" s="65" t="str">
        <f>IF(EsteeNew!AJ68-EsteeOld!AJ68=0,"",EsteeNew!AJ68-EsteeOld!AJ68)</f>
        <v/>
      </c>
      <c r="AK68" s="65" t="str">
        <f>IF(EsteeNew!AK68-EsteeOld!AK68=0,"",EsteeNew!AK68-EsteeOld!AK68)</f>
        <v/>
      </c>
      <c r="AL68" s="65" t="str">
        <f>IF(EsteeNew!AL68-EsteeOld!AL68=0,"",EsteeNew!AL68-EsteeOld!AL68)</f>
        <v/>
      </c>
      <c r="AM68" s="65" t="str">
        <f>IF(EsteeNew!AM68-EsteeOld!AM68=0,"",EsteeNew!AM68-EsteeOld!AM68)</f>
        <v/>
      </c>
      <c r="AN68" s="65" t="str">
        <f>IF(EsteeNew!AN68-EsteeOld!AN68=0,"",EsteeNew!AN68-EsteeOld!AN68)</f>
        <v/>
      </c>
      <c r="AO68" s="65" t="str">
        <f>IF(EsteeNew!AO68-EsteeOld!AO68=0,"",EsteeNew!AO68-EsteeOld!AO68)</f>
        <v/>
      </c>
      <c r="AP68" s="65" t="str">
        <f>IF(EsteeNew!AP68-EsteeOld!AP68=0,"",EsteeNew!AP68-EsteeOld!AP68)</f>
        <v/>
      </c>
      <c r="AQ68" s="65" t="str">
        <f>IF(EsteeNew!AQ68-EsteeOld!AQ68=0,"",EsteeNew!AQ68-EsteeOld!AQ68)</f>
        <v/>
      </c>
      <c r="AR68" s="65" t="str">
        <f>IF(EsteeNew!AR68-EsteeOld!AR68=0,"",EsteeNew!AR68-EsteeOld!AR68)</f>
        <v/>
      </c>
      <c r="AS68" s="65" t="str">
        <f>IF(EsteeNew!AS68-EsteeOld!AS68=0,"",EsteeNew!AS68-EsteeOld!AS68)</f>
        <v/>
      </c>
      <c r="AT68" s="65" t="str">
        <f>IF(EsteeNew!AT68-EsteeOld!AT68=0,"",EsteeNew!AT68-EsteeOld!AT68)</f>
        <v/>
      </c>
      <c r="AU68" s="65" t="str">
        <f>IF(EsteeNew!AU68-EsteeOld!AU68=0,"",EsteeNew!AU68-EsteeOld!AU68)</f>
        <v/>
      </c>
      <c r="AV68" s="65" t="str">
        <f>IF(EsteeNew!AV68-EsteeOld!AV68=0,"",EsteeNew!AV68-EsteeOld!AV68)</f>
        <v/>
      </c>
      <c r="AW68" s="65" t="str">
        <f>IF(EsteeNew!AW68-EsteeOld!AW68=0,"",EsteeNew!AW68-EsteeOld!AW68)</f>
        <v/>
      </c>
      <c r="AX68" s="65" t="str">
        <f>IF(EsteeNew!AX68-EsteeOld!AX68=0,"",EsteeNew!AX68-EsteeOld!AX68)</f>
        <v/>
      </c>
      <c r="AY68" s="65" t="str">
        <f>IF(EsteeNew!AY68-EsteeOld!AY68=0,"",EsteeNew!AY68-EsteeOld!AY68)</f>
        <v/>
      </c>
      <c r="AZ68" s="65" t="str">
        <f>IF(EsteeNew!AZ68-EsteeOld!AZ68=0,"",EsteeNew!AZ68-EsteeOld!AZ68)</f>
        <v/>
      </c>
      <c r="BA68" s="65" t="str">
        <f>IF(EsteeNew!BA68-EsteeOld!BA68=0,"",EsteeNew!BA68-EsteeOld!BA68)</f>
        <v/>
      </c>
      <c r="BB68" s="65" t="str">
        <f>IF(EsteeNew!BB68-EsteeOld!BB68=0,"",EsteeNew!BB68-EsteeOld!BB68)</f>
        <v/>
      </c>
      <c r="BC68" s="65" t="str">
        <f>IF(EsteeNew!BC68-EsteeOld!BC68=0,"",EsteeNew!BC68-EsteeOld!BC68)</f>
        <v/>
      </c>
      <c r="BD68" s="65" t="str">
        <f>IF(EsteeNew!BD68-EsteeOld!BD68=0,"",EsteeNew!BD68-EsteeOld!BD68)</f>
        <v/>
      </c>
    </row>
    <row r="69" spans="3:56" x14ac:dyDescent="0.25">
      <c r="C69" s="106"/>
      <c r="D69" s="49" t="s">
        <v>39</v>
      </c>
      <c r="E69" s="65" t="str">
        <f>IF(EsteeNew!E69-EsteeOld!E69=0,"",EsteeNew!E69-EsteeOld!E69)</f>
        <v/>
      </c>
      <c r="F69" s="65" t="str">
        <f>IF(EsteeNew!F69-EsteeOld!F69=0,"",EsteeNew!F69-EsteeOld!F69)</f>
        <v/>
      </c>
      <c r="G69" s="65" t="str">
        <f>IF(EsteeNew!G69-EsteeOld!G69=0,"",EsteeNew!G69-EsteeOld!G69)</f>
        <v/>
      </c>
      <c r="H69" s="65" t="str">
        <f>IF(EsteeNew!H69-EsteeOld!H69=0,"",EsteeNew!H69-EsteeOld!H69)</f>
        <v/>
      </c>
      <c r="I69" s="65" t="str">
        <f>IF(EsteeNew!I69-EsteeOld!I69=0,"",EsteeNew!I69-EsteeOld!I69)</f>
        <v/>
      </c>
      <c r="J69" s="65" t="str">
        <f>IF(EsteeNew!J69-EsteeOld!J69=0,"",EsteeNew!J69-EsteeOld!J69)</f>
        <v/>
      </c>
      <c r="K69" s="65" t="str">
        <f>IF(EsteeNew!K69-EsteeOld!K69=0,"",EsteeNew!K69-EsteeOld!K69)</f>
        <v/>
      </c>
      <c r="L69" s="65" t="str">
        <f>IF(EsteeNew!L69-EsteeOld!L69=0,"",EsteeNew!L69-EsteeOld!L69)</f>
        <v/>
      </c>
      <c r="M69" s="65" t="str">
        <f>IF(EsteeNew!M69-EsteeOld!M69=0,"",EsteeNew!M69-EsteeOld!M69)</f>
        <v/>
      </c>
      <c r="N69" s="65" t="str">
        <f>IF(EsteeNew!N69-EsteeOld!N69=0,"",EsteeNew!N69-EsteeOld!N69)</f>
        <v/>
      </c>
      <c r="O69" s="65" t="str">
        <f>IF(EsteeNew!O69-EsteeOld!O69=0,"",EsteeNew!O69-EsteeOld!O69)</f>
        <v/>
      </c>
      <c r="P69" s="65" t="str">
        <f>IF(EsteeNew!P69-EsteeOld!P69=0,"",EsteeNew!P69-EsteeOld!P69)</f>
        <v/>
      </c>
      <c r="Q69" s="65" t="str">
        <f>IF(EsteeNew!Q69-EsteeOld!Q69=0,"",EsteeNew!Q69-EsteeOld!Q69)</f>
        <v/>
      </c>
      <c r="R69" s="65" t="str">
        <f>IF(EsteeNew!R69-EsteeOld!R69=0,"",EsteeNew!R69-EsteeOld!R69)</f>
        <v/>
      </c>
      <c r="S69" s="65" t="str">
        <f>IF(EsteeNew!S69-EsteeOld!S69=0,"",EsteeNew!S69-EsteeOld!S69)</f>
        <v/>
      </c>
      <c r="T69" s="65" t="str">
        <f>IF(EsteeNew!T69-EsteeOld!T69=0,"",EsteeNew!T69-EsteeOld!T69)</f>
        <v/>
      </c>
      <c r="U69" s="65" t="str">
        <f>IF(EsteeNew!U69-EsteeOld!U69=0,"",EsteeNew!U69-EsteeOld!U69)</f>
        <v/>
      </c>
      <c r="V69" s="65" t="str">
        <f>IF(EsteeNew!V69-EsteeOld!V69=0,"",EsteeNew!V69-EsteeOld!V69)</f>
        <v/>
      </c>
      <c r="W69" s="65" t="str">
        <f>IF(EsteeNew!W69-EsteeOld!W69=0,"",EsteeNew!W69-EsteeOld!W69)</f>
        <v/>
      </c>
      <c r="X69" s="65" t="str">
        <f>IF(EsteeNew!X69-EsteeOld!X69=0,"",EsteeNew!X69-EsteeOld!X69)</f>
        <v/>
      </c>
      <c r="Y69" s="65" t="str">
        <f>IF(EsteeNew!Y69-EsteeOld!Y69=0,"",EsteeNew!Y69-EsteeOld!Y69)</f>
        <v/>
      </c>
      <c r="Z69" s="65" t="str">
        <f>IF(EsteeNew!Z69-EsteeOld!Z69=0,"",EsteeNew!Z69-EsteeOld!Z69)</f>
        <v/>
      </c>
      <c r="AA69" s="65" t="str">
        <f>IF(EsteeNew!AA69-EsteeOld!AA69=0,"",EsteeNew!AA69-EsteeOld!AA69)</f>
        <v/>
      </c>
      <c r="AB69" s="65" t="str">
        <f>IF(EsteeNew!AB69-EsteeOld!AB69=0,"",EsteeNew!AB69-EsteeOld!AB69)</f>
        <v/>
      </c>
      <c r="AC69" s="65" t="str">
        <f>IF(EsteeNew!AC69-EsteeOld!AC69=0,"",EsteeNew!AC69-EsteeOld!AC69)</f>
        <v/>
      </c>
      <c r="AD69" s="65" t="str">
        <f>IF(EsteeNew!AD69-EsteeOld!AD69=0,"",EsteeNew!AD69-EsteeOld!AD69)</f>
        <v/>
      </c>
      <c r="AE69" s="65" t="str">
        <f>IF(EsteeNew!AE69-EsteeOld!AE69=0,"",EsteeNew!AE69-EsteeOld!AE69)</f>
        <v/>
      </c>
      <c r="AF69" s="65" t="str">
        <f>IF(EsteeNew!AF69-EsteeOld!AF69=0,"",EsteeNew!AF69-EsteeOld!AF69)</f>
        <v/>
      </c>
      <c r="AG69" s="65" t="str">
        <f>IF(EsteeNew!AG69-EsteeOld!AG69=0,"",EsteeNew!AG69-EsteeOld!AG69)</f>
        <v/>
      </c>
      <c r="AH69" s="65" t="str">
        <f>IF(EsteeNew!AH69-EsteeOld!AH69=0,"",EsteeNew!AH69-EsteeOld!AH69)</f>
        <v/>
      </c>
      <c r="AI69" s="65" t="str">
        <f>IF(EsteeNew!AI69-EsteeOld!AI69=0,"",EsteeNew!AI69-EsteeOld!AI69)</f>
        <v/>
      </c>
      <c r="AJ69" s="65" t="str">
        <f>IF(EsteeNew!AJ69-EsteeOld!AJ69=0,"",EsteeNew!AJ69-EsteeOld!AJ69)</f>
        <v/>
      </c>
      <c r="AK69" s="65" t="str">
        <f>IF(EsteeNew!AK69-EsteeOld!AK69=0,"",EsteeNew!AK69-EsteeOld!AK69)</f>
        <v/>
      </c>
      <c r="AL69" s="65" t="str">
        <f>IF(EsteeNew!AL69-EsteeOld!AL69=0,"",EsteeNew!AL69-EsteeOld!AL69)</f>
        <v/>
      </c>
      <c r="AM69" s="65" t="str">
        <f>IF(EsteeNew!AM69-EsteeOld!AM69=0,"",EsteeNew!AM69-EsteeOld!AM69)</f>
        <v/>
      </c>
      <c r="AN69" s="65" t="str">
        <f>IF(EsteeNew!AN69-EsteeOld!AN69=0,"",EsteeNew!AN69-EsteeOld!AN69)</f>
        <v/>
      </c>
      <c r="AO69" s="65" t="str">
        <f>IF(EsteeNew!AO69-EsteeOld!AO69=0,"",EsteeNew!AO69-EsteeOld!AO69)</f>
        <v/>
      </c>
      <c r="AP69" s="65" t="str">
        <f>IF(EsteeNew!AP69-EsteeOld!AP69=0,"",EsteeNew!AP69-EsteeOld!AP69)</f>
        <v/>
      </c>
      <c r="AQ69" s="65" t="str">
        <f>IF(EsteeNew!AQ69-EsteeOld!AQ69=0,"",EsteeNew!AQ69-EsteeOld!AQ69)</f>
        <v/>
      </c>
      <c r="AR69" s="65" t="str">
        <f>IF(EsteeNew!AR69-EsteeOld!AR69=0,"",EsteeNew!AR69-EsteeOld!AR69)</f>
        <v/>
      </c>
      <c r="AS69" s="65" t="str">
        <f>IF(EsteeNew!AS69-EsteeOld!AS69=0,"",EsteeNew!AS69-EsteeOld!AS69)</f>
        <v/>
      </c>
      <c r="AT69" s="65" t="str">
        <f>IF(EsteeNew!AT69-EsteeOld!AT69=0,"",EsteeNew!AT69-EsteeOld!AT69)</f>
        <v/>
      </c>
      <c r="AU69" s="65" t="str">
        <f>IF(EsteeNew!AU69-EsteeOld!AU69=0,"",EsteeNew!AU69-EsteeOld!AU69)</f>
        <v/>
      </c>
      <c r="AV69" s="65" t="str">
        <f>IF(EsteeNew!AV69-EsteeOld!AV69=0,"",EsteeNew!AV69-EsteeOld!AV69)</f>
        <v/>
      </c>
      <c r="AW69" s="65" t="str">
        <f>IF(EsteeNew!AW69-EsteeOld!AW69=0,"",EsteeNew!AW69-EsteeOld!AW69)</f>
        <v/>
      </c>
      <c r="AX69" s="65" t="str">
        <f>IF(EsteeNew!AX69-EsteeOld!AX69=0,"",EsteeNew!AX69-EsteeOld!AX69)</f>
        <v/>
      </c>
      <c r="AY69" s="65" t="str">
        <f>IF(EsteeNew!AY69-EsteeOld!AY69=0,"",EsteeNew!AY69-EsteeOld!AY69)</f>
        <v/>
      </c>
      <c r="AZ69" s="65" t="str">
        <f>IF(EsteeNew!AZ69-EsteeOld!AZ69=0,"",EsteeNew!AZ69-EsteeOld!AZ69)</f>
        <v/>
      </c>
      <c r="BA69" s="65" t="str">
        <f>IF(EsteeNew!BA69-EsteeOld!BA69=0,"",EsteeNew!BA69-EsteeOld!BA69)</f>
        <v/>
      </c>
      <c r="BB69" s="65" t="str">
        <f>IF(EsteeNew!BB69-EsteeOld!BB69=0,"",EsteeNew!BB69-EsteeOld!BB69)</f>
        <v/>
      </c>
      <c r="BC69" s="65" t="str">
        <f>IF(EsteeNew!BC69-EsteeOld!BC69=0,"",EsteeNew!BC69-EsteeOld!BC69)</f>
        <v/>
      </c>
      <c r="BD69" s="65" t="str">
        <f>IF(EsteeNew!BD69-EsteeOld!BD69=0,"",EsteeNew!BD69-EsteeOld!BD69)</f>
        <v/>
      </c>
    </row>
    <row r="70" spans="3:56" x14ac:dyDescent="0.25">
      <c r="C70" s="106"/>
      <c r="D70" s="49" t="s">
        <v>40</v>
      </c>
      <c r="E70" s="65" t="str">
        <f>IF(EsteeNew!E70-EsteeOld!E70=0,"",EsteeNew!E70-EsteeOld!E70)</f>
        <v/>
      </c>
      <c r="F70" s="65" t="str">
        <f>IF(EsteeNew!F70-EsteeOld!F70=0,"",EsteeNew!F70-EsteeOld!F70)</f>
        <v/>
      </c>
      <c r="G70" s="65" t="str">
        <f>IF(EsteeNew!G70-EsteeOld!G70=0,"",EsteeNew!G70-EsteeOld!G70)</f>
        <v/>
      </c>
      <c r="H70" s="65" t="str">
        <f>IF(EsteeNew!H70-EsteeOld!H70=0,"",EsteeNew!H70-EsteeOld!H70)</f>
        <v/>
      </c>
      <c r="I70" s="65" t="str">
        <f>IF(EsteeNew!I70-EsteeOld!I70=0,"",EsteeNew!I70-EsteeOld!I70)</f>
        <v/>
      </c>
      <c r="J70" s="65" t="str">
        <f>IF(EsteeNew!J70-EsteeOld!J70=0,"",EsteeNew!J70-EsteeOld!J70)</f>
        <v/>
      </c>
      <c r="K70" s="65" t="str">
        <f>IF(EsteeNew!K70-EsteeOld!K70=0,"",EsteeNew!K70-EsteeOld!K70)</f>
        <v/>
      </c>
      <c r="L70" s="65" t="str">
        <f>IF(EsteeNew!L70-EsteeOld!L70=0,"",EsteeNew!L70-EsteeOld!L70)</f>
        <v/>
      </c>
      <c r="M70" s="65" t="str">
        <f>IF(EsteeNew!M70-EsteeOld!M70=0,"",EsteeNew!M70-EsteeOld!M70)</f>
        <v/>
      </c>
      <c r="N70" s="65" t="str">
        <f>IF(EsteeNew!N70-EsteeOld!N70=0,"",EsteeNew!N70-EsteeOld!N70)</f>
        <v/>
      </c>
      <c r="O70" s="65" t="str">
        <f>IF(EsteeNew!O70-EsteeOld!O70=0,"",EsteeNew!O70-EsteeOld!O70)</f>
        <v/>
      </c>
      <c r="P70" s="65" t="str">
        <f>IF(EsteeNew!P70-EsteeOld!P70=0,"",EsteeNew!P70-EsteeOld!P70)</f>
        <v/>
      </c>
      <c r="Q70" s="65" t="str">
        <f>IF(EsteeNew!Q70-EsteeOld!Q70=0,"",EsteeNew!Q70-EsteeOld!Q70)</f>
        <v/>
      </c>
      <c r="R70" s="65" t="str">
        <f>IF(EsteeNew!R70-EsteeOld!R70=0,"",EsteeNew!R70-EsteeOld!R70)</f>
        <v/>
      </c>
      <c r="S70" s="65" t="str">
        <f>IF(EsteeNew!S70-EsteeOld!S70=0,"",EsteeNew!S70-EsteeOld!S70)</f>
        <v/>
      </c>
      <c r="T70" s="65" t="str">
        <f>IF(EsteeNew!T70-EsteeOld!T70=0,"",EsteeNew!T70-EsteeOld!T70)</f>
        <v/>
      </c>
      <c r="U70" s="65" t="str">
        <f>IF(EsteeNew!U70-EsteeOld!U70=0,"",EsteeNew!U70-EsteeOld!U70)</f>
        <v/>
      </c>
      <c r="V70" s="65" t="str">
        <f>IF(EsteeNew!V70-EsteeOld!V70=0,"",EsteeNew!V70-EsteeOld!V70)</f>
        <v/>
      </c>
      <c r="W70" s="65" t="str">
        <f>IF(EsteeNew!W70-EsteeOld!W70=0,"",EsteeNew!W70-EsteeOld!W70)</f>
        <v/>
      </c>
      <c r="X70" s="65" t="str">
        <f>IF(EsteeNew!X70-EsteeOld!X70=0,"",EsteeNew!X70-EsteeOld!X70)</f>
        <v/>
      </c>
      <c r="Y70" s="65" t="str">
        <f>IF(EsteeNew!Y70-EsteeOld!Y70=0,"",EsteeNew!Y70-EsteeOld!Y70)</f>
        <v/>
      </c>
      <c r="Z70" s="65" t="str">
        <f>IF(EsteeNew!Z70-EsteeOld!Z70=0,"",EsteeNew!Z70-EsteeOld!Z70)</f>
        <v/>
      </c>
      <c r="AA70" s="65" t="str">
        <f>IF(EsteeNew!AA70-EsteeOld!AA70=0,"",EsteeNew!AA70-EsteeOld!AA70)</f>
        <v/>
      </c>
      <c r="AB70" s="65" t="str">
        <f>IF(EsteeNew!AB70-EsteeOld!AB70=0,"",EsteeNew!AB70-EsteeOld!AB70)</f>
        <v/>
      </c>
      <c r="AC70" s="65" t="str">
        <f>IF(EsteeNew!AC70-EsteeOld!AC70=0,"",EsteeNew!AC70-EsteeOld!AC70)</f>
        <v/>
      </c>
      <c r="AD70" s="65" t="str">
        <f>IF(EsteeNew!AD70-EsteeOld!AD70=0,"",EsteeNew!AD70-EsteeOld!AD70)</f>
        <v/>
      </c>
      <c r="AE70" s="65" t="str">
        <f>IF(EsteeNew!AE70-EsteeOld!AE70=0,"",EsteeNew!AE70-EsteeOld!AE70)</f>
        <v/>
      </c>
      <c r="AF70" s="65" t="str">
        <f>IF(EsteeNew!AF70-EsteeOld!AF70=0,"",EsteeNew!AF70-EsteeOld!AF70)</f>
        <v/>
      </c>
      <c r="AG70" s="65" t="str">
        <f>IF(EsteeNew!AG70-EsteeOld!AG70=0,"",EsteeNew!AG70-EsteeOld!AG70)</f>
        <v/>
      </c>
      <c r="AH70" s="65" t="str">
        <f>IF(EsteeNew!AH70-EsteeOld!AH70=0,"",EsteeNew!AH70-EsteeOld!AH70)</f>
        <v/>
      </c>
      <c r="AI70" s="65" t="str">
        <f>IF(EsteeNew!AI70-EsteeOld!AI70=0,"",EsteeNew!AI70-EsteeOld!AI70)</f>
        <v/>
      </c>
      <c r="AJ70" s="65" t="str">
        <f>IF(EsteeNew!AJ70-EsteeOld!AJ70=0,"",EsteeNew!AJ70-EsteeOld!AJ70)</f>
        <v/>
      </c>
      <c r="AK70" s="65" t="str">
        <f>IF(EsteeNew!AK70-EsteeOld!AK70=0,"",EsteeNew!AK70-EsteeOld!AK70)</f>
        <v/>
      </c>
      <c r="AL70" s="65" t="str">
        <f>IF(EsteeNew!AL70-EsteeOld!AL70=0,"",EsteeNew!AL70-EsteeOld!AL70)</f>
        <v/>
      </c>
      <c r="AM70" s="65" t="str">
        <f>IF(EsteeNew!AM70-EsteeOld!AM70=0,"",EsteeNew!AM70-EsteeOld!AM70)</f>
        <v/>
      </c>
      <c r="AN70" s="65" t="str">
        <f>IF(EsteeNew!AN70-EsteeOld!AN70=0,"",EsteeNew!AN70-EsteeOld!AN70)</f>
        <v/>
      </c>
      <c r="AO70" s="65" t="str">
        <f>IF(EsteeNew!AO70-EsteeOld!AO70=0,"",EsteeNew!AO70-EsteeOld!AO70)</f>
        <v/>
      </c>
      <c r="AP70" s="65" t="str">
        <f>IF(EsteeNew!AP70-EsteeOld!AP70=0,"",EsteeNew!AP70-EsteeOld!AP70)</f>
        <v/>
      </c>
      <c r="AQ70" s="65" t="str">
        <f>IF(EsteeNew!AQ70-EsteeOld!AQ70=0,"",EsteeNew!AQ70-EsteeOld!AQ70)</f>
        <v/>
      </c>
      <c r="AR70" s="65" t="str">
        <f>IF(EsteeNew!AR70-EsteeOld!AR70=0,"",EsteeNew!AR70-EsteeOld!AR70)</f>
        <v/>
      </c>
      <c r="AS70" s="65" t="str">
        <f>IF(EsteeNew!AS70-EsteeOld!AS70=0,"",EsteeNew!AS70-EsteeOld!AS70)</f>
        <v/>
      </c>
      <c r="AT70" s="65" t="str">
        <f>IF(EsteeNew!AT70-EsteeOld!AT70=0,"",EsteeNew!AT70-EsteeOld!AT70)</f>
        <v/>
      </c>
      <c r="AU70" s="65" t="str">
        <f>IF(EsteeNew!AU70-EsteeOld!AU70=0,"",EsteeNew!AU70-EsteeOld!AU70)</f>
        <v/>
      </c>
      <c r="AV70" s="65" t="str">
        <f>IF(EsteeNew!AV70-EsteeOld!AV70=0,"",EsteeNew!AV70-EsteeOld!AV70)</f>
        <v/>
      </c>
      <c r="AW70" s="65" t="str">
        <f>IF(EsteeNew!AW70-EsteeOld!AW70=0,"",EsteeNew!AW70-EsteeOld!AW70)</f>
        <v/>
      </c>
      <c r="AX70" s="65" t="str">
        <f>IF(EsteeNew!AX70-EsteeOld!AX70=0,"",EsteeNew!AX70-EsteeOld!AX70)</f>
        <v/>
      </c>
      <c r="AY70" s="65" t="str">
        <f>IF(EsteeNew!AY70-EsteeOld!AY70=0,"",EsteeNew!AY70-EsteeOld!AY70)</f>
        <v/>
      </c>
      <c r="AZ70" s="65" t="str">
        <f>IF(EsteeNew!AZ70-EsteeOld!AZ70=0,"",EsteeNew!AZ70-EsteeOld!AZ70)</f>
        <v/>
      </c>
      <c r="BA70" s="65" t="str">
        <f>IF(EsteeNew!BA70-EsteeOld!BA70=0,"",EsteeNew!BA70-EsteeOld!BA70)</f>
        <v/>
      </c>
      <c r="BB70" s="65" t="str">
        <f>IF(EsteeNew!BB70-EsteeOld!BB70=0,"",EsteeNew!BB70-EsteeOld!BB70)</f>
        <v/>
      </c>
      <c r="BC70" s="65" t="str">
        <f>IF(EsteeNew!BC70-EsteeOld!BC70=0,"",EsteeNew!BC70-EsteeOld!BC70)</f>
        <v/>
      </c>
      <c r="BD70" s="65" t="str">
        <f>IF(EsteeNew!BD70-EsteeOld!BD70=0,"",EsteeNew!BD70-EsteeOld!BD70)</f>
        <v/>
      </c>
    </row>
    <row r="71" spans="3:56" x14ac:dyDescent="0.25">
      <c r="C71" s="106"/>
      <c r="D71" s="50" t="s">
        <v>41</v>
      </c>
      <c r="E71" s="54" t="str">
        <f>IFERROR((SUM(E64:E70)*E73)/((40*(1-E72)+40)),"")</f>
        <v/>
      </c>
      <c r="F71" s="54" t="str">
        <f t="shared" ref="F71:BD71" si="12">IFERROR((SUM(F64:F70)*F73)/((40*(1-F72)+40)),"")</f>
        <v/>
      </c>
      <c r="G71" s="54" t="str">
        <f t="shared" si="12"/>
        <v/>
      </c>
      <c r="H71" s="54" t="str">
        <f t="shared" si="12"/>
        <v/>
      </c>
      <c r="I71" s="54" t="str">
        <f t="shared" si="12"/>
        <v/>
      </c>
      <c r="J71" s="54" t="str">
        <f t="shared" si="12"/>
        <v/>
      </c>
      <c r="K71" s="54" t="str">
        <f t="shared" si="12"/>
        <v/>
      </c>
      <c r="L71" s="54" t="str">
        <f t="shared" si="12"/>
        <v/>
      </c>
      <c r="M71" s="54" t="str">
        <f t="shared" si="12"/>
        <v/>
      </c>
      <c r="N71" s="54" t="str">
        <f t="shared" si="12"/>
        <v/>
      </c>
      <c r="O71" s="54" t="str">
        <f t="shared" si="12"/>
        <v/>
      </c>
      <c r="P71" s="54" t="str">
        <f t="shared" si="12"/>
        <v/>
      </c>
      <c r="Q71" s="54" t="str">
        <f t="shared" si="12"/>
        <v/>
      </c>
      <c r="R71" s="54" t="str">
        <f t="shared" si="12"/>
        <v/>
      </c>
      <c r="S71" s="54" t="str">
        <f t="shared" si="12"/>
        <v/>
      </c>
      <c r="T71" s="54" t="str">
        <f t="shared" si="12"/>
        <v/>
      </c>
      <c r="U71" s="54" t="str">
        <f t="shared" si="12"/>
        <v/>
      </c>
      <c r="V71" s="54" t="str">
        <f t="shared" si="12"/>
        <v/>
      </c>
      <c r="W71" s="54" t="str">
        <f t="shared" si="12"/>
        <v/>
      </c>
      <c r="X71" s="54" t="str">
        <f t="shared" si="12"/>
        <v/>
      </c>
      <c r="Y71" s="54" t="str">
        <f t="shared" si="12"/>
        <v/>
      </c>
      <c r="Z71" s="54" t="str">
        <f t="shared" si="12"/>
        <v/>
      </c>
      <c r="AA71" s="54" t="str">
        <f t="shared" si="12"/>
        <v/>
      </c>
      <c r="AB71" s="54" t="str">
        <f t="shared" si="12"/>
        <v/>
      </c>
      <c r="AC71" s="54" t="str">
        <f t="shared" si="12"/>
        <v/>
      </c>
      <c r="AD71" s="54" t="str">
        <f t="shared" si="12"/>
        <v/>
      </c>
      <c r="AE71" s="54" t="str">
        <f t="shared" si="12"/>
        <v/>
      </c>
      <c r="AF71" s="54" t="str">
        <f t="shared" si="12"/>
        <v/>
      </c>
      <c r="AG71" s="54" t="str">
        <f t="shared" si="12"/>
        <v/>
      </c>
      <c r="AH71" s="54" t="str">
        <f t="shared" si="12"/>
        <v/>
      </c>
      <c r="AI71" s="54" t="str">
        <f t="shared" si="12"/>
        <v/>
      </c>
      <c r="AJ71" s="54" t="str">
        <f t="shared" si="12"/>
        <v/>
      </c>
      <c r="AK71" s="54" t="str">
        <f t="shared" si="12"/>
        <v/>
      </c>
      <c r="AL71" s="54" t="str">
        <f t="shared" si="12"/>
        <v/>
      </c>
      <c r="AM71" s="54" t="str">
        <f t="shared" si="12"/>
        <v/>
      </c>
      <c r="AN71" s="54" t="str">
        <f t="shared" si="12"/>
        <v/>
      </c>
      <c r="AO71" s="54" t="str">
        <f t="shared" si="12"/>
        <v/>
      </c>
      <c r="AP71" s="54" t="str">
        <f t="shared" si="12"/>
        <v/>
      </c>
      <c r="AQ71" s="54" t="str">
        <f t="shared" si="12"/>
        <v/>
      </c>
      <c r="AR71" s="54" t="str">
        <f t="shared" si="12"/>
        <v/>
      </c>
      <c r="AS71" s="54" t="str">
        <f t="shared" si="12"/>
        <v/>
      </c>
      <c r="AT71" s="54" t="str">
        <f t="shared" si="12"/>
        <v/>
      </c>
      <c r="AU71" s="54" t="str">
        <f t="shared" si="12"/>
        <v/>
      </c>
      <c r="AV71" s="54" t="str">
        <f t="shared" si="12"/>
        <v/>
      </c>
      <c r="AW71" s="54" t="str">
        <f t="shared" si="12"/>
        <v/>
      </c>
      <c r="AX71" s="54" t="str">
        <f t="shared" si="12"/>
        <v/>
      </c>
      <c r="AY71" s="54" t="str">
        <f t="shared" si="12"/>
        <v/>
      </c>
      <c r="AZ71" s="54" t="str">
        <f t="shared" si="12"/>
        <v/>
      </c>
      <c r="BA71" s="54" t="str">
        <f t="shared" si="12"/>
        <v/>
      </c>
      <c r="BB71" s="54" t="str">
        <f t="shared" si="12"/>
        <v/>
      </c>
      <c r="BC71" s="54" t="str">
        <f t="shared" si="12"/>
        <v/>
      </c>
      <c r="BD71" s="54" t="str">
        <f t="shared" si="12"/>
        <v/>
      </c>
    </row>
    <row r="72" spans="3:56" x14ac:dyDescent="0.25">
      <c r="C72" s="106"/>
      <c r="D72" s="50" t="s">
        <v>42</v>
      </c>
      <c r="E72" s="67" t="str">
        <f>IF(EsteeNew!E72-EsteeOld!E72=0,"",EsteeNew!E72-EsteeOld!E72)</f>
        <v/>
      </c>
      <c r="F72" s="67" t="str">
        <f>IF(EsteeNew!F72-EsteeOld!F72=0,"",EsteeNew!F72-EsteeOld!F72)</f>
        <v/>
      </c>
      <c r="G72" s="67" t="str">
        <f>IF(EsteeNew!G72-EsteeOld!G72=0,"",EsteeNew!G72-EsteeOld!G72)</f>
        <v/>
      </c>
      <c r="H72" s="67" t="str">
        <f>IF(EsteeNew!H72-EsteeOld!H72=0,"",EsteeNew!H72-EsteeOld!H72)</f>
        <v/>
      </c>
      <c r="I72" s="67" t="str">
        <f>IF(EsteeNew!I72-EsteeOld!I72=0,"",EsteeNew!I72-EsteeOld!I72)</f>
        <v/>
      </c>
      <c r="J72" s="67" t="str">
        <f>IF(EsteeNew!J72-EsteeOld!J72=0,"",EsteeNew!J72-EsteeOld!J72)</f>
        <v/>
      </c>
      <c r="K72" s="67" t="str">
        <f>IF(EsteeNew!K72-EsteeOld!K72=0,"",EsteeNew!K72-EsteeOld!K72)</f>
        <v/>
      </c>
      <c r="L72" s="67" t="str">
        <f>IF(EsteeNew!L72-EsteeOld!L72=0,"",EsteeNew!L72-EsteeOld!L72)</f>
        <v/>
      </c>
      <c r="M72" s="67" t="str">
        <f>IF(EsteeNew!M72-EsteeOld!M72=0,"",EsteeNew!M72-EsteeOld!M72)</f>
        <v/>
      </c>
      <c r="N72" s="67" t="str">
        <f>IF(EsteeNew!N72-EsteeOld!N72=0,"",EsteeNew!N72-EsteeOld!N72)</f>
        <v/>
      </c>
      <c r="O72" s="67" t="str">
        <f>IF(EsteeNew!O72-EsteeOld!O72=0,"",EsteeNew!O72-EsteeOld!O72)</f>
        <v/>
      </c>
      <c r="P72" s="67" t="str">
        <f>IF(EsteeNew!P72-EsteeOld!P72=0,"",EsteeNew!P72-EsteeOld!P72)</f>
        <v/>
      </c>
      <c r="Q72" s="67" t="str">
        <f>IF(EsteeNew!Q72-EsteeOld!Q72=0,"",EsteeNew!Q72-EsteeOld!Q72)</f>
        <v/>
      </c>
      <c r="R72" s="67" t="str">
        <f>IF(EsteeNew!R72-EsteeOld!R72=0,"",EsteeNew!R72-EsteeOld!R72)</f>
        <v/>
      </c>
      <c r="S72" s="67" t="str">
        <f>IF(EsteeNew!S72-EsteeOld!S72=0,"",EsteeNew!S72-EsteeOld!S72)</f>
        <v/>
      </c>
      <c r="T72" s="67" t="str">
        <f>IF(EsteeNew!T72-EsteeOld!T72=0,"",EsteeNew!T72-EsteeOld!T72)</f>
        <v/>
      </c>
      <c r="U72" s="67" t="str">
        <f>IF(EsteeNew!U72-EsteeOld!U72=0,"",EsteeNew!U72-EsteeOld!U72)</f>
        <v/>
      </c>
      <c r="V72" s="67" t="str">
        <f>IF(EsteeNew!V72-EsteeOld!V72=0,"",EsteeNew!V72-EsteeOld!V72)</f>
        <v/>
      </c>
      <c r="W72" s="67" t="str">
        <f>IF(EsteeNew!W72-EsteeOld!W72=0,"",EsteeNew!W72-EsteeOld!W72)</f>
        <v/>
      </c>
      <c r="X72" s="67" t="str">
        <f>IF(EsteeNew!X72-EsteeOld!X72=0,"",EsteeNew!X72-EsteeOld!X72)</f>
        <v/>
      </c>
      <c r="Y72" s="67" t="str">
        <f>IF(EsteeNew!Y72-EsteeOld!Y72=0,"",EsteeNew!Y72-EsteeOld!Y72)</f>
        <v/>
      </c>
      <c r="Z72" s="67" t="str">
        <f>IF(EsteeNew!Z72-EsteeOld!Z72=0,"",EsteeNew!Z72-EsteeOld!Z72)</f>
        <v/>
      </c>
      <c r="AA72" s="67" t="str">
        <f>IF(EsteeNew!AA72-EsteeOld!AA72=0,"",EsteeNew!AA72-EsteeOld!AA72)</f>
        <v/>
      </c>
      <c r="AB72" s="67" t="str">
        <f>IF(EsteeNew!AB72-EsteeOld!AB72=0,"",EsteeNew!AB72-EsteeOld!AB72)</f>
        <v/>
      </c>
      <c r="AC72" s="67" t="str">
        <f>IF(EsteeNew!AC72-EsteeOld!AC72=0,"",EsteeNew!AC72-EsteeOld!AC72)</f>
        <v/>
      </c>
      <c r="AD72" s="67" t="str">
        <f>IF(EsteeNew!AD72-EsteeOld!AD72=0,"",EsteeNew!AD72-EsteeOld!AD72)</f>
        <v/>
      </c>
      <c r="AE72" s="67" t="str">
        <f>IF(EsteeNew!AE72-EsteeOld!AE72=0,"",EsteeNew!AE72-EsteeOld!AE72)</f>
        <v/>
      </c>
      <c r="AF72" s="67" t="str">
        <f>IF(EsteeNew!AF72-EsteeOld!AF72=0,"",EsteeNew!AF72-EsteeOld!AF72)</f>
        <v/>
      </c>
      <c r="AG72" s="67" t="str">
        <f>IF(EsteeNew!AG72-EsteeOld!AG72=0,"",EsteeNew!AG72-EsteeOld!AG72)</f>
        <v/>
      </c>
      <c r="AH72" s="67" t="str">
        <f>IF(EsteeNew!AH72-EsteeOld!AH72=0,"",EsteeNew!AH72-EsteeOld!AH72)</f>
        <v/>
      </c>
      <c r="AI72" s="67" t="str">
        <f>IF(EsteeNew!AI72-EsteeOld!AI72=0,"",EsteeNew!AI72-EsteeOld!AI72)</f>
        <v/>
      </c>
      <c r="AJ72" s="67" t="str">
        <f>IF(EsteeNew!AJ72-EsteeOld!AJ72=0,"",EsteeNew!AJ72-EsteeOld!AJ72)</f>
        <v/>
      </c>
      <c r="AK72" s="67" t="str">
        <f>IF(EsteeNew!AK72-EsteeOld!AK72=0,"",EsteeNew!AK72-EsteeOld!AK72)</f>
        <v/>
      </c>
      <c r="AL72" s="67" t="str">
        <f>IF(EsteeNew!AL72-EsteeOld!AL72=0,"",EsteeNew!AL72-EsteeOld!AL72)</f>
        <v/>
      </c>
      <c r="AM72" s="67" t="str">
        <f>IF(EsteeNew!AM72-EsteeOld!AM72=0,"",EsteeNew!AM72-EsteeOld!AM72)</f>
        <v/>
      </c>
      <c r="AN72" s="67" t="str">
        <f>IF(EsteeNew!AN72-EsteeOld!AN72=0,"",EsteeNew!AN72-EsteeOld!AN72)</f>
        <v/>
      </c>
      <c r="AO72" s="67" t="str">
        <f>IF(EsteeNew!AO72-EsteeOld!AO72=0,"",EsteeNew!AO72-EsteeOld!AO72)</f>
        <v/>
      </c>
      <c r="AP72" s="67" t="str">
        <f>IF(EsteeNew!AP72-EsteeOld!AP72=0,"",EsteeNew!AP72-EsteeOld!AP72)</f>
        <v/>
      </c>
      <c r="AQ72" s="67" t="str">
        <f>IF(EsteeNew!AQ72-EsteeOld!AQ72=0,"",EsteeNew!AQ72-EsteeOld!AQ72)</f>
        <v/>
      </c>
      <c r="AR72" s="67" t="str">
        <f>IF(EsteeNew!AR72-EsteeOld!AR72=0,"",EsteeNew!AR72-EsteeOld!AR72)</f>
        <v/>
      </c>
      <c r="AS72" s="67" t="str">
        <f>IF(EsteeNew!AS72-EsteeOld!AS72=0,"",EsteeNew!AS72-EsteeOld!AS72)</f>
        <v/>
      </c>
      <c r="AT72" s="67" t="str">
        <f>IF(EsteeNew!AT72-EsteeOld!AT72=0,"",EsteeNew!AT72-EsteeOld!AT72)</f>
        <v/>
      </c>
      <c r="AU72" s="67" t="str">
        <f>IF(EsteeNew!AU72-EsteeOld!AU72=0,"",EsteeNew!AU72-EsteeOld!AU72)</f>
        <v/>
      </c>
      <c r="AV72" s="67" t="str">
        <f>IF(EsteeNew!AV72-EsteeOld!AV72=0,"",EsteeNew!AV72-EsteeOld!AV72)</f>
        <v/>
      </c>
      <c r="AW72" s="67" t="str">
        <f>IF(EsteeNew!AW72-EsteeOld!AW72=0,"",EsteeNew!AW72-EsteeOld!AW72)</f>
        <v/>
      </c>
      <c r="AX72" s="67" t="str">
        <f>IF(EsteeNew!AX72-EsteeOld!AX72=0,"",EsteeNew!AX72-EsteeOld!AX72)</f>
        <v/>
      </c>
      <c r="AY72" s="67" t="str">
        <f>IF(EsteeNew!AY72-EsteeOld!AY72=0,"",EsteeNew!AY72-EsteeOld!AY72)</f>
        <v/>
      </c>
      <c r="AZ72" s="67" t="str">
        <f>IF(EsteeNew!AZ72-EsteeOld!AZ72=0,"",EsteeNew!AZ72-EsteeOld!AZ72)</f>
        <v/>
      </c>
      <c r="BA72" s="67" t="str">
        <f>IF(EsteeNew!BA72-EsteeOld!BA72=0,"",EsteeNew!BA72-EsteeOld!BA72)</f>
        <v/>
      </c>
      <c r="BB72" s="67" t="str">
        <f>IF(EsteeNew!BB72-EsteeOld!BB72=0,"",EsteeNew!BB72-EsteeOld!BB72)</f>
        <v/>
      </c>
      <c r="BC72" s="67" t="str">
        <f>IF(EsteeNew!BC72-EsteeOld!BC72=0,"",EsteeNew!BC72-EsteeOld!BC72)</f>
        <v/>
      </c>
      <c r="BD72" s="67" t="str">
        <f>IF(EsteeNew!BD72-EsteeOld!BD72=0,"",EsteeNew!BD72-EsteeOld!BD72)</f>
        <v/>
      </c>
    </row>
    <row r="73" spans="3:56" x14ac:dyDescent="0.25">
      <c r="C73" s="106"/>
      <c r="D73" s="50" t="s">
        <v>43</v>
      </c>
      <c r="E73" s="65" t="str">
        <f>IF(EsteeNew!E73-EsteeOld!E73=0,"",EsteeNew!E73-EsteeOld!E73)</f>
        <v/>
      </c>
      <c r="F73" s="65" t="str">
        <f>IF(EsteeNew!F73-EsteeOld!F73=0,"",EsteeNew!F73-EsteeOld!F73)</f>
        <v/>
      </c>
      <c r="G73" s="65" t="str">
        <f>IF(EsteeNew!G73-EsteeOld!G73=0,"",EsteeNew!G73-EsteeOld!G73)</f>
        <v/>
      </c>
      <c r="H73" s="65" t="str">
        <f>IF(EsteeNew!H73-EsteeOld!H73=0,"",EsteeNew!H73-EsteeOld!H73)</f>
        <v/>
      </c>
      <c r="I73" s="65" t="str">
        <f>IF(EsteeNew!I73-EsteeOld!I73=0,"",EsteeNew!I73-EsteeOld!I73)</f>
        <v/>
      </c>
      <c r="J73" s="65" t="str">
        <f>IF(EsteeNew!J73-EsteeOld!J73=0,"",EsteeNew!J73-EsteeOld!J73)</f>
        <v/>
      </c>
      <c r="K73" s="65" t="str">
        <f>IF(EsteeNew!K73-EsteeOld!K73=0,"",EsteeNew!K73-EsteeOld!K73)</f>
        <v/>
      </c>
      <c r="L73" s="65" t="str">
        <f>IF(EsteeNew!L73-EsteeOld!L73=0,"",EsteeNew!L73-EsteeOld!L73)</f>
        <v/>
      </c>
      <c r="M73" s="65" t="str">
        <f>IF(EsteeNew!M73-EsteeOld!M73=0,"",EsteeNew!M73-EsteeOld!M73)</f>
        <v/>
      </c>
      <c r="N73" s="65" t="str">
        <f>IF(EsteeNew!N73-EsteeOld!N73=0,"",EsteeNew!N73-EsteeOld!N73)</f>
        <v/>
      </c>
      <c r="O73" s="65" t="str">
        <f>IF(EsteeNew!O73-EsteeOld!O73=0,"",EsteeNew!O73-EsteeOld!O73)</f>
        <v/>
      </c>
      <c r="P73" s="65" t="str">
        <f>IF(EsteeNew!P73-EsteeOld!P73=0,"",EsteeNew!P73-EsteeOld!P73)</f>
        <v/>
      </c>
      <c r="Q73" s="65" t="str">
        <f>IF(EsteeNew!Q73-EsteeOld!Q73=0,"",EsteeNew!Q73-EsteeOld!Q73)</f>
        <v/>
      </c>
      <c r="R73" s="65" t="str">
        <f>IF(EsteeNew!R73-EsteeOld!R73=0,"",EsteeNew!R73-EsteeOld!R73)</f>
        <v/>
      </c>
      <c r="S73" s="65" t="str">
        <f>IF(EsteeNew!S73-EsteeOld!S73=0,"",EsteeNew!S73-EsteeOld!S73)</f>
        <v/>
      </c>
      <c r="T73" s="65" t="str">
        <f>IF(EsteeNew!T73-EsteeOld!T73=0,"",EsteeNew!T73-EsteeOld!T73)</f>
        <v/>
      </c>
      <c r="U73" s="65" t="str">
        <f>IF(EsteeNew!U73-EsteeOld!U73=0,"",EsteeNew!U73-EsteeOld!U73)</f>
        <v/>
      </c>
      <c r="V73" s="65" t="str">
        <f>IF(EsteeNew!V73-EsteeOld!V73=0,"",EsteeNew!V73-EsteeOld!V73)</f>
        <v/>
      </c>
      <c r="W73" s="65" t="str">
        <f>IF(EsteeNew!W73-EsteeOld!W73=0,"",EsteeNew!W73-EsteeOld!W73)</f>
        <v/>
      </c>
      <c r="X73" s="65" t="str">
        <f>IF(EsteeNew!X73-EsteeOld!X73=0,"",EsteeNew!X73-EsteeOld!X73)</f>
        <v/>
      </c>
      <c r="Y73" s="65">
        <f>IF(EsteeNew!Y73-EsteeOld!Y73=0,"",EsteeNew!Y73-EsteeOld!Y73)</f>
        <v>-8</v>
      </c>
      <c r="Z73" s="65" t="str">
        <f>IF(EsteeNew!Z73-EsteeOld!Z73=0,"",EsteeNew!Z73-EsteeOld!Z73)</f>
        <v/>
      </c>
      <c r="AA73" s="65" t="str">
        <f>IF(EsteeNew!AA73-EsteeOld!AA73=0,"",EsteeNew!AA73-EsteeOld!AA73)</f>
        <v/>
      </c>
      <c r="AB73" s="65" t="str">
        <f>IF(EsteeNew!AB73-EsteeOld!AB73=0,"",EsteeNew!AB73-EsteeOld!AB73)</f>
        <v/>
      </c>
      <c r="AC73" s="65" t="str">
        <f>IF(EsteeNew!AC73-EsteeOld!AC73=0,"",EsteeNew!AC73-EsteeOld!AC73)</f>
        <v/>
      </c>
      <c r="AD73" s="65" t="str">
        <f>IF(EsteeNew!AD73-EsteeOld!AD73=0,"",EsteeNew!AD73-EsteeOld!AD73)</f>
        <v/>
      </c>
      <c r="AE73" s="65" t="str">
        <f>IF(EsteeNew!AE73-EsteeOld!AE73=0,"",EsteeNew!AE73-EsteeOld!AE73)</f>
        <v/>
      </c>
      <c r="AF73" s="65" t="str">
        <f>IF(EsteeNew!AF73-EsteeOld!AF73=0,"",EsteeNew!AF73-EsteeOld!AF73)</f>
        <v/>
      </c>
      <c r="AG73" s="65" t="str">
        <f>IF(EsteeNew!AG73-EsteeOld!AG73=0,"",EsteeNew!AG73-EsteeOld!AG73)</f>
        <v/>
      </c>
      <c r="AH73" s="65" t="str">
        <f>IF(EsteeNew!AH73-EsteeOld!AH73=0,"",EsteeNew!AH73-EsteeOld!AH73)</f>
        <v/>
      </c>
      <c r="AI73" s="65" t="str">
        <f>IF(EsteeNew!AI73-EsteeOld!AI73=0,"",EsteeNew!AI73-EsteeOld!AI73)</f>
        <v/>
      </c>
      <c r="AJ73" s="65" t="str">
        <f>IF(EsteeNew!AJ73-EsteeOld!AJ73=0,"",EsteeNew!AJ73-EsteeOld!AJ73)</f>
        <v/>
      </c>
      <c r="AK73" s="65" t="str">
        <f>IF(EsteeNew!AK73-EsteeOld!AK73=0,"",EsteeNew!AK73-EsteeOld!AK73)</f>
        <v/>
      </c>
      <c r="AL73" s="65" t="str">
        <f>IF(EsteeNew!AL73-EsteeOld!AL73=0,"",EsteeNew!AL73-EsteeOld!AL73)</f>
        <v/>
      </c>
      <c r="AM73" s="65" t="str">
        <f>IF(EsteeNew!AM73-EsteeOld!AM73=0,"",EsteeNew!AM73-EsteeOld!AM73)</f>
        <v/>
      </c>
      <c r="AN73" s="65" t="str">
        <f>IF(EsteeNew!AN73-EsteeOld!AN73=0,"",EsteeNew!AN73-EsteeOld!AN73)</f>
        <v/>
      </c>
      <c r="AO73" s="65" t="str">
        <f>IF(EsteeNew!AO73-EsteeOld!AO73=0,"",EsteeNew!AO73-EsteeOld!AO73)</f>
        <v/>
      </c>
      <c r="AP73" s="65" t="str">
        <f>IF(EsteeNew!AP73-EsteeOld!AP73=0,"",EsteeNew!AP73-EsteeOld!AP73)</f>
        <v/>
      </c>
      <c r="AQ73" s="65" t="str">
        <f>IF(EsteeNew!AQ73-EsteeOld!AQ73=0,"",EsteeNew!AQ73-EsteeOld!AQ73)</f>
        <v/>
      </c>
      <c r="AR73" s="65" t="str">
        <f>IF(EsteeNew!AR73-EsteeOld!AR73=0,"",EsteeNew!AR73-EsteeOld!AR73)</f>
        <v/>
      </c>
      <c r="AS73" s="65" t="str">
        <f>IF(EsteeNew!AS73-EsteeOld!AS73=0,"",EsteeNew!AS73-EsteeOld!AS73)</f>
        <v/>
      </c>
      <c r="AT73" s="65" t="str">
        <f>IF(EsteeNew!AT73-EsteeOld!AT73=0,"",EsteeNew!AT73-EsteeOld!AT73)</f>
        <v/>
      </c>
      <c r="AU73" s="65" t="str">
        <f>IF(EsteeNew!AU73-EsteeOld!AU73=0,"",EsteeNew!AU73-EsteeOld!AU73)</f>
        <v/>
      </c>
      <c r="AV73" s="65" t="str">
        <f>IF(EsteeNew!AV73-EsteeOld!AV73=0,"",EsteeNew!AV73-EsteeOld!AV73)</f>
        <v/>
      </c>
      <c r="AW73" s="65" t="str">
        <f>IF(EsteeNew!AW73-EsteeOld!AW73=0,"",EsteeNew!AW73-EsteeOld!AW73)</f>
        <v/>
      </c>
      <c r="AX73" s="65" t="str">
        <f>IF(EsteeNew!AX73-EsteeOld!AX73=0,"",EsteeNew!AX73-EsteeOld!AX73)</f>
        <v/>
      </c>
      <c r="AY73" s="65" t="str">
        <f>IF(EsteeNew!AY73-EsteeOld!AY73=0,"",EsteeNew!AY73-EsteeOld!AY73)</f>
        <v/>
      </c>
      <c r="AZ73" s="65" t="str">
        <f>IF(EsteeNew!AZ73-EsteeOld!AZ73=0,"",EsteeNew!AZ73-EsteeOld!AZ73)</f>
        <v/>
      </c>
      <c r="BA73" s="65" t="str">
        <f>IF(EsteeNew!BA73-EsteeOld!BA73=0,"",EsteeNew!BA73-EsteeOld!BA73)</f>
        <v/>
      </c>
      <c r="BB73" s="65" t="str">
        <f>IF(EsteeNew!BB73-EsteeOld!BB73=0,"",EsteeNew!BB73-EsteeOld!BB73)</f>
        <v/>
      </c>
      <c r="BC73" s="65" t="str">
        <f>IF(EsteeNew!BC73-EsteeOld!BC73=0,"",EsteeNew!BC73-EsteeOld!BC73)</f>
        <v/>
      </c>
      <c r="BD73" s="65" t="str">
        <f>IF(EsteeNew!BD73-EsteeOld!BD73=0,"",EsteeNew!BD73-EsteeOld!BD73)</f>
        <v/>
      </c>
    </row>
    <row r="74" spans="3:56" x14ac:dyDescent="0.25">
      <c r="C74" s="106"/>
      <c r="D74" s="51" t="s">
        <v>44</v>
      </c>
      <c r="E74" s="61">
        <f t="shared" ref="E74:L74" si="13">SUM(E64:E71)</f>
        <v>0</v>
      </c>
      <c r="F74" s="61">
        <f t="shared" si="13"/>
        <v>0</v>
      </c>
      <c r="G74" s="61">
        <f t="shared" si="13"/>
        <v>0</v>
      </c>
      <c r="H74" s="61">
        <f t="shared" si="13"/>
        <v>0</v>
      </c>
      <c r="I74" s="61">
        <f t="shared" si="13"/>
        <v>0</v>
      </c>
      <c r="J74" s="61">
        <f t="shared" si="13"/>
        <v>0</v>
      </c>
      <c r="K74" s="61">
        <f t="shared" si="13"/>
        <v>0</v>
      </c>
      <c r="L74" s="61">
        <f t="shared" si="13"/>
        <v>0</v>
      </c>
      <c r="M74" s="61">
        <f t="shared" ref="M74:BD74" si="14">SUM(M64:M71)</f>
        <v>0</v>
      </c>
      <c r="N74" s="61">
        <f t="shared" si="14"/>
        <v>0</v>
      </c>
      <c r="O74" s="61">
        <f t="shared" si="14"/>
        <v>0</v>
      </c>
      <c r="P74" s="61">
        <f t="shared" si="14"/>
        <v>0</v>
      </c>
      <c r="Q74" s="61">
        <f t="shared" si="14"/>
        <v>0</v>
      </c>
      <c r="R74" s="61">
        <f t="shared" si="14"/>
        <v>0</v>
      </c>
      <c r="S74" s="61">
        <f t="shared" si="14"/>
        <v>0</v>
      </c>
      <c r="T74" s="61">
        <f t="shared" si="14"/>
        <v>0</v>
      </c>
      <c r="U74" s="61">
        <f t="shared" si="14"/>
        <v>0</v>
      </c>
      <c r="V74" s="61">
        <f t="shared" si="14"/>
        <v>0</v>
      </c>
      <c r="W74" s="61">
        <f t="shared" si="14"/>
        <v>0</v>
      </c>
      <c r="X74" s="61">
        <f t="shared" si="14"/>
        <v>0</v>
      </c>
      <c r="Y74" s="61">
        <f t="shared" si="14"/>
        <v>0</v>
      </c>
      <c r="Z74" s="61">
        <f t="shared" si="14"/>
        <v>0</v>
      </c>
      <c r="AA74" s="61">
        <f t="shared" si="14"/>
        <v>0</v>
      </c>
      <c r="AB74" s="61">
        <f t="shared" si="14"/>
        <v>0</v>
      </c>
      <c r="AC74" s="61">
        <f t="shared" si="14"/>
        <v>0</v>
      </c>
      <c r="AD74" s="61">
        <f t="shared" si="14"/>
        <v>0</v>
      </c>
      <c r="AE74" s="61">
        <f t="shared" si="14"/>
        <v>0</v>
      </c>
      <c r="AF74" s="61">
        <f t="shared" si="14"/>
        <v>0</v>
      </c>
      <c r="AG74" s="61">
        <f t="shared" si="14"/>
        <v>0</v>
      </c>
      <c r="AH74" s="61">
        <f t="shared" si="14"/>
        <v>0</v>
      </c>
      <c r="AI74" s="61">
        <f t="shared" si="14"/>
        <v>0</v>
      </c>
      <c r="AJ74" s="61">
        <f t="shared" si="14"/>
        <v>0</v>
      </c>
      <c r="AK74" s="61">
        <f t="shared" si="14"/>
        <v>0</v>
      </c>
      <c r="AL74" s="61">
        <f t="shared" si="14"/>
        <v>0</v>
      </c>
      <c r="AM74" s="61">
        <f t="shared" si="14"/>
        <v>0</v>
      </c>
      <c r="AN74" s="61">
        <f t="shared" si="14"/>
        <v>0</v>
      </c>
      <c r="AO74" s="61">
        <f t="shared" si="14"/>
        <v>0</v>
      </c>
      <c r="AP74" s="61">
        <f t="shared" si="14"/>
        <v>0</v>
      </c>
      <c r="AQ74" s="61">
        <f t="shared" si="14"/>
        <v>0</v>
      </c>
      <c r="AR74" s="61">
        <f t="shared" si="14"/>
        <v>0</v>
      </c>
      <c r="AS74" s="61">
        <f t="shared" si="14"/>
        <v>0</v>
      </c>
      <c r="AT74" s="61">
        <f t="shared" si="14"/>
        <v>0</v>
      </c>
      <c r="AU74" s="61">
        <f t="shared" si="14"/>
        <v>0</v>
      </c>
      <c r="AV74" s="61">
        <f t="shared" si="14"/>
        <v>0</v>
      </c>
      <c r="AW74" s="61">
        <f t="shared" si="14"/>
        <v>0</v>
      </c>
      <c r="AX74" s="61">
        <f t="shared" si="14"/>
        <v>0</v>
      </c>
      <c r="AY74" s="61">
        <f t="shared" si="14"/>
        <v>0</v>
      </c>
      <c r="AZ74" s="61">
        <f t="shared" si="14"/>
        <v>0</v>
      </c>
      <c r="BA74" s="61">
        <f t="shared" si="14"/>
        <v>0</v>
      </c>
      <c r="BB74" s="61">
        <f t="shared" si="14"/>
        <v>0</v>
      </c>
      <c r="BC74" s="61">
        <f t="shared" si="14"/>
        <v>0</v>
      </c>
      <c r="BD74" s="61">
        <f t="shared" si="14"/>
        <v>0</v>
      </c>
    </row>
    <row r="75" spans="3:56" x14ac:dyDescent="0.25">
      <c r="C75" s="106"/>
      <c r="D75" s="52" t="s">
        <v>52</v>
      </c>
      <c r="E75" s="56" t="str">
        <f>IFERROR(E74-E62,"")</f>
        <v/>
      </c>
      <c r="F75" s="56" t="str">
        <f t="shared" ref="F75:BD75" si="15">IFERROR(F74-F62,"")</f>
        <v/>
      </c>
      <c r="G75" s="56" t="str">
        <f t="shared" si="15"/>
        <v/>
      </c>
      <c r="H75" s="56" t="str">
        <f t="shared" si="15"/>
        <v/>
      </c>
      <c r="I75" s="56" t="str">
        <f t="shared" si="15"/>
        <v/>
      </c>
      <c r="J75" s="56" t="str">
        <f t="shared" si="15"/>
        <v/>
      </c>
      <c r="K75" s="56" t="str">
        <f t="shared" si="15"/>
        <v/>
      </c>
      <c r="L75" s="56" t="str">
        <f t="shared" si="15"/>
        <v/>
      </c>
      <c r="M75" s="56" t="str">
        <f t="shared" si="15"/>
        <v/>
      </c>
      <c r="N75" s="56" t="str">
        <f t="shared" si="15"/>
        <v/>
      </c>
      <c r="O75" s="56" t="str">
        <f t="shared" si="15"/>
        <v/>
      </c>
      <c r="P75" s="56" t="str">
        <f t="shared" si="15"/>
        <v/>
      </c>
      <c r="Q75" s="56" t="str">
        <f t="shared" si="15"/>
        <v/>
      </c>
      <c r="R75" s="56" t="str">
        <f t="shared" si="15"/>
        <v/>
      </c>
      <c r="S75" s="56" t="str">
        <f t="shared" si="15"/>
        <v/>
      </c>
      <c r="T75" s="56" t="str">
        <f t="shared" si="15"/>
        <v/>
      </c>
      <c r="U75" s="56" t="str">
        <f t="shared" si="15"/>
        <v/>
      </c>
      <c r="V75" s="56" t="str">
        <f t="shared" si="15"/>
        <v/>
      </c>
      <c r="W75" s="56" t="str">
        <f t="shared" si="15"/>
        <v/>
      </c>
      <c r="X75" s="56" t="str">
        <f t="shared" si="15"/>
        <v/>
      </c>
      <c r="Y75" s="56">
        <f t="shared" si="15"/>
        <v>2.5882716049382779</v>
      </c>
      <c r="Z75" s="56" t="str">
        <f t="shared" si="15"/>
        <v/>
      </c>
      <c r="AA75" s="56" t="str">
        <f t="shared" si="15"/>
        <v/>
      </c>
      <c r="AB75" s="56" t="str">
        <f t="shared" si="15"/>
        <v/>
      </c>
      <c r="AC75" s="56" t="str">
        <f t="shared" si="15"/>
        <v/>
      </c>
      <c r="AD75" s="56" t="str">
        <f t="shared" si="15"/>
        <v/>
      </c>
      <c r="AE75" s="56" t="str">
        <f t="shared" si="15"/>
        <v/>
      </c>
      <c r="AF75" s="56" t="str">
        <f t="shared" si="15"/>
        <v/>
      </c>
      <c r="AG75" s="56" t="str">
        <f t="shared" si="15"/>
        <v/>
      </c>
      <c r="AH75" s="56" t="str">
        <f t="shared" si="15"/>
        <v/>
      </c>
      <c r="AI75" s="56" t="str">
        <f t="shared" si="15"/>
        <v/>
      </c>
      <c r="AJ75" s="56" t="str">
        <f t="shared" si="15"/>
        <v/>
      </c>
      <c r="AK75" s="56" t="str">
        <f t="shared" si="15"/>
        <v/>
      </c>
      <c r="AL75" s="56" t="str">
        <f t="shared" si="15"/>
        <v/>
      </c>
      <c r="AM75" s="56" t="str">
        <f t="shared" si="15"/>
        <v/>
      </c>
      <c r="AN75" s="56" t="str">
        <f t="shared" si="15"/>
        <v/>
      </c>
      <c r="AO75" s="56" t="str">
        <f t="shared" si="15"/>
        <v/>
      </c>
      <c r="AP75" s="56" t="str">
        <f t="shared" si="15"/>
        <v/>
      </c>
      <c r="AQ75" s="56" t="str">
        <f t="shared" si="15"/>
        <v/>
      </c>
      <c r="AR75" s="56" t="str">
        <f t="shared" si="15"/>
        <v/>
      </c>
      <c r="AS75" s="56" t="str">
        <f t="shared" si="15"/>
        <v/>
      </c>
      <c r="AT75" s="56" t="str">
        <f t="shared" si="15"/>
        <v/>
      </c>
      <c r="AU75" s="56" t="str">
        <f t="shared" si="15"/>
        <v/>
      </c>
      <c r="AV75" s="56" t="str">
        <f t="shared" si="15"/>
        <v/>
      </c>
      <c r="AW75" s="56" t="str">
        <f t="shared" si="15"/>
        <v/>
      </c>
      <c r="AX75" s="56" t="str">
        <f t="shared" si="15"/>
        <v/>
      </c>
      <c r="AY75" s="56" t="str">
        <f t="shared" si="15"/>
        <v/>
      </c>
      <c r="AZ75" s="56" t="str">
        <f t="shared" si="15"/>
        <v/>
      </c>
      <c r="BA75" s="56" t="str">
        <f t="shared" si="15"/>
        <v/>
      </c>
      <c r="BB75" s="56" t="str">
        <f t="shared" si="15"/>
        <v/>
      </c>
      <c r="BC75" s="56" t="str">
        <f t="shared" si="15"/>
        <v/>
      </c>
      <c r="BD75" s="56" t="str">
        <f t="shared" si="15"/>
        <v/>
      </c>
    </row>
    <row r="76" spans="3:56" x14ac:dyDescent="0.25">
      <c r="C76" s="106"/>
      <c r="D76" s="53" t="s">
        <v>46</v>
      </c>
      <c r="E76" s="56">
        <f>SUM(E75,LauderFTEChan!E72)</f>
        <v>0</v>
      </c>
      <c r="F76" s="56">
        <f>SUM(F75,LauderFTEChan!F72)</f>
        <v>0</v>
      </c>
      <c r="G76" s="56">
        <f>SUM(G75,LauderFTEChan!G72)</f>
        <v>0</v>
      </c>
      <c r="H76" s="56">
        <f>SUM(H75,LauderFTEChan!H72)</f>
        <v>0</v>
      </c>
      <c r="I76" s="56">
        <f>SUM(I75,LauderFTEChan!I72)</f>
        <v>0</v>
      </c>
      <c r="J76" s="56">
        <f>SUM(J75,LauderFTEChan!J72)</f>
        <v>0</v>
      </c>
      <c r="K76" s="56">
        <f>SUM(K75,LauderFTEChan!K72)</f>
        <v>0</v>
      </c>
      <c r="L76" s="56">
        <f>SUM(L75,LauderFTEChan!L72)</f>
        <v>0</v>
      </c>
      <c r="M76" s="56">
        <f>SUM(M75,LauderFTEChan!M72)</f>
        <v>0</v>
      </c>
      <c r="N76" s="56">
        <f>SUM(N75,LauderFTEChan!N72)</f>
        <v>0</v>
      </c>
      <c r="O76" s="56">
        <f>SUM(O75,LauderFTEChan!O72)</f>
        <v>0</v>
      </c>
      <c r="P76" s="56">
        <f>SUM(P75,LauderFTEChan!P72)</f>
        <v>0</v>
      </c>
      <c r="Q76" s="56">
        <f>SUM(Q75,LauderFTEChan!Q72)</f>
        <v>0</v>
      </c>
      <c r="R76" s="56">
        <f>SUM(R75,LauderFTEChan!R72)</f>
        <v>0</v>
      </c>
      <c r="S76" s="56">
        <f>SUM(S75,LauderFTEChan!S72)</f>
        <v>0</v>
      </c>
      <c r="T76" s="56">
        <f>SUM(T75,LauderFTEChan!T72)</f>
        <v>0</v>
      </c>
      <c r="U76" s="56">
        <f>SUM(U75,LauderFTEChan!U72)</f>
        <v>0</v>
      </c>
      <c r="V76" s="56">
        <f>SUM(V75,LauderFTEChan!V72)</f>
        <v>0</v>
      </c>
      <c r="W76" s="56">
        <f>SUM(W75,LauderFTEChan!W72)</f>
        <v>0</v>
      </c>
      <c r="X76" s="56">
        <f>SUM(X75,LauderFTEChan!X72)</f>
        <v>0</v>
      </c>
      <c r="Y76" s="56">
        <f>SUM(Y75,LauderFTEChan!Y72)</f>
        <v>4.6800176366843118</v>
      </c>
      <c r="Z76" s="56">
        <f>SUM(Z75,LauderFTEChan!Z72)</f>
        <v>0</v>
      </c>
      <c r="AA76" s="56">
        <f>SUM(AA75,LauderFTEChan!AA72)</f>
        <v>0</v>
      </c>
      <c r="AB76" s="56">
        <f>SUM(AB75,LauderFTEChan!AB72)</f>
        <v>0</v>
      </c>
      <c r="AC76" s="56">
        <f>SUM(AC75,LauderFTEChan!AC72)</f>
        <v>0</v>
      </c>
      <c r="AD76" s="56">
        <f>SUM(AD75,LauderFTEChan!AD72)</f>
        <v>0</v>
      </c>
      <c r="AE76" s="56">
        <f>SUM(AE75,LauderFTEChan!AE72)</f>
        <v>0</v>
      </c>
      <c r="AF76" s="56">
        <f>SUM(AF75,LauderFTEChan!AF72)</f>
        <v>0</v>
      </c>
      <c r="AG76" s="56">
        <f>SUM(AG75,LauderFTEChan!AG72)</f>
        <v>0</v>
      </c>
      <c r="AH76" s="56">
        <f>SUM(AH75,LauderFTEChan!AH72)</f>
        <v>0</v>
      </c>
      <c r="AI76" s="56">
        <f>SUM(AI75,LauderFTEChan!AI72)</f>
        <v>0</v>
      </c>
      <c r="AJ76" s="56">
        <f>SUM(AJ75,LauderFTEChan!AJ72)</f>
        <v>0</v>
      </c>
      <c r="AK76" s="56">
        <f>SUM(AK75,LauderFTEChan!AK72)</f>
        <v>0</v>
      </c>
      <c r="AL76" s="56">
        <f>SUM(AL75,LauderFTEChan!AL72)</f>
        <v>0</v>
      </c>
      <c r="AM76" s="56">
        <f>SUM(AM75,LauderFTEChan!AM72)</f>
        <v>0</v>
      </c>
      <c r="AN76" s="56">
        <f>SUM(AN75,LauderFTEChan!AN72)</f>
        <v>0</v>
      </c>
      <c r="AO76" s="56">
        <f>SUM(AO75,LauderFTEChan!AO72)</f>
        <v>0</v>
      </c>
      <c r="AP76" s="56">
        <f>SUM(AP75,LauderFTEChan!AP72)</f>
        <v>0</v>
      </c>
      <c r="AQ76" s="56">
        <f>SUM(AQ75,LauderFTEChan!AQ72)</f>
        <v>0</v>
      </c>
      <c r="AR76" s="56">
        <f>SUM(AR75,LauderFTEChan!AR72)</f>
        <v>0</v>
      </c>
      <c r="AS76" s="56">
        <f>SUM(AS75,LauderFTEChan!AS72)</f>
        <v>0</v>
      </c>
      <c r="AT76" s="56">
        <f>SUM(AT75,LauderFTEChan!AT72)</f>
        <v>0</v>
      </c>
      <c r="AU76" s="56">
        <f>SUM(AU75,LauderFTEChan!AU72)</f>
        <v>0</v>
      </c>
      <c r="AV76" s="56">
        <f>SUM(AV75,LauderFTEChan!AV72)</f>
        <v>0</v>
      </c>
      <c r="AW76" s="56">
        <f>SUM(AW75,LauderFTEChan!AW72)</f>
        <v>0</v>
      </c>
      <c r="AX76" s="56">
        <f>SUM(AX75,LauderFTEChan!AX72)</f>
        <v>0</v>
      </c>
      <c r="AY76" s="56">
        <f>SUM(AY75,LauderFTEChan!AY72)</f>
        <v>0</v>
      </c>
      <c r="AZ76" s="56">
        <f>SUM(AZ75,LauderFTEChan!AZ72)</f>
        <v>0</v>
      </c>
      <c r="BA76" s="56">
        <f>SUM(BA75,LauderFTEChan!BA72)</f>
        <v>0</v>
      </c>
      <c r="BB76" s="56">
        <f>SUM(BB75,LauderFTEChan!BB72)</f>
        <v>0</v>
      </c>
      <c r="BC76" s="56">
        <f>SUM(BC75,LauderFTEChan!BC72)</f>
        <v>0</v>
      </c>
      <c r="BD76" s="56">
        <f>SUM(BD75,LauderFTEChan!BD72)</f>
        <v>0</v>
      </c>
    </row>
    <row r="77" spans="3:56" x14ac:dyDescent="0.25">
      <c r="C77" s="48"/>
      <c r="E77" s="44"/>
      <c r="F77" s="44"/>
      <c r="G77" s="44"/>
      <c r="H77" s="44"/>
      <c r="I77" s="44"/>
      <c r="J77" s="44"/>
      <c r="K77" s="44"/>
      <c r="L77" s="44"/>
      <c r="M77" s="44"/>
    </row>
    <row r="78" spans="3:56" x14ac:dyDescent="0.25">
      <c r="D78" s="46" t="s">
        <v>25</v>
      </c>
      <c r="E78" s="82">
        <f>E2</f>
        <v>44569</v>
      </c>
      <c r="F78" s="82">
        <f t="shared" ref="F78:BD78" si="16">F2</f>
        <v>44576</v>
      </c>
      <c r="G78" s="82">
        <f t="shared" si="16"/>
        <v>44583</v>
      </c>
      <c r="H78" s="82">
        <f t="shared" si="16"/>
        <v>44590</v>
      </c>
      <c r="I78" s="82">
        <f t="shared" si="16"/>
        <v>44597</v>
      </c>
      <c r="J78" s="82">
        <f t="shared" si="16"/>
        <v>44604</v>
      </c>
      <c r="K78" s="82">
        <f t="shared" si="16"/>
        <v>44611</v>
      </c>
      <c r="L78" s="82">
        <f t="shared" si="16"/>
        <v>44618</v>
      </c>
      <c r="M78" s="82">
        <f t="shared" si="16"/>
        <v>44625</v>
      </c>
      <c r="N78" s="82">
        <f t="shared" si="16"/>
        <v>44632</v>
      </c>
      <c r="O78" s="82">
        <f t="shared" si="16"/>
        <v>44639</v>
      </c>
      <c r="P78" s="82">
        <f t="shared" si="16"/>
        <v>44646</v>
      </c>
      <c r="Q78" s="82">
        <f t="shared" si="16"/>
        <v>44653</v>
      </c>
      <c r="R78" s="82">
        <f t="shared" si="16"/>
        <v>44660</v>
      </c>
      <c r="S78" s="82">
        <f t="shared" si="16"/>
        <v>44667</v>
      </c>
      <c r="T78" s="82">
        <f t="shared" si="16"/>
        <v>44674</v>
      </c>
      <c r="U78" s="82">
        <f t="shared" si="16"/>
        <v>44681</v>
      </c>
      <c r="V78" s="82">
        <f t="shared" si="16"/>
        <v>44688</v>
      </c>
      <c r="W78" s="82">
        <f t="shared" si="16"/>
        <v>44695</v>
      </c>
      <c r="X78" s="82">
        <f t="shared" si="16"/>
        <v>44702</v>
      </c>
      <c r="Y78" s="82">
        <f t="shared" si="16"/>
        <v>44709</v>
      </c>
      <c r="Z78" s="82">
        <f t="shared" si="16"/>
        <v>44716</v>
      </c>
      <c r="AA78" s="82">
        <f t="shared" si="16"/>
        <v>44723</v>
      </c>
      <c r="AB78" s="82">
        <f t="shared" si="16"/>
        <v>44730</v>
      </c>
      <c r="AC78" s="82">
        <f t="shared" si="16"/>
        <v>44737</v>
      </c>
      <c r="AD78" s="82">
        <f t="shared" si="16"/>
        <v>44744</v>
      </c>
      <c r="AE78" s="82">
        <f t="shared" si="16"/>
        <v>44751</v>
      </c>
      <c r="AF78" s="82">
        <f t="shared" si="16"/>
        <v>44758</v>
      </c>
      <c r="AG78" s="82">
        <f t="shared" si="16"/>
        <v>44765</v>
      </c>
      <c r="AH78" s="82">
        <f t="shared" si="16"/>
        <v>44772</v>
      </c>
      <c r="AI78" s="82">
        <f t="shared" si="16"/>
        <v>44779</v>
      </c>
      <c r="AJ78" s="82">
        <f t="shared" si="16"/>
        <v>44786</v>
      </c>
      <c r="AK78" s="82">
        <f t="shared" si="16"/>
        <v>44793</v>
      </c>
      <c r="AL78" s="82">
        <f t="shared" si="16"/>
        <v>44800</v>
      </c>
      <c r="AM78" s="82">
        <f t="shared" si="16"/>
        <v>44807</v>
      </c>
      <c r="AN78" s="82">
        <f t="shared" si="16"/>
        <v>44814</v>
      </c>
      <c r="AO78" s="82">
        <f t="shared" si="16"/>
        <v>44821</v>
      </c>
      <c r="AP78" s="82">
        <f t="shared" si="16"/>
        <v>44828</v>
      </c>
      <c r="AQ78" s="82">
        <f t="shared" si="16"/>
        <v>44835</v>
      </c>
      <c r="AR78" s="82">
        <f t="shared" si="16"/>
        <v>44842</v>
      </c>
      <c r="AS78" s="82">
        <f t="shared" si="16"/>
        <v>44849</v>
      </c>
      <c r="AT78" s="82">
        <f t="shared" si="16"/>
        <v>44856</v>
      </c>
      <c r="AU78" s="82">
        <f t="shared" si="16"/>
        <v>44863</v>
      </c>
      <c r="AV78" s="82">
        <f t="shared" si="16"/>
        <v>44870</v>
      </c>
      <c r="AW78" s="82">
        <f t="shared" si="16"/>
        <v>44877</v>
      </c>
      <c r="AX78" s="82">
        <f t="shared" si="16"/>
        <v>44884</v>
      </c>
      <c r="AY78" s="82">
        <f t="shared" si="16"/>
        <v>44891</v>
      </c>
      <c r="AZ78" s="82">
        <f t="shared" si="16"/>
        <v>44898</v>
      </c>
      <c r="BA78" s="82">
        <f t="shared" si="16"/>
        <v>44905</v>
      </c>
      <c r="BB78" s="82">
        <f t="shared" si="16"/>
        <v>44912</v>
      </c>
      <c r="BC78" s="82">
        <f t="shared" si="16"/>
        <v>44919</v>
      </c>
      <c r="BD78" s="82">
        <f t="shared" si="16"/>
        <v>44926</v>
      </c>
    </row>
    <row r="79" spans="3:56" x14ac:dyDescent="0.25">
      <c r="C79" s="105" t="s">
        <v>125</v>
      </c>
      <c r="D79" s="41" t="s">
        <v>27</v>
      </c>
      <c r="E79" s="70" t="str">
        <f>IF(EsteeNew!E79-EsteeOld!E79=0,"",EsteeNew!E79-EsteeOld!E79)</f>
        <v/>
      </c>
      <c r="F79" s="70" t="str">
        <f>IF(EsteeNew!F79-EsteeOld!F79=0,"",EsteeNew!F79-EsteeOld!F79)</f>
        <v/>
      </c>
      <c r="G79" s="70" t="str">
        <f>IF(EsteeNew!G79-EsteeOld!G79=0,"",EsteeNew!G79-EsteeOld!G79)</f>
        <v/>
      </c>
      <c r="H79" s="70" t="str">
        <f>IF(EsteeNew!H79-EsteeOld!H79=0,"",EsteeNew!H79-EsteeOld!H79)</f>
        <v/>
      </c>
      <c r="I79" s="70" t="str">
        <f>IF(EsteeNew!I79-EsteeOld!I79=0,"",EsteeNew!I79-EsteeOld!I79)</f>
        <v/>
      </c>
      <c r="J79" s="70" t="str">
        <f>IF(EsteeNew!J79-EsteeOld!J79=0,"",EsteeNew!J79-EsteeOld!J79)</f>
        <v/>
      </c>
      <c r="K79" s="70" t="str">
        <f>IF(EsteeNew!K79-EsteeOld!K79=0,"",EsteeNew!K79-EsteeOld!K79)</f>
        <v/>
      </c>
      <c r="L79" s="70" t="str">
        <f>IF(EsteeNew!L79-EsteeOld!L79=0,"",EsteeNew!L79-EsteeOld!L79)</f>
        <v/>
      </c>
      <c r="M79" s="70" t="str">
        <f>IF(EsteeNew!M79-EsteeOld!M79=0,"",EsteeNew!M79-EsteeOld!M79)</f>
        <v/>
      </c>
      <c r="N79" s="70" t="str">
        <f>IF(EsteeNew!N79-EsteeOld!N79=0,"",EsteeNew!N79-EsteeOld!N79)</f>
        <v/>
      </c>
      <c r="O79" s="70" t="str">
        <f>IF(EsteeNew!O79-EsteeOld!O79=0,"",EsteeNew!O79-EsteeOld!O79)</f>
        <v/>
      </c>
      <c r="P79" s="70" t="str">
        <f>IF(EsteeNew!P79-EsteeOld!P79=0,"",EsteeNew!P79-EsteeOld!P79)</f>
        <v/>
      </c>
      <c r="Q79" s="70" t="str">
        <f>IF(EsteeNew!Q79-EsteeOld!Q79=0,"",EsteeNew!Q79-EsteeOld!Q79)</f>
        <v/>
      </c>
      <c r="R79" s="70" t="str">
        <f>IF(EsteeNew!R79-EsteeOld!R79=0,"",EsteeNew!R79-EsteeOld!R79)</f>
        <v/>
      </c>
      <c r="S79" s="70" t="str">
        <f>IF(EsteeNew!S79-EsteeOld!S79=0,"",EsteeNew!S79-EsteeOld!S79)</f>
        <v/>
      </c>
      <c r="T79" s="70" t="str">
        <f>IF(EsteeNew!T79-EsteeOld!T79=0,"",EsteeNew!T79-EsteeOld!T79)</f>
        <v/>
      </c>
      <c r="U79" s="70" t="str">
        <f>IF(EsteeNew!U79-EsteeOld!U79=0,"",EsteeNew!U79-EsteeOld!U79)</f>
        <v/>
      </c>
      <c r="V79" s="70" t="str">
        <f>IF(EsteeNew!V79-EsteeOld!V79=0,"",EsteeNew!V79-EsteeOld!V79)</f>
        <v/>
      </c>
      <c r="W79" s="70" t="str">
        <f>IF(EsteeNew!W79-EsteeOld!W79=0,"",EsteeNew!W79-EsteeOld!W79)</f>
        <v/>
      </c>
      <c r="X79" s="70" t="str">
        <f>IF(EsteeNew!X79-EsteeOld!X79=0,"",EsteeNew!X79-EsteeOld!X79)</f>
        <v/>
      </c>
      <c r="Y79" s="70">
        <f>IF(EsteeNew!Y79-EsteeOld!Y79=0,"",EsteeNew!Y79-EsteeOld!Y79)</f>
        <v>-71.880000000000109</v>
      </c>
      <c r="Z79" s="70" t="str">
        <f>IF(EsteeNew!Z79-EsteeOld!Z79=0,"",EsteeNew!Z79-EsteeOld!Z79)</f>
        <v/>
      </c>
      <c r="AA79" s="70" t="str">
        <f>IF(EsteeNew!AA79-EsteeOld!AA79=0,"",EsteeNew!AA79-EsteeOld!AA79)</f>
        <v/>
      </c>
      <c r="AB79" s="70" t="str">
        <f>IF(EsteeNew!AB79-EsteeOld!AB79=0,"",EsteeNew!AB79-EsteeOld!AB79)</f>
        <v/>
      </c>
      <c r="AC79" s="70" t="str">
        <f>IF(EsteeNew!AC79-EsteeOld!AC79=0,"",EsteeNew!AC79-EsteeOld!AC79)</f>
        <v/>
      </c>
      <c r="AD79" s="70" t="str">
        <f>IF(EsteeNew!AD79-EsteeOld!AD79=0,"",EsteeNew!AD79-EsteeOld!AD79)</f>
        <v/>
      </c>
      <c r="AE79" s="70" t="str">
        <f>IF(EsteeNew!AE79-EsteeOld!AE79=0,"",EsteeNew!AE79-EsteeOld!AE79)</f>
        <v/>
      </c>
      <c r="AF79" s="70" t="str">
        <f>IF(EsteeNew!AF79-EsteeOld!AF79=0,"",EsteeNew!AF79-EsteeOld!AF79)</f>
        <v/>
      </c>
      <c r="AG79" s="70" t="str">
        <f>IF(EsteeNew!AG79-EsteeOld!AG79=0,"",EsteeNew!AG79-EsteeOld!AG79)</f>
        <v/>
      </c>
      <c r="AH79" s="70" t="str">
        <f>IF(EsteeNew!AH79-EsteeOld!AH79=0,"",EsteeNew!AH79-EsteeOld!AH79)</f>
        <v/>
      </c>
      <c r="AI79" s="70" t="str">
        <f>IF(EsteeNew!AI79-EsteeOld!AI79=0,"",EsteeNew!AI79-EsteeOld!AI79)</f>
        <v/>
      </c>
      <c r="AJ79" s="70" t="str">
        <f>IF(EsteeNew!AJ79-EsteeOld!AJ79=0,"",EsteeNew!AJ79-EsteeOld!AJ79)</f>
        <v/>
      </c>
      <c r="AK79" s="70" t="str">
        <f>IF(EsteeNew!AK79-EsteeOld!AK79=0,"",EsteeNew!AK79-EsteeOld!AK79)</f>
        <v/>
      </c>
      <c r="AL79" s="70" t="str">
        <f>IF(EsteeNew!AL79-EsteeOld!AL79=0,"",EsteeNew!AL79-EsteeOld!AL79)</f>
        <v/>
      </c>
      <c r="AM79" s="70" t="str">
        <f>IF(EsteeNew!AM79-EsteeOld!AM79=0,"",EsteeNew!AM79-EsteeOld!AM79)</f>
        <v/>
      </c>
      <c r="AN79" s="70" t="str">
        <f>IF(EsteeNew!AN79-EsteeOld!AN79=0,"",EsteeNew!AN79-EsteeOld!AN79)</f>
        <v/>
      </c>
      <c r="AO79" s="70" t="str">
        <f>IF(EsteeNew!AO79-EsteeOld!AO79=0,"",EsteeNew!AO79-EsteeOld!AO79)</f>
        <v/>
      </c>
      <c r="AP79" s="70" t="str">
        <f>IF(EsteeNew!AP79-EsteeOld!AP79=0,"",EsteeNew!AP79-EsteeOld!AP79)</f>
        <v/>
      </c>
      <c r="AQ79" s="70" t="str">
        <f>IF(EsteeNew!AQ79-EsteeOld!AQ79=0,"",EsteeNew!AQ79-EsteeOld!AQ79)</f>
        <v/>
      </c>
      <c r="AR79" s="70" t="str">
        <f>IF(EsteeNew!AR79-EsteeOld!AR79=0,"",EsteeNew!AR79-EsteeOld!AR79)</f>
        <v/>
      </c>
      <c r="AS79" s="70" t="str">
        <f>IF(EsteeNew!AS79-EsteeOld!AS79=0,"",EsteeNew!AS79-EsteeOld!AS79)</f>
        <v/>
      </c>
      <c r="AT79" s="70" t="str">
        <f>IF(EsteeNew!AT79-EsteeOld!AT79=0,"",EsteeNew!AT79-EsteeOld!AT79)</f>
        <v/>
      </c>
      <c r="AU79" s="70" t="str">
        <f>IF(EsteeNew!AU79-EsteeOld!AU79=0,"",EsteeNew!AU79-EsteeOld!AU79)</f>
        <v/>
      </c>
      <c r="AV79" s="70" t="str">
        <f>IF(EsteeNew!AV79-EsteeOld!AV79=0,"",EsteeNew!AV79-EsteeOld!AV79)</f>
        <v/>
      </c>
      <c r="AW79" s="70" t="str">
        <f>IF(EsteeNew!AW79-EsteeOld!AW79=0,"",EsteeNew!AW79-EsteeOld!AW79)</f>
        <v/>
      </c>
      <c r="AX79" s="70" t="str">
        <f>IF(EsteeNew!AX79-EsteeOld!AX79=0,"",EsteeNew!AX79-EsteeOld!AX79)</f>
        <v/>
      </c>
      <c r="AY79" s="70" t="str">
        <f>IF(EsteeNew!AY79-EsteeOld!AY79=0,"",EsteeNew!AY79-EsteeOld!AY79)</f>
        <v/>
      </c>
      <c r="AZ79" s="70" t="str">
        <f>IF(EsteeNew!AZ79-EsteeOld!AZ79=0,"",EsteeNew!AZ79-EsteeOld!AZ79)</f>
        <v/>
      </c>
      <c r="BA79" s="70" t="str">
        <f>IF(EsteeNew!BA79-EsteeOld!BA79=0,"",EsteeNew!BA79-EsteeOld!BA79)</f>
        <v/>
      </c>
      <c r="BB79" s="70" t="str">
        <f>IF(EsteeNew!BB79-EsteeOld!BB79=0,"",EsteeNew!BB79-EsteeOld!BB79)</f>
        <v/>
      </c>
      <c r="BC79" s="70" t="str">
        <f>IF(EsteeNew!BC79-EsteeOld!BC79=0,"",EsteeNew!BC79-EsteeOld!BC79)</f>
        <v/>
      </c>
      <c r="BD79" s="70" t="str">
        <f>IF(EsteeNew!BD79-EsteeOld!BD79=0,"",EsteeNew!BD79-EsteeOld!BD79)</f>
        <v/>
      </c>
    </row>
    <row r="80" spans="3:56" x14ac:dyDescent="0.25">
      <c r="C80" s="106"/>
      <c r="D80" s="41" t="s">
        <v>22</v>
      </c>
      <c r="E80" s="70" t="str">
        <f>IF(EsteeNew!E80-EsteeOld!E80=0,"",EsteeNew!E80-EsteeOld!E80)</f>
        <v/>
      </c>
      <c r="F80" s="70" t="str">
        <f>IF(EsteeNew!F80-EsteeOld!F80=0,"",EsteeNew!F80-EsteeOld!F80)</f>
        <v/>
      </c>
      <c r="G80" s="70" t="str">
        <f>IF(EsteeNew!G80-EsteeOld!G80=0,"",EsteeNew!G80-EsteeOld!G80)</f>
        <v/>
      </c>
      <c r="H80" s="70" t="str">
        <f>IF(EsteeNew!H80-EsteeOld!H80=0,"",EsteeNew!H80-EsteeOld!H80)</f>
        <v/>
      </c>
      <c r="I80" s="70" t="str">
        <f>IF(EsteeNew!I80-EsteeOld!I80=0,"",EsteeNew!I80-EsteeOld!I80)</f>
        <v/>
      </c>
      <c r="J80" s="70" t="str">
        <f>IF(EsteeNew!J80-EsteeOld!J80=0,"",EsteeNew!J80-EsteeOld!J80)</f>
        <v/>
      </c>
      <c r="K80" s="70" t="str">
        <f>IF(EsteeNew!K80-EsteeOld!K80=0,"",EsteeNew!K80-EsteeOld!K80)</f>
        <v/>
      </c>
      <c r="L80" s="70" t="str">
        <f>IF(EsteeNew!L80-EsteeOld!L80=0,"",EsteeNew!L80-EsteeOld!L80)</f>
        <v/>
      </c>
      <c r="M80" s="70" t="str">
        <f>IF(EsteeNew!M80-EsteeOld!M80=0,"",EsteeNew!M80-EsteeOld!M80)</f>
        <v/>
      </c>
      <c r="N80" s="70" t="str">
        <f>IF(EsteeNew!N80-EsteeOld!N80=0,"",EsteeNew!N80-EsteeOld!N80)</f>
        <v/>
      </c>
      <c r="O80" s="70" t="str">
        <f>IF(EsteeNew!O80-EsteeOld!O80=0,"",EsteeNew!O80-EsteeOld!O80)</f>
        <v/>
      </c>
      <c r="P80" s="70" t="str">
        <f>IF(EsteeNew!P80-EsteeOld!P80=0,"",EsteeNew!P80-EsteeOld!P80)</f>
        <v/>
      </c>
      <c r="Q80" s="70" t="str">
        <f>IF(EsteeNew!Q80-EsteeOld!Q80=0,"",EsteeNew!Q80-EsteeOld!Q80)</f>
        <v/>
      </c>
      <c r="R80" s="70" t="str">
        <f>IF(EsteeNew!R80-EsteeOld!R80=0,"",EsteeNew!R80-EsteeOld!R80)</f>
        <v/>
      </c>
      <c r="S80" s="70" t="str">
        <f>IF(EsteeNew!S80-EsteeOld!S80=0,"",EsteeNew!S80-EsteeOld!S80)</f>
        <v/>
      </c>
      <c r="T80" s="70" t="str">
        <f>IF(EsteeNew!T80-EsteeOld!T80=0,"",EsteeNew!T80-EsteeOld!T80)</f>
        <v/>
      </c>
      <c r="U80" s="70" t="str">
        <f>IF(EsteeNew!U80-EsteeOld!U80=0,"",EsteeNew!U80-EsteeOld!U80)</f>
        <v/>
      </c>
      <c r="V80" s="70" t="str">
        <f>IF(EsteeNew!V80-EsteeOld!V80=0,"",EsteeNew!V80-EsteeOld!V80)</f>
        <v/>
      </c>
      <c r="W80" s="70" t="str">
        <f>IF(EsteeNew!W80-EsteeOld!W80=0,"",EsteeNew!W80-EsteeOld!W80)</f>
        <v/>
      </c>
      <c r="X80" s="70" t="str">
        <f>IF(EsteeNew!X80-EsteeOld!X80=0,"",EsteeNew!X80-EsteeOld!X80)</f>
        <v/>
      </c>
      <c r="Y80" s="70">
        <f>IF(EsteeNew!Y80-EsteeOld!Y80=0,"",EsteeNew!Y80-EsteeOld!Y80)</f>
        <v>-4.9757623538257576</v>
      </c>
      <c r="Z80" s="70" t="str">
        <f>IF(EsteeNew!Z80-EsteeOld!Z80=0,"",EsteeNew!Z80-EsteeOld!Z80)</f>
        <v/>
      </c>
      <c r="AA80" s="70" t="str">
        <f>IF(EsteeNew!AA80-EsteeOld!AA80=0,"",EsteeNew!AA80-EsteeOld!AA80)</f>
        <v/>
      </c>
      <c r="AB80" s="70" t="str">
        <f>IF(EsteeNew!AB80-EsteeOld!AB80=0,"",EsteeNew!AB80-EsteeOld!AB80)</f>
        <v/>
      </c>
      <c r="AC80" s="70" t="str">
        <f>IF(EsteeNew!AC80-EsteeOld!AC80=0,"",EsteeNew!AC80-EsteeOld!AC80)</f>
        <v/>
      </c>
      <c r="AD80" s="70" t="str">
        <f>IF(EsteeNew!AD80-EsteeOld!AD80=0,"",EsteeNew!AD80-EsteeOld!AD80)</f>
        <v/>
      </c>
      <c r="AE80" s="70" t="str">
        <f>IF(EsteeNew!AE80-EsteeOld!AE80=0,"",EsteeNew!AE80-EsteeOld!AE80)</f>
        <v/>
      </c>
      <c r="AF80" s="70" t="str">
        <f>IF(EsteeNew!AF80-EsteeOld!AF80=0,"",EsteeNew!AF80-EsteeOld!AF80)</f>
        <v/>
      </c>
      <c r="AG80" s="70" t="str">
        <f>IF(EsteeNew!AG80-EsteeOld!AG80=0,"",EsteeNew!AG80-EsteeOld!AG80)</f>
        <v/>
      </c>
      <c r="AH80" s="70" t="str">
        <f>IF(EsteeNew!AH80-EsteeOld!AH80=0,"",EsteeNew!AH80-EsteeOld!AH80)</f>
        <v/>
      </c>
      <c r="AI80" s="70" t="str">
        <f>IF(EsteeNew!AI80-EsteeOld!AI80=0,"",EsteeNew!AI80-EsteeOld!AI80)</f>
        <v/>
      </c>
      <c r="AJ80" s="70" t="str">
        <f>IF(EsteeNew!AJ80-EsteeOld!AJ80=0,"",EsteeNew!AJ80-EsteeOld!AJ80)</f>
        <v/>
      </c>
      <c r="AK80" s="70" t="str">
        <f>IF(EsteeNew!AK80-EsteeOld!AK80=0,"",EsteeNew!AK80-EsteeOld!AK80)</f>
        <v/>
      </c>
      <c r="AL80" s="70" t="str">
        <f>IF(EsteeNew!AL80-EsteeOld!AL80=0,"",EsteeNew!AL80-EsteeOld!AL80)</f>
        <v/>
      </c>
      <c r="AM80" s="70" t="str">
        <f>IF(EsteeNew!AM80-EsteeOld!AM80=0,"",EsteeNew!AM80-EsteeOld!AM80)</f>
        <v/>
      </c>
      <c r="AN80" s="70" t="str">
        <f>IF(EsteeNew!AN80-EsteeOld!AN80=0,"",EsteeNew!AN80-EsteeOld!AN80)</f>
        <v/>
      </c>
      <c r="AO80" s="70" t="str">
        <f>IF(EsteeNew!AO80-EsteeOld!AO80=0,"",EsteeNew!AO80-EsteeOld!AO80)</f>
        <v/>
      </c>
      <c r="AP80" s="70" t="str">
        <f>IF(EsteeNew!AP80-EsteeOld!AP80=0,"",EsteeNew!AP80-EsteeOld!AP80)</f>
        <v/>
      </c>
      <c r="AQ80" s="70" t="str">
        <f>IF(EsteeNew!AQ80-EsteeOld!AQ80=0,"",EsteeNew!AQ80-EsteeOld!AQ80)</f>
        <v/>
      </c>
      <c r="AR80" s="70" t="str">
        <f>IF(EsteeNew!AR80-EsteeOld!AR80=0,"",EsteeNew!AR80-EsteeOld!AR80)</f>
        <v/>
      </c>
      <c r="AS80" s="70" t="str">
        <f>IF(EsteeNew!AS80-EsteeOld!AS80=0,"",EsteeNew!AS80-EsteeOld!AS80)</f>
        <v/>
      </c>
      <c r="AT80" s="70" t="str">
        <f>IF(EsteeNew!AT80-EsteeOld!AT80=0,"",EsteeNew!AT80-EsteeOld!AT80)</f>
        <v/>
      </c>
      <c r="AU80" s="70" t="str">
        <f>IF(EsteeNew!AU80-EsteeOld!AU80=0,"",EsteeNew!AU80-EsteeOld!AU80)</f>
        <v/>
      </c>
      <c r="AV80" s="70" t="str">
        <f>IF(EsteeNew!AV80-EsteeOld!AV80=0,"",EsteeNew!AV80-EsteeOld!AV80)</f>
        <v/>
      </c>
      <c r="AW80" s="70" t="str">
        <f>IF(EsteeNew!AW80-EsteeOld!AW80=0,"",EsteeNew!AW80-EsteeOld!AW80)</f>
        <v/>
      </c>
      <c r="AX80" s="70" t="str">
        <f>IF(EsteeNew!AX80-EsteeOld!AX80=0,"",EsteeNew!AX80-EsteeOld!AX80)</f>
        <v/>
      </c>
      <c r="AY80" s="70" t="str">
        <f>IF(EsteeNew!AY80-EsteeOld!AY80=0,"",EsteeNew!AY80-EsteeOld!AY80)</f>
        <v/>
      </c>
      <c r="AZ80" s="70" t="str">
        <f>IF(EsteeNew!AZ80-EsteeOld!AZ80=0,"",EsteeNew!AZ80-EsteeOld!AZ80)</f>
        <v/>
      </c>
      <c r="BA80" s="70" t="str">
        <f>IF(EsteeNew!BA80-EsteeOld!BA80=0,"",EsteeNew!BA80-EsteeOld!BA80)</f>
        <v/>
      </c>
      <c r="BB80" s="70" t="str">
        <f>IF(EsteeNew!BB80-EsteeOld!BB80=0,"",EsteeNew!BB80-EsteeOld!BB80)</f>
        <v/>
      </c>
      <c r="BC80" s="70" t="str">
        <f>IF(EsteeNew!BC80-EsteeOld!BC80=0,"",EsteeNew!BC80-EsteeOld!BC80)</f>
        <v/>
      </c>
      <c r="BD80" s="70" t="str">
        <f>IF(EsteeNew!BD80-EsteeOld!BD80=0,"",EsteeNew!BD80-EsteeOld!BD80)</f>
        <v/>
      </c>
    </row>
    <row r="81" spans="3:56" x14ac:dyDescent="0.25">
      <c r="C81" s="106"/>
      <c r="D81" s="41" t="s">
        <v>23</v>
      </c>
      <c r="E81" s="68" t="str">
        <f>IF(EsteeNew!E81-EsteeOld!E81=0,"",EsteeNew!E81-EsteeOld!E81)</f>
        <v/>
      </c>
      <c r="F81" s="68" t="str">
        <f>IF(EsteeNew!F81-EsteeOld!F81=0,"",EsteeNew!F81-EsteeOld!F81)</f>
        <v/>
      </c>
      <c r="G81" s="68" t="str">
        <f>IF(EsteeNew!G81-EsteeOld!G81=0,"",EsteeNew!G81-EsteeOld!G81)</f>
        <v/>
      </c>
      <c r="H81" s="68" t="str">
        <f>IF(EsteeNew!H81-EsteeOld!H81=0,"",EsteeNew!H81-EsteeOld!H81)</f>
        <v/>
      </c>
      <c r="I81" s="68" t="str">
        <f>IF(EsteeNew!I81-EsteeOld!I81=0,"",EsteeNew!I81-EsteeOld!I81)</f>
        <v/>
      </c>
      <c r="J81" s="68" t="str">
        <f>IF(EsteeNew!J81-EsteeOld!J81=0,"",EsteeNew!J81-EsteeOld!J81)</f>
        <v/>
      </c>
      <c r="K81" s="68" t="str">
        <f>IF(EsteeNew!K81-EsteeOld!K81=0,"",EsteeNew!K81-EsteeOld!K81)</f>
        <v/>
      </c>
      <c r="L81" s="68" t="str">
        <f>IF(EsteeNew!L81-EsteeOld!L81=0,"",EsteeNew!L81-EsteeOld!L81)</f>
        <v/>
      </c>
      <c r="M81" s="68" t="str">
        <f>IF(EsteeNew!M81-EsteeOld!M81=0,"",EsteeNew!M81-EsteeOld!M81)</f>
        <v/>
      </c>
      <c r="N81" s="68" t="str">
        <f>IF(EsteeNew!N81-EsteeOld!N81=0,"",EsteeNew!N81-EsteeOld!N81)</f>
        <v/>
      </c>
      <c r="O81" s="68" t="str">
        <f>IF(EsteeNew!O81-EsteeOld!O81=0,"",EsteeNew!O81-EsteeOld!O81)</f>
        <v/>
      </c>
      <c r="P81" s="68" t="str">
        <f>IF(EsteeNew!P81-EsteeOld!P81=0,"",EsteeNew!P81-EsteeOld!P81)</f>
        <v/>
      </c>
      <c r="Q81" s="68" t="str">
        <f>IF(EsteeNew!Q81-EsteeOld!Q81=0,"",EsteeNew!Q81-EsteeOld!Q81)</f>
        <v/>
      </c>
      <c r="R81" s="68" t="str">
        <f>IF(EsteeNew!R81-EsteeOld!R81=0,"",EsteeNew!R81-EsteeOld!R81)</f>
        <v/>
      </c>
      <c r="S81" s="68" t="str">
        <f>IF(EsteeNew!S81-EsteeOld!S81=0,"",EsteeNew!S81-EsteeOld!S81)</f>
        <v/>
      </c>
      <c r="T81" s="68" t="str">
        <f>IF(EsteeNew!T81-EsteeOld!T81=0,"",EsteeNew!T81-EsteeOld!T81)</f>
        <v/>
      </c>
      <c r="U81" s="68" t="str">
        <f>IF(EsteeNew!U81-EsteeOld!U81=0,"",EsteeNew!U81-EsteeOld!U81)</f>
        <v/>
      </c>
      <c r="V81" s="68" t="str">
        <f>IF(EsteeNew!V81-EsteeOld!V81=0,"",EsteeNew!V81-EsteeOld!V81)</f>
        <v/>
      </c>
      <c r="W81" s="68" t="str">
        <f>IF(EsteeNew!W81-EsteeOld!W81=0,"",EsteeNew!W81-EsteeOld!W81)</f>
        <v/>
      </c>
      <c r="X81" s="68" t="str">
        <f>IF(EsteeNew!X81-EsteeOld!X81=0,"",EsteeNew!X81-EsteeOld!X81)</f>
        <v/>
      </c>
      <c r="Y81" s="68" t="str">
        <f>IF(EsteeNew!Y81-EsteeOld!Y81=0,"",EsteeNew!Y81-EsteeOld!Y81)</f>
        <v/>
      </c>
      <c r="Z81" s="68" t="str">
        <f>IF(EsteeNew!Z81-EsteeOld!Z81=0,"",EsteeNew!Z81-EsteeOld!Z81)</f>
        <v/>
      </c>
      <c r="AA81" s="68" t="str">
        <f>IF(EsteeNew!AA81-EsteeOld!AA81=0,"",EsteeNew!AA81-EsteeOld!AA81)</f>
        <v/>
      </c>
      <c r="AB81" s="68" t="str">
        <f>IF(EsteeNew!AB81-EsteeOld!AB81=0,"",EsteeNew!AB81-EsteeOld!AB81)</f>
        <v/>
      </c>
      <c r="AC81" s="68" t="str">
        <f>IF(EsteeNew!AC81-EsteeOld!AC81=0,"",EsteeNew!AC81-EsteeOld!AC81)</f>
        <v/>
      </c>
      <c r="AD81" s="68" t="str">
        <f>IF(EsteeNew!AD81-EsteeOld!AD81=0,"",EsteeNew!AD81-EsteeOld!AD81)</f>
        <v/>
      </c>
      <c r="AE81" s="68" t="str">
        <f>IF(EsteeNew!AE81-EsteeOld!AE81=0,"",EsteeNew!AE81-EsteeOld!AE81)</f>
        <v/>
      </c>
      <c r="AF81" s="68" t="str">
        <f>IF(EsteeNew!AF81-EsteeOld!AF81=0,"",EsteeNew!AF81-EsteeOld!AF81)</f>
        <v/>
      </c>
      <c r="AG81" s="68" t="str">
        <f>IF(EsteeNew!AG81-EsteeOld!AG81=0,"",EsteeNew!AG81-EsteeOld!AG81)</f>
        <v/>
      </c>
      <c r="AH81" s="68" t="str">
        <f>IF(EsteeNew!AH81-EsteeOld!AH81=0,"",EsteeNew!AH81-EsteeOld!AH81)</f>
        <v/>
      </c>
      <c r="AI81" s="68" t="str">
        <f>IF(EsteeNew!AI81-EsteeOld!AI81=0,"",EsteeNew!AI81-EsteeOld!AI81)</f>
        <v/>
      </c>
      <c r="AJ81" s="68" t="str">
        <f>IF(EsteeNew!AJ81-EsteeOld!AJ81=0,"",EsteeNew!AJ81-EsteeOld!AJ81)</f>
        <v/>
      </c>
      <c r="AK81" s="68" t="str">
        <f>IF(EsteeNew!AK81-EsteeOld!AK81=0,"",EsteeNew!AK81-EsteeOld!AK81)</f>
        <v/>
      </c>
      <c r="AL81" s="68" t="str">
        <f>IF(EsteeNew!AL81-EsteeOld!AL81=0,"",EsteeNew!AL81-EsteeOld!AL81)</f>
        <v/>
      </c>
      <c r="AM81" s="68" t="str">
        <f>IF(EsteeNew!AM81-EsteeOld!AM81=0,"",EsteeNew!AM81-EsteeOld!AM81)</f>
        <v/>
      </c>
      <c r="AN81" s="68" t="str">
        <f>IF(EsteeNew!AN81-EsteeOld!AN81=0,"",EsteeNew!AN81-EsteeOld!AN81)</f>
        <v/>
      </c>
      <c r="AO81" s="68" t="str">
        <f>IF(EsteeNew!AO81-EsteeOld!AO81=0,"",EsteeNew!AO81-EsteeOld!AO81)</f>
        <v/>
      </c>
      <c r="AP81" s="68" t="str">
        <f>IF(EsteeNew!AP81-EsteeOld!AP81=0,"",EsteeNew!AP81-EsteeOld!AP81)</f>
        <v/>
      </c>
      <c r="AQ81" s="68" t="str">
        <f>IF(EsteeNew!AQ81-EsteeOld!AQ81=0,"",EsteeNew!AQ81-EsteeOld!AQ81)</f>
        <v/>
      </c>
      <c r="AR81" s="68" t="str">
        <f>IF(EsteeNew!AR81-EsteeOld!AR81=0,"",EsteeNew!AR81-EsteeOld!AR81)</f>
        <v/>
      </c>
      <c r="AS81" s="68" t="str">
        <f>IF(EsteeNew!AS81-EsteeOld!AS81=0,"",EsteeNew!AS81-EsteeOld!AS81)</f>
        <v/>
      </c>
      <c r="AT81" s="68" t="str">
        <f>IF(EsteeNew!AT81-EsteeOld!AT81=0,"",EsteeNew!AT81-EsteeOld!AT81)</f>
        <v/>
      </c>
      <c r="AU81" s="68" t="str">
        <f>IF(EsteeNew!AU81-EsteeOld!AU81=0,"",EsteeNew!AU81-EsteeOld!AU81)</f>
        <v/>
      </c>
      <c r="AV81" s="68" t="str">
        <f>IF(EsteeNew!AV81-EsteeOld!AV81=0,"",EsteeNew!AV81-EsteeOld!AV81)</f>
        <v/>
      </c>
      <c r="AW81" s="68" t="str">
        <f>IF(EsteeNew!AW81-EsteeOld!AW81=0,"",EsteeNew!AW81-EsteeOld!AW81)</f>
        <v/>
      </c>
      <c r="AX81" s="68" t="str">
        <f>IF(EsteeNew!AX81-EsteeOld!AX81=0,"",EsteeNew!AX81-EsteeOld!AX81)</f>
        <v/>
      </c>
      <c r="AY81" s="68" t="str">
        <f>IF(EsteeNew!AY81-EsteeOld!AY81=0,"",EsteeNew!AY81-EsteeOld!AY81)</f>
        <v/>
      </c>
      <c r="AZ81" s="68" t="str">
        <f>IF(EsteeNew!AZ81-EsteeOld!AZ81=0,"",EsteeNew!AZ81-EsteeOld!AZ81)</f>
        <v/>
      </c>
      <c r="BA81" s="68" t="str">
        <f>IF(EsteeNew!BA81-EsteeOld!BA81=0,"",EsteeNew!BA81-EsteeOld!BA81)</f>
        <v/>
      </c>
      <c r="BB81" s="68" t="str">
        <f>IF(EsteeNew!BB81-EsteeOld!BB81=0,"",EsteeNew!BB81-EsteeOld!BB81)</f>
        <v/>
      </c>
      <c r="BC81" s="68" t="str">
        <f>IF(EsteeNew!BC81-EsteeOld!BC81=0,"",EsteeNew!BC81-EsteeOld!BC81)</f>
        <v/>
      </c>
      <c r="BD81" s="68" t="str">
        <f>IF(EsteeNew!BD81-EsteeOld!BD81=0,"",EsteeNew!BD81-EsteeOld!BD81)</f>
        <v/>
      </c>
    </row>
    <row r="82" spans="3:56" x14ac:dyDescent="0.25">
      <c r="C82" s="106"/>
      <c r="D82" s="41" t="s">
        <v>26</v>
      </c>
      <c r="E82" s="68" t="str">
        <f>IF(EsteeNew!E82-EsteeOld!E82=0,"",EsteeNew!E82-EsteeOld!E82)</f>
        <v/>
      </c>
      <c r="F82" s="68" t="str">
        <f>IF(EsteeNew!F82-EsteeOld!F82=0,"",EsteeNew!F82-EsteeOld!F82)</f>
        <v/>
      </c>
      <c r="G82" s="68" t="str">
        <f>IF(EsteeNew!G82-EsteeOld!G82=0,"",EsteeNew!G82-EsteeOld!G82)</f>
        <v/>
      </c>
      <c r="H82" s="68" t="str">
        <f>IF(EsteeNew!H82-EsteeOld!H82=0,"",EsteeNew!H82-EsteeOld!H82)</f>
        <v/>
      </c>
      <c r="I82" s="68" t="str">
        <f>IF(EsteeNew!I82-EsteeOld!I82=0,"",EsteeNew!I82-EsteeOld!I82)</f>
        <v/>
      </c>
      <c r="J82" s="68" t="str">
        <f>IF(EsteeNew!J82-EsteeOld!J82=0,"",EsteeNew!J82-EsteeOld!J82)</f>
        <v/>
      </c>
      <c r="K82" s="68" t="str">
        <f>IF(EsteeNew!K82-EsteeOld!K82=0,"",EsteeNew!K82-EsteeOld!K82)</f>
        <v/>
      </c>
      <c r="L82" s="68" t="str">
        <f>IF(EsteeNew!L82-EsteeOld!L82=0,"",EsteeNew!L82-EsteeOld!L82)</f>
        <v/>
      </c>
      <c r="M82" s="68" t="str">
        <f>IF(EsteeNew!M82-EsteeOld!M82=0,"",EsteeNew!M82-EsteeOld!M82)</f>
        <v/>
      </c>
      <c r="N82" s="68" t="str">
        <f>IF(EsteeNew!N82-EsteeOld!N82=0,"",EsteeNew!N82-EsteeOld!N82)</f>
        <v/>
      </c>
      <c r="O82" s="68" t="str">
        <f>IF(EsteeNew!O82-EsteeOld!O82=0,"",EsteeNew!O82-EsteeOld!O82)</f>
        <v/>
      </c>
      <c r="P82" s="68" t="str">
        <f>IF(EsteeNew!P82-EsteeOld!P82=0,"",EsteeNew!P82-EsteeOld!P82)</f>
        <v/>
      </c>
      <c r="Q82" s="68" t="str">
        <f>IF(EsteeNew!Q82-EsteeOld!Q82=0,"",EsteeNew!Q82-EsteeOld!Q82)</f>
        <v/>
      </c>
      <c r="R82" s="68" t="str">
        <f>IF(EsteeNew!R82-EsteeOld!R82=0,"",EsteeNew!R82-EsteeOld!R82)</f>
        <v/>
      </c>
      <c r="S82" s="68" t="str">
        <f>IF(EsteeNew!S82-EsteeOld!S82=0,"",EsteeNew!S82-EsteeOld!S82)</f>
        <v/>
      </c>
      <c r="T82" s="68" t="str">
        <f>IF(EsteeNew!T82-EsteeOld!T82=0,"",EsteeNew!T82-EsteeOld!T82)</f>
        <v/>
      </c>
      <c r="U82" s="68" t="str">
        <f>IF(EsteeNew!U82-EsteeOld!U82=0,"",EsteeNew!U82-EsteeOld!U82)</f>
        <v/>
      </c>
      <c r="V82" s="68" t="str">
        <f>IF(EsteeNew!V82-EsteeOld!V82=0,"",EsteeNew!V82-EsteeOld!V82)</f>
        <v/>
      </c>
      <c r="W82" s="68" t="str">
        <f>IF(EsteeNew!W82-EsteeOld!W82=0,"",EsteeNew!W82-EsteeOld!W82)</f>
        <v/>
      </c>
      <c r="X82" s="68" t="str">
        <f>IF(EsteeNew!X82-EsteeOld!X82=0,"",EsteeNew!X82-EsteeOld!X82)</f>
        <v/>
      </c>
      <c r="Y82" s="68" t="str">
        <f>IF(EsteeNew!Y82-EsteeOld!Y82=0,"",EsteeNew!Y82-EsteeOld!Y82)</f>
        <v/>
      </c>
      <c r="Z82" s="68" t="str">
        <f>IF(EsteeNew!Z82-EsteeOld!Z82=0,"",EsteeNew!Z82-EsteeOld!Z82)</f>
        <v/>
      </c>
      <c r="AA82" s="68" t="str">
        <f>IF(EsteeNew!AA82-EsteeOld!AA82=0,"",EsteeNew!AA82-EsteeOld!AA82)</f>
        <v/>
      </c>
      <c r="AB82" s="68" t="str">
        <f>IF(EsteeNew!AB82-EsteeOld!AB82=0,"",EsteeNew!AB82-EsteeOld!AB82)</f>
        <v/>
      </c>
      <c r="AC82" s="68" t="str">
        <f>IF(EsteeNew!AC82-EsteeOld!AC82=0,"",EsteeNew!AC82-EsteeOld!AC82)</f>
        <v/>
      </c>
      <c r="AD82" s="68" t="str">
        <f>IF(EsteeNew!AD82-EsteeOld!AD82=0,"",EsteeNew!AD82-EsteeOld!AD82)</f>
        <v/>
      </c>
      <c r="AE82" s="68" t="str">
        <f>IF(EsteeNew!AE82-EsteeOld!AE82=0,"",EsteeNew!AE82-EsteeOld!AE82)</f>
        <v/>
      </c>
      <c r="AF82" s="68" t="str">
        <f>IF(EsteeNew!AF82-EsteeOld!AF82=0,"",EsteeNew!AF82-EsteeOld!AF82)</f>
        <v/>
      </c>
      <c r="AG82" s="68" t="str">
        <f>IF(EsteeNew!AG82-EsteeOld!AG82=0,"",EsteeNew!AG82-EsteeOld!AG82)</f>
        <v/>
      </c>
      <c r="AH82" s="68" t="str">
        <f>IF(EsteeNew!AH82-EsteeOld!AH82=0,"",EsteeNew!AH82-EsteeOld!AH82)</f>
        <v/>
      </c>
      <c r="AI82" s="68" t="str">
        <f>IF(EsteeNew!AI82-EsteeOld!AI82=0,"",EsteeNew!AI82-EsteeOld!AI82)</f>
        <v/>
      </c>
      <c r="AJ82" s="68" t="str">
        <f>IF(EsteeNew!AJ82-EsteeOld!AJ82=0,"",EsteeNew!AJ82-EsteeOld!AJ82)</f>
        <v/>
      </c>
      <c r="AK82" s="68" t="str">
        <f>IF(EsteeNew!AK82-EsteeOld!AK82=0,"",EsteeNew!AK82-EsteeOld!AK82)</f>
        <v/>
      </c>
      <c r="AL82" s="68" t="str">
        <f>IF(EsteeNew!AL82-EsteeOld!AL82=0,"",EsteeNew!AL82-EsteeOld!AL82)</f>
        <v/>
      </c>
      <c r="AM82" s="68" t="str">
        <f>IF(EsteeNew!AM82-EsteeOld!AM82=0,"",EsteeNew!AM82-EsteeOld!AM82)</f>
        <v/>
      </c>
      <c r="AN82" s="68" t="str">
        <f>IF(EsteeNew!AN82-EsteeOld!AN82=0,"",EsteeNew!AN82-EsteeOld!AN82)</f>
        <v/>
      </c>
      <c r="AO82" s="68" t="str">
        <f>IF(EsteeNew!AO82-EsteeOld!AO82=0,"",EsteeNew!AO82-EsteeOld!AO82)</f>
        <v/>
      </c>
      <c r="AP82" s="68" t="str">
        <f>IF(EsteeNew!AP82-EsteeOld!AP82=0,"",EsteeNew!AP82-EsteeOld!AP82)</f>
        <v/>
      </c>
      <c r="AQ82" s="68" t="str">
        <f>IF(EsteeNew!AQ82-EsteeOld!AQ82=0,"",EsteeNew!AQ82-EsteeOld!AQ82)</f>
        <v/>
      </c>
      <c r="AR82" s="68" t="str">
        <f>IF(EsteeNew!AR82-EsteeOld!AR82=0,"",EsteeNew!AR82-EsteeOld!AR82)</f>
        <v/>
      </c>
      <c r="AS82" s="68" t="str">
        <f>IF(EsteeNew!AS82-EsteeOld!AS82=0,"",EsteeNew!AS82-EsteeOld!AS82)</f>
        <v/>
      </c>
      <c r="AT82" s="68" t="str">
        <f>IF(EsteeNew!AT82-EsteeOld!AT82=0,"",EsteeNew!AT82-EsteeOld!AT82)</f>
        <v/>
      </c>
      <c r="AU82" s="68" t="str">
        <f>IF(EsteeNew!AU82-EsteeOld!AU82=0,"",EsteeNew!AU82-EsteeOld!AU82)</f>
        <v/>
      </c>
      <c r="AV82" s="68" t="str">
        <f>IF(EsteeNew!AV82-EsteeOld!AV82=0,"",EsteeNew!AV82-EsteeOld!AV82)</f>
        <v/>
      </c>
      <c r="AW82" s="68" t="str">
        <f>IF(EsteeNew!AW82-EsteeOld!AW82=0,"",EsteeNew!AW82-EsteeOld!AW82)</f>
        <v/>
      </c>
      <c r="AX82" s="68" t="str">
        <f>IF(EsteeNew!AX82-EsteeOld!AX82=0,"",EsteeNew!AX82-EsteeOld!AX82)</f>
        <v/>
      </c>
      <c r="AY82" s="68" t="str">
        <f>IF(EsteeNew!AY82-EsteeOld!AY82=0,"",EsteeNew!AY82-EsteeOld!AY82)</f>
        <v/>
      </c>
      <c r="AZ82" s="68" t="str">
        <f>IF(EsteeNew!AZ82-EsteeOld!AZ82=0,"",EsteeNew!AZ82-EsteeOld!AZ82)</f>
        <v/>
      </c>
      <c r="BA82" s="68" t="str">
        <f>IF(EsteeNew!BA82-EsteeOld!BA82=0,"",EsteeNew!BA82-EsteeOld!BA82)</f>
        <v/>
      </c>
      <c r="BB82" s="68" t="str">
        <f>IF(EsteeNew!BB82-EsteeOld!BB82=0,"",EsteeNew!BB82-EsteeOld!BB82)</f>
        <v/>
      </c>
      <c r="BC82" s="68" t="str">
        <f>IF(EsteeNew!BC82-EsteeOld!BC82=0,"",EsteeNew!BC82-EsteeOld!BC82)</f>
        <v/>
      </c>
      <c r="BD82" s="68" t="str">
        <f>IF(EsteeNew!BD82-EsteeOld!BD82=0,"",EsteeNew!BD82-EsteeOld!BD82)</f>
        <v/>
      </c>
    </row>
    <row r="83" spans="3:56" x14ac:dyDescent="0.25">
      <c r="C83" s="106"/>
      <c r="D83" s="41" t="s">
        <v>28</v>
      </c>
      <c r="E83" s="65" t="str">
        <f>IF(EsteeNew!E83-EsteeOld!E83=0,"",EsteeNew!E83-EsteeOld!E83)</f>
        <v/>
      </c>
      <c r="F83" s="65" t="str">
        <f>IF(EsteeNew!F83-EsteeOld!F83=0,"",EsteeNew!F83-EsteeOld!F83)</f>
        <v/>
      </c>
      <c r="G83" s="65" t="str">
        <f>IF(EsteeNew!G83-EsteeOld!G83=0,"",EsteeNew!G83-EsteeOld!G83)</f>
        <v/>
      </c>
      <c r="H83" s="65" t="str">
        <f>IF(EsteeNew!H83-EsteeOld!H83=0,"",EsteeNew!H83-EsteeOld!H83)</f>
        <v/>
      </c>
      <c r="I83" s="65" t="str">
        <f>IF(EsteeNew!I83-EsteeOld!I83=0,"",EsteeNew!I83-EsteeOld!I83)</f>
        <v/>
      </c>
      <c r="J83" s="65" t="str">
        <f>IF(EsteeNew!J83-EsteeOld!J83=0,"",EsteeNew!J83-EsteeOld!J83)</f>
        <v/>
      </c>
      <c r="K83" s="65" t="str">
        <f>IF(EsteeNew!K83-EsteeOld!K83=0,"",EsteeNew!K83-EsteeOld!K83)</f>
        <v/>
      </c>
      <c r="L83" s="65" t="str">
        <f>IF(EsteeNew!L83-EsteeOld!L83=0,"",EsteeNew!L83-EsteeOld!L83)</f>
        <v/>
      </c>
      <c r="M83" s="65" t="str">
        <f>IF(EsteeNew!M83-EsteeOld!M83=0,"",EsteeNew!M83-EsteeOld!M83)</f>
        <v/>
      </c>
      <c r="N83" s="65" t="str">
        <f>IF(EsteeNew!N83-EsteeOld!N83=0,"",EsteeNew!N83-EsteeOld!N83)</f>
        <v/>
      </c>
      <c r="O83" s="65" t="str">
        <f>IF(EsteeNew!O83-EsteeOld!O83=0,"",EsteeNew!O83-EsteeOld!O83)</f>
        <v/>
      </c>
      <c r="P83" s="65" t="str">
        <f>IF(EsteeNew!P83-EsteeOld!P83=0,"",EsteeNew!P83-EsteeOld!P83)</f>
        <v/>
      </c>
      <c r="Q83" s="65" t="str">
        <f>IF(EsteeNew!Q83-EsteeOld!Q83=0,"",EsteeNew!Q83-EsteeOld!Q83)</f>
        <v/>
      </c>
      <c r="R83" s="65" t="str">
        <f>IF(EsteeNew!R83-EsteeOld!R83=0,"",EsteeNew!R83-EsteeOld!R83)</f>
        <v/>
      </c>
      <c r="S83" s="65" t="str">
        <f>IF(EsteeNew!S83-EsteeOld!S83=0,"",EsteeNew!S83-EsteeOld!S83)</f>
        <v/>
      </c>
      <c r="T83" s="65" t="str">
        <f>IF(EsteeNew!T83-EsteeOld!T83=0,"",EsteeNew!T83-EsteeOld!T83)</f>
        <v/>
      </c>
      <c r="U83" s="65" t="str">
        <f>IF(EsteeNew!U83-EsteeOld!U83=0,"",EsteeNew!U83-EsteeOld!U83)</f>
        <v/>
      </c>
      <c r="V83" s="65" t="str">
        <f>IF(EsteeNew!V83-EsteeOld!V83=0,"",EsteeNew!V83-EsteeOld!V83)</f>
        <v/>
      </c>
      <c r="W83" s="65" t="str">
        <f>IF(EsteeNew!W83-EsteeOld!W83=0,"",EsteeNew!W83-EsteeOld!W83)</f>
        <v/>
      </c>
      <c r="X83" s="65" t="str">
        <f>IF(EsteeNew!X83-EsteeOld!X83=0,"",EsteeNew!X83-EsteeOld!X83)</f>
        <v/>
      </c>
      <c r="Y83" s="65" t="str">
        <f>IF(EsteeNew!Y83-EsteeOld!Y83=0,"",EsteeNew!Y83-EsteeOld!Y83)</f>
        <v/>
      </c>
      <c r="Z83" s="65" t="str">
        <f>IF(EsteeNew!Z83-EsteeOld!Z83=0,"",EsteeNew!Z83-EsteeOld!Z83)</f>
        <v/>
      </c>
      <c r="AA83" s="65" t="str">
        <f>IF(EsteeNew!AA83-EsteeOld!AA83=0,"",EsteeNew!AA83-EsteeOld!AA83)</f>
        <v/>
      </c>
      <c r="AB83" s="65" t="str">
        <f>IF(EsteeNew!AB83-EsteeOld!AB83=0,"",EsteeNew!AB83-EsteeOld!AB83)</f>
        <v/>
      </c>
      <c r="AC83" s="65" t="str">
        <f>IF(EsteeNew!AC83-EsteeOld!AC83=0,"",EsteeNew!AC83-EsteeOld!AC83)</f>
        <v/>
      </c>
      <c r="AD83" s="65" t="str">
        <f>IF(EsteeNew!AD83-EsteeOld!AD83=0,"",EsteeNew!AD83-EsteeOld!AD83)</f>
        <v/>
      </c>
      <c r="AE83" s="65" t="str">
        <f>IF(EsteeNew!AE83-EsteeOld!AE83=0,"",EsteeNew!AE83-EsteeOld!AE83)</f>
        <v/>
      </c>
      <c r="AF83" s="65" t="str">
        <f>IF(EsteeNew!AF83-EsteeOld!AF83=0,"",EsteeNew!AF83-EsteeOld!AF83)</f>
        <v/>
      </c>
      <c r="AG83" s="65" t="str">
        <f>IF(EsteeNew!AG83-EsteeOld!AG83=0,"",EsteeNew!AG83-EsteeOld!AG83)</f>
        <v/>
      </c>
      <c r="AH83" s="65" t="str">
        <f>IF(EsteeNew!AH83-EsteeOld!AH83=0,"",EsteeNew!AH83-EsteeOld!AH83)</f>
        <v/>
      </c>
      <c r="AI83" s="65" t="str">
        <f>IF(EsteeNew!AI83-EsteeOld!AI83=0,"",EsteeNew!AI83-EsteeOld!AI83)</f>
        <v/>
      </c>
      <c r="AJ83" s="65" t="str">
        <f>IF(EsteeNew!AJ83-EsteeOld!AJ83=0,"",EsteeNew!AJ83-EsteeOld!AJ83)</f>
        <v/>
      </c>
      <c r="AK83" s="65" t="str">
        <f>IF(EsteeNew!AK83-EsteeOld!AK83=0,"",EsteeNew!AK83-EsteeOld!AK83)</f>
        <v/>
      </c>
      <c r="AL83" s="65" t="str">
        <f>IF(EsteeNew!AL83-EsteeOld!AL83=0,"",EsteeNew!AL83-EsteeOld!AL83)</f>
        <v/>
      </c>
      <c r="AM83" s="65" t="str">
        <f>IF(EsteeNew!AM83-EsteeOld!AM83=0,"",EsteeNew!AM83-EsteeOld!AM83)</f>
        <v/>
      </c>
      <c r="AN83" s="65" t="str">
        <f>IF(EsteeNew!AN83-EsteeOld!AN83=0,"",EsteeNew!AN83-EsteeOld!AN83)</f>
        <v/>
      </c>
      <c r="AO83" s="65" t="str">
        <f>IF(EsteeNew!AO83-EsteeOld!AO83=0,"",EsteeNew!AO83-EsteeOld!AO83)</f>
        <v/>
      </c>
      <c r="AP83" s="65" t="str">
        <f>IF(EsteeNew!AP83-EsteeOld!AP83=0,"",EsteeNew!AP83-EsteeOld!AP83)</f>
        <v/>
      </c>
      <c r="AQ83" s="65" t="str">
        <f>IF(EsteeNew!AQ83-EsteeOld!AQ83=0,"",EsteeNew!AQ83-EsteeOld!AQ83)</f>
        <v/>
      </c>
      <c r="AR83" s="65" t="str">
        <f>IF(EsteeNew!AR83-EsteeOld!AR83=0,"",EsteeNew!AR83-EsteeOld!AR83)</f>
        <v/>
      </c>
      <c r="AS83" s="65" t="str">
        <f>IF(EsteeNew!AS83-EsteeOld!AS83=0,"",EsteeNew!AS83-EsteeOld!AS83)</f>
        <v/>
      </c>
      <c r="AT83" s="65" t="str">
        <f>IF(EsteeNew!AT83-EsteeOld!AT83=0,"",EsteeNew!AT83-EsteeOld!AT83)</f>
        <v/>
      </c>
      <c r="AU83" s="65" t="str">
        <f>IF(EsteeNew!AU83-EsteeOld!AU83=0,"",EsteeNew!AU83-EsteeOld!AU83)</f>
        <v/>
      </c>
      <c r="AV83" s="65" t="str">
        <f>IF(EsteeNew!AV83-EsteeOld!AV83=0,"",EsteeNew!AV83-EsteeOld!AV83)</f>
        <v/>
      </c>
      <c r="AW83" s="65" t="str">
        <f>IF(EsteeNew!AW83-EsteeOld!AW83=0,"",EsteeNew!AW83-EsteeOld!AW83)</f>
        <v/>
      </c>
      <c r="AX83" s="65" t="str">
        <f>IF(EsteeNew!AX83-EsteeOld!AX83=0,"",EsteeNew!AX83-EsteeOld!AX83)</f>
        <v/>
      </c>
      <c r="AY83" s="65" t="str">
        <f>IF(EsteeNew!AY83-EsteeOld!AY83=0,"",EsteeNew!AY83-EsteeOld!AY83)</f>
        <v/>
      </c>
      <c r="AZ83" s="65" t="str">
        <f>IF(EsteeNew!AZ83-EsteeOld!AZ83=0,"",EsteeNew!AZ83-EsteeOld!AZ83)</f>
        <v/>
      </c>
      <c r="BA83" s="65" t="str">
        <f>IF(EsteeNew!BA83-EsteeOld!BA83=0,"",EsteeNew!BA83-EsteeOld!BA83)</f>
        <v/>
      </c>
      <c r="BB83" s="65" t="str">
        <f>IF(EsteeNew!BB83-EsteeOld!BB83=0,"",EsteeNew!BB83-EsteeOld!BB83)</f>
        <v/>
      </c>
      <c r="BC83" s="65" t="str">
        <f>IF(EsteeNew!BC83-EsteeOld!BC83=0,"",EsteeNew!BC83-EsteeOld!BC83)</f>
        <v/>
      </c>
      <c r="BD83" s="65" t="str">
        <f>IF(EsteeNew!BD83-EsteeOld!BD83=0,"",EsteeNew!BD83-EsteeOld!BD83)</f>
        <v/>
      </c>
    </row>
    <row r="84" spans="3:56" x14ac:dyDescent="0.25">
      <c r="C84" s="106"/>
      <c r="D84" s="41" t="s">
        <v>29</v>
      </c>
      <c r="E84" s="65" t="str">
        <f>IF(EsteeNew!E84-EsteeOld!E84=0,"",EsteeNew!E84-EsteeOld!E84)</f>
        <v/>
      </c>
      <c r="F84" s="65" t="str">
        <f>IF(EsteeNew!F84-EsteeOld!F84=0,"",EsteeNew!F84-EsteeOld!F84)</f>
        <v/>
      </c>
      <c r="G84" s="65" t="str">
        <f>IF(EsteeNew!G84-EsteeOld!G84=0,"",EsteeNew!G84-EsteeOld!G84)</f>
        <v/>
      </c>
      <c r="H84" s="65" t="str">
        <f>IF(EsteeNew!H84-EsteeOld!H84=0,"",EsteeNew!H84-EsteeOld!H84)</f>
        <v/>
      </c>
      <c r="I84" s="65" t="str">
        <f>IF(EsteeNew!I84-EsteeOld!I84=0,"",EsteeNew!I84-EsteeOld!I84)</f>
        <v/>
      </c>
      <c r="J84" s="65" t="str">
        <f>IF(EsteeNew!J84-EsteeOld!J84=0,"",EsteeNew!J84-EsteeOld!J84)</f>
        <v/>
      </c>
      <c r="K84" s="65" t="str">
        <f>IF(EsteeNew!K84-EsteeOld!K84=0,"",EsteeNew!K84-EsteeOld!K84)</f>
        <v/>
      </c>
      <c r="L84" s="65" t="str">
        <f>IF(EsteeNew!L84-EsteeOld!L84=0,"",EsteeNew!L84-EsteeOld!L84)</f>
        <v/>
      </c>
      <c r="M84" s="65" t="str">
        <f>IF(EsteeNew!M84-EsteeOld!M84=0,"",EsteeNew!M84-EsteeOld!M84)</f>
        <v/>
      </c>
      <c r="N84" s="65" t="str">
        <f>IF(EsteeNew!N84-EsteeOld!N84=0,"",EsteeNew!N84-EsteeOld!N84)</f>
        <v/>
      </c>
      <c r="O84" s="65" t="str">
        <f>IF(EsteeNew!O84-EsteeOld!O84=0,"",EsteeNew!O84-EsteeOld!O84)</f>
        <v/>
      </c>
      <c r="P84" s="65" t="str">
        <f>IF(EsteeNew!P84-EsteeOld!P84=0,"",EsteeNew!P84-EsteeOld!P84)</f>
        <v/>
      </c>
      <c r="Q84" s="65" t="str">
        <f>IF(EsteeNew!Q84-EsteeOld!Q84=0,"",EsteeNew!Q84-EsteeOld!Q84)</f>
        <v/>
      </c>
      <c r="R84" s="65" t="str">
        <f>IF(EsteeNew!R84-EsteeOld!R84=0,"",EsteeNew!R84-EsteeOld!R84)</f>
        <v/>
      </c>
      <c r="S84" s="65" t="str">
        <f>IF(EsteeNew!S84-EsteeOld!S84=0,"",EsteeNew!S84-EsteeOld!S84)</f>
        <v/>
      </c>
      <c r="T84" s="65" t="str">
        <f>IF(EsteeNew!T84-EsteeOld!T84=0,"",EsteeNew!T84-EsteeOld!T84)</f>
        <v/>
      </c>
      <c r="U84" s="65" t="str">
        <f>IF(EsteeNew!U84-EsteeOld!U84=0,"",EsteeNew!U84-EsteeOld!U84)</f>
        <v/>
      </c>
      <c r="V84" s="65" t="str">
        <f>IF(EsteeNew!V84-EsteeOld!V84=0,"",EsteeNew!V84-EsteeOld!V84)</f>
        <v/>
      </c>
      <c r="W84" s="65" t="str">
        <f>IF(EsteeNew!W84-EsteeOld!W84=0,"",EsteeNew!W84-EsteeOld!W84)</f>
        <v/>
      </c>
      <c r="X84" s="65" t="str">
        <f>IF(EsteeNew!X84-EsteeOld!X84=0,"",EsteeNew!X84-EsteeOld!X84)</f>
        <v/>
      </c>
      <c r="Y84" s="65" t="str">
        <f>IF(EsteeNew!Y84-EsteeOld!Y84=0,"",EsteeNew!Y84-EsteeOld!Y84)</f>
        <v/>
      </c>
      <c r="Z84" s="65" t="str">
        <f>IF(EsteeNew!Z84-EsteeOld!Z84=0,"",EsteeNew!Z84-EsteeOld!Z84)</f>
        <v/>
      </c>
      <c r="AA84" s="65" t="str">
        <f>IF(EsteeNew!AA84-EsteeOld!AA84=0,"",EsteeNew!AA84-EsteeOld!AA84)</f>
        <v/>
      </c>
      <c r="AB84" s="65" t="str">
        <f>IF(EsteeNew!AB84-EsteeOld!AB84=0,"",EsteeNew!AB84-EsteeOld!AB84)</f>
        <v/>
      </c>
      <c r="AC84" s="65" t="str">
        <f>IF(EsteeNew!AC84-EsteeOld!AC84=0,"",EsteeNew!AC84-EsteeOld!AC84)</f>
        <v/>
      </c>
      <c r="AD84" s="65" t="str">
        <f>IF(EsteeNew!AD84-EsteeOld!AD84=0,"",EsteeNew!AD84-EsteeOld!AD84)</f>
        <v/>
      </c>
      <c r="AE84" s="65" t="str">
        <f>IF(EsteeNew!AE84-EsteeOld!AE84=0,"",EsteeNew!AE84-EsteeOld!AE84)</f>
        <v/>
      </c>
      <c r="AF84" s="65" t="str">
        <f>IF(EsteeNew!AF84-EsteeOld!AF84=0,"",EsteeNew!AF84-EsteeOld!AF84)</f>
        <v/>
      </c>
      <c r="AG84" s="65" t="str">
        <f>IF(EsteeNew!AG84-EsteeOld!AG84=0,"",EsteeNew!AG84-EsteeOld!AG84)</f>
        <v/>
      </c>
      <c r="AH84" s="65" t="str">
        <f>IF(EsteeNew!AH84-EsteeOld!AH84=0,"",EsteeNew!AH84-EsteeOld!AH84)</f>
        <v/>
      </c>
      <c r="AI84" s="65" t="str">
        <f>IF(EsteeNew!AI84-EsteeOld!AI84=0,"",EsteeNew!AI84-EsteeOld!AI84)</f>
        <v/>
      </c>
      <c r="AJ84" s="65" t="str">
        <f>IF(EsteeNew!AJ84-EsteeOld!AJ84=0,"",EsteeNew!AJ84-EsteeOld!AJ84)</f>
        <v/>
      </c>
      <c r="AK84" s="65" t="str">
        <f>IF(EsteeNew!AK84-EsteeOld!AK84=0,"",EsteeNew!AK84-EsteeOld!AK84)</f>
        <v/>
      </c>
      <c r="AL84" s="65" t="str">
        <f>IF(EsteeNew!AL84-EsteeOld!AL84=0,"",EsteeNew!AL84-EsteeOld!AL84)</f>
        <v/>
      </c>
      <c r="AM84" s="65" t="str">
        <f>IF(EsteeNew!AM84-EsteeOld!AM84=0,"",EsteeNew!AM84-EsteeOld!AM84)</f>
        <v/>
      </c>
      <c r="AN84" s="65" t="str">
        <f>IF(EsteeNew!AN84-EsteeOld!AN84=0,"",EsteeNew!AN84-EsteeOld!AN84)</f>
        <v/>
      </c>
      <c r="AO84" s="65" t="str">
        <f>IF(EsteeNew!AO84-EsteeOld!AO84=0,"",EsteeNew!AO84-EsteeOld!AO84)</f>
        <v/>
      </c>
      <c r="AP84" s="65" t="str">
        <f>IF(EsteeNew!AP84-EsteeOld!AP84=0,"",EsteeNew!AP84-EsteeOld!AP84)</f>
        <v/>
      </c>
      <c r="AQ84" s="65" t="str">
        <f>IF(EsteeNew!AQ84-EsteeOld!AQ84=0,"",EsteeNew!AQ84-EsteeOld!AQ84)</f>
        <v/>
      </c>
      <c r="AR84" s="65" t="str">
        <f>IF(EsteeNew!AR84-EsteeOld!AR84=0,"",EsteeNew!AR84-EsteeOld!AR84)</f>
        <v/>
      </c>
      <c r="AS84" s="65" t="str">
        <f>IF(EsteeNew!AS84-EsteeOld!AS84=0,"",EsteeNew!AS84-EsteeOld!AS84)</f>
        <v/>
      </c>
      <c r="AT84" s="65" t="str">
        <f>IF(EsteeNew!AT84-EsteeOld!AT84=0,"",EsteeNew!AT84-EsteeOld!AT84)</f>
        <v/>
      </c>
      <c r="AU84" s="65" t="str">
        <f>IF(EsteeNew!AU84-EsteeOld!AU84=0,"",EsteeNew!AU84-EsteeOld!AU84)</f>
        <v/>
      </c>
      <c r="AV84" s="65" t="str">
        <f>IF(EsteeNew!AV84-EsteeOld!AV84=0,"",EsteeNew!AV84-EsteeOld!AV84)</f>
        <v/>
      </c>
      <c r="AW84" s="65" t="str">
        <f>IF(EsteeNew!AW84-EsteeOld!AW84=0,"",EsteeNew!AW84-EsteeOld!AW84)</f>
        <v/>
      </c>
      <c r="AX84" s="65" t="str">
        <f>IF(EsteeNew!AX84-EsteeOld!AX84=0,"",EsteeNew!AX84-EsteeOld!AX84)</f>
        <v/>
      </c>
      <c r="AY84" s="65" t="str">
        <f>IF(EsteeNew!AY84-EsteeOld!AY84=0,"",EsteeNew!AY84-EsteeOld!AY84)</f>
        <v/>
      </c>
      <c r="AZ84" s="65" t="str">
        <f>IF(EsteeNew!AZ84-EsteeOld!AZ84=0,"",EsteeNew!AZ84-EsteeOld!AZ84)</f>
        <v/>
      </c>
      <c r="BA84" s="65" t="str">
        <f>IF(EsteeNew!BA84-EsteeOld!BA84=0,"",EsteeNew!BA84-EsteeOld!BA84)</f>
        <v/>
      </c>
      <c r="BB84" s="65" t="str">
        <f>IF(EsteeNew!BB84-EsteeOld!BB84=0,"",EsteeNew!BB84-EsteeOld!BB84)</f>
        <v/>
      </c>
      <c r="BC84" s="65" t="str">
        <f>IF(EsteeNew!BC84-EsteeOld!BC84=0,"",EsteeNew!BC84-EsteeOld!BC84)</f>
        <v/>
      </c>
      <c r="BD84" s="65" t="str">
        <f>IF(EsteeNew!BD84-EsteeOld!BD84=0,"",EsteeNew!BD84-EsteeOld!BD84)</f>
        <v/>
      </c>
    </row>
    <row r="85" spans="3:56" x14ac:dyDescent="0.25">
      <c r="C85" s="106"/>
      <c r="D85" s="41" t="s">
        <v>33</v>
      </c>
      <c r="E85" s="83" t="str">
        <f>IF(EsteeNew!E85-EsteeOld!E85=0,"",EsteeNew!E85-EsteeOld!E85)</f>
        <v/>
      </c>
      <c r="F85" s="83" t="str">
        <f>IF(EsteeNew!F85-EsteeOld!F85=0,"",EsteeNew!F85-EsteeOld!F85)</f>
        <v/>
      </c>
      <c r="G85" s="83" t="str">
        <f>IF(EsteeNew!G85-EsteeOld!G85=0,"",EsteeNew!G85-EsteeOld!G85)</f>
        <v/>
      </c>
      <c r="H85" s="83" t="str">
        <f>IF(EsteeNew!H85-EsteeOld!H85=0,"",EsteeNew!H85-EsteeOld!H85)</f>
        <v/>
      </c>
      <c r="I85" s="83" t="str">
        <f>IF(EsteeNew!I85-EsteeOld!I85=0,"",EsteeNew!I85-EsteeOld!I85)</f>
        <v/>
      </c>
      <c r="J85" s="83" t="str">
        <f>IF(EsteeNew!J85-EsteeOld!J85=0,"",EsteeNew!J85-EsteeOld!J85)</f>
        <v/>
      </c>
      <c r="K85" s="83" t="str">
        <f>IF(EsteeNew!K85-EsteeOld!K85=0,"",EsteeNew!K85-EsteeOld!K85)</f>
        <v/>
      </c>
      <c r="L85" s="83" t="str">
        <f>IF(EsteeNew!L85-EsteeOld!L85=0,"",EsteeNew!L85-EsteeOld!L85)</f>
        <v/>
      </c>
      <c r="M85" s="83" t="str">
        <f>IF(EsteeNew!M85-EsteeOld!M85=0,"",EsteeNew!M85-EsteeOld!M85)</f>
        <v/>
      </c>
      <c r="N85" s="83" t="str">
        <f>IF(EsteeNew!N85-EsteeOld!N85=0,"",EsteeNew!N85-EsteeOld!N85)</f>
        <v/>
      </c>
      <c r="O85" s="83" t="str">
        <f>IF(EsteeNew!O85-EsteeOld!O85=0,"",EsteeNew!O85-EsteeOld!O85)</f>
        <v/>
      </c>
      <c r="P85" s="83" t="str">
        <f>IF(EsteeNew!P85-EsteeOld!P85=0,"",EsteeNew!P85-EsteeOld!P85)</f>
        <v/>
      </c>
      <c r="Q85" s="83" t="str">
        <f>IF(EsteeNew!Q85-EsteeOld!Q85=0,"",EsteeNew!Q85-EsteeOld!Q85)</f>
        <v/>
      </c>
      <c r="R85" s="83" t="str">
        <f>IF(EsteeNew!R85-EsteeOld!R85=0,"",EsteeNew!R85-EsteeOld!R85)</f>
        <v/>
      </c>
      <c r="S85" s="83" t="str">
        <f>IF(EsteeNew!S85-EsteeOld!S85=0,"",EsteeNew!S85-EsteeOld!S85)</f>
        <v/>
      </c>
      <c r="T85" s="83" t="str">
        <f>IF(EsteeNew!T85-EsteeOld!T85=0,"",EsteeNew!T85-EsteeOld!T85)</f>
        <v/>
      </c>
      <c r="U85" s="83" t="str">
        <f>IF(EsteeNew!U85-EsteeOld!U85=0,"",EsteeNew!U85-EsteeOld!U85)</f>
        <v/>
      </c>
      <c r="V85" s="83" t="str">
        <f>IF(EsteeNew!V85-EsteeOld!V85=0,"",EsteeNew!V85-EsteeOld!V85)</f>
        <v/>
      </c>
      <c r="W85" s="83" t="str">
        <f>IF(EsteeNew!W85-EsteeOld!W85=0,"",EsteeNew!W85-EsteeOld!W85)</f>
        <v/>
      </c>
      <c r="X85" s="83" t="str">
        <f>IF(EsteeNew!X85-EsteeOld!X85=0,"",EsteeNew!X85-EsteeOld!X85)</f>
        <v/>
      </c>
      <c r="Y85" s="83">
        <f>IF(EsteeNew!Y85-EsteeOld!Y85=0,"",EsteeNew!Y85-EsteeOld!Y85)</f>
        <v>-0.76794871794871611</v>
      </c>
      <c r="Z85" s="83" t="str">
        <f>IF(EsteeNew!Z85-EsteeOld!Z85=0,"",EsteeNew!Z85-EsteeOld!Z85)</f>
        <v/>
      </c>
      <c r="AA85" s="83" t="str">
        <f>IF(EsteeNew!AA85-EsteeOld!AA85=0,"",EsteeNew!AA85-EsteeOld!AA85)</f>
        <v/>
      </c>
      <c r="AB85" s="83" t="str">
        <f>IF(EsteeNew!AB85-EsteeOld!AB85=0,"",EsteeNew!AB85-EsteeOld!AB85)</f>
        <v/>
      </c>
      <c r="AC85" s="83" t="str">
        <f>IF(EsteeNew!AC85-EsteeOld!AC85=0,"",EsteeNew!AC85-EsteeOld!AC85)</f>
        <v/>
      </c>
      <c r="AD85" s="83" t="str">
        <f>IF(EsteeNew!AD85-EsteeOld!AD85=0,"",EsteeNew!AD85-EsteeOld!AD85)</f>
        <v/>
      </c>
      <c r="AE85" s="83" t="str">
        <f>IF(EsteeNew!AE85-EsteeOld!AE85=0,"",EsteeNew!AE85-EsteeOld!AE85)</f>
        <v/>
      </c>
      <c r="AF85" s="83" t="str">
        <f>IF(EsteeNew!AF85-EsteeOld!AF85=0,"",EsteeNew!AF85-EsteeOld!AF85)</f>
        <v/>
      </c>
      <c r="AG85" s="83" t="str">
        <f>IF(EsteeNew!AG85-EsteeOld!AG85=0,"",EsteeNew!AG85-EsteeOld!AG85)</f>
        <v/>
      </c>
      <c r="AH85" s="83" t="str">
        <f>IF(EsteeNew!AH85-EsteeOld!AH85=0,"",EsteeNew!AH85-EsteeOld!AH85)</f>
        <v/>
      </c>
      <c r="AI85" s="83" t="str">
        <f>IF(EsteeNew!AI85-EsteeOld!AI85=0,"",EsteeNew!AI85-EsteeOld!AI85)</f>
        <v/>
      </c>
      <c r="AJ85" s="83" t="str">
        <f>IF(EsteeNew!AJ85-EsteeOld!AJ85=0,"",EsteeNew!AJ85-EsteeOld!AJ85)</f>
        <v/>
      </c>
      <c r="AK85" s="83" t="str">
        <f>IF(EsteeNew!AK85-EsteeOld!AK85=0,"",EsteeNew!AK85-EsteeOld!AK85)</f>
        <v/>
      </c>
      <c r="AL85" s="83" t="str">
        <f>IF(EsteeNew!AL85-EsteeOld!AL85=0,"",EsteeNew!AL85-EsteeOld!AL85)</f>
        <v/>
      </c>
      <c r="AM85" s="83" t="str">
        <f>IF(EsteeNew!AM85-EsteeOld!AM85=0,"",EsteeNew!AM85-EsteeOld!AM85)</f>
        <v/>
      </c>
      <c r="AN85" s="83" t="str">
        <f>IF(EsteeNew!AN85-EsteeOld!AN85=0,"",EsteeNew!AN85-EsteeOld!AN85)</f>
        <v/>
      </c>
      <c r="AO85" s="83" t="str">
        <f>IF(EsteeNew!AO85-EsteeOld!AO85=0,"",EsteeNew!AO85-EsteeOld!AO85)</f>
        <v/>
      </c>
      <c r="AP85" s="83" t="str">
        <f>IF(EsteeNew!AP85-EsteeOld!AP85=0,"",EsteeNew!AP85-EsteeOld!AP85)</f>
        <v/>
      </c>
      <c r="AQ85" s="83" t="str">
        <f>IF(EsteeNew!AQ85-EsteeOld!AQ85=0,"",EsteeNew!AQ85-EsteeOld!AQ85)</f>
        <v/>
      </c>
      <c r="AR85" s="83" t="str">
        <f>IF(EsteeNew!AR85-EsteeOld!AR85=0,"",EsteeNew!AR85-EsteeOld!AR85)</f>
        <v/>
      </c>
      <c r="AS85" s="83" t="str">
        <f>IF(EsteeNew!AS85-EsteeOld!AS85=0,"",EsteeNew!AS85-EsteeOld!AS85)</f>
        <v/>
      </c>
      <c r="AT85" s="83" t="str">
        <f>IF(EsteeNew!AT85-EsteeOld!AT85=0,"",EsteeNew!AT85-EsteeOld!AT85)</f>
        <v/>
      </c>
      <c r="AU85" s="83" t="str">
        <f>IF(EsteeNew!AU85-EsteeOld!AU85=0,"",EsteeNew!AU85-EsteeOld!AU85)</f>
        <v/>
      </c>
      <c r="AV85" s="83" t="str">
        <f>IF(EsteeNew!AV85-EsteeOld!AV85=0,"",EsteeNew!AV85-EsteeOld!AV85)</f>
        <v/>
      </c>
      <c r="AW85" s="83" t="str">
        <f>IF(EsteeNew!AW85-EsteeOld!AW85=0,"",EsteeNew!AW85-EsteeOld!AW85)</f>
        <v/>
      </c>
      <c r="AX85" s="83" t="str">
        <f>IF(EsteeNew!AX85-EsteeOld!AX85=0,"",EsteeNew!AX85-EsteeOld!AX85)</f>
        <v/>
      </c>
      <c r="AY85" s="83" t="str">
        <f>IF(EsteeNew!AY85-EsteeOld!AY85=0,"",EsteeNew!AY85-EsteeOld!AY85)</f>
        <v/>
      </c>
      <c r="AZ85" s="83" t="str">
        <f>IF(EsteeNew!AZ85-EsteeOld!AZ85=0,"",EsteeNew!AZ85-EsteeOld!AZ85)</f>
        <v/>
      </c>
      <c r="BA85" s="83" t="str">
        <f>IF(EsteeNew!BA85-EsteeOld!BA85=0,"",EsteeNew!BA85-EsteeOld!BA85)</f>
        <v/>
      </c>
      <c r="BB85" s="83" t="str">
        <f>IF(EsteeNew!BB85-EsteeOld!BB85=0,"",EsteeNew!BB85-EsteeOld!BB85)</f>
        <v/>
      </c>
      <c r="BC85" s="83" t="str">
        <f>IF(EsteeNew!BC85-EsteeOld!BC85=0,"",EsteeNew!BC85-EsteeOld!BC85)</f>
        <v/>
      </c>
      <c r="BD85" s="83" t="str">
        <f>IF(EsteeNew!BD85-EsteeOld!BD85=0,"",EsteeNew!BD85-EsteeOld!BD85)</f>
        <v/>
      </c>
    </row>
    <row r="86" spans="3:56" x14ac:dyDescent="0.25">
      <c r="C86" s="106"/>
      <c r="E86" s="45"/>
      <c r="F86" s="45"/>
      <c r="G86" s="45"/>
      <c r="H86" s="45"/>
      <c r="I86" s="45"/>
      <c r="J86" s="45"/>
      <c r="K86" s="45"/>
      <c r="L86" s="45"/>
      <c r="M86" s="45"/>
    </row>
    <row r="87" spans="3:56" x14ac:dyDescent="0.25">
      <c r="C87" s="106"/>
      <c r="D87" s="49" t="s">
        <v>34</v>
      </c>
      <c r="E87" s="65" t="str">
        <f>IF(EsteeNew!E87-EsteeOld!E87=0,"",EsteeNew!E87-EsteeOld!E87)</f>
        <v/>
      </c>
      <c r="F87" s="65" t="str">
        <f>IF(EsteeNew!F87-EsteeOld!F87=0,"",EsteeNew!F87-EsteeOld!F87)</f>
        <v/>
      </c>
      <c r="G87" s="65" t="str">
        <f>IF(EsteeNew!G87-EsteeOld!G87=0,"",EsteeNew!G87-EsteeOld!G87)</f>
        <v/>
      </c>
      <c r="H87" s="65" t="str">
        <f>IF(EsteeNew!H87-EsteeOld!H87=0,"",EsteeNew!H87-EsteeOld!H87)</f>
        <v/>
      </c>
      <c r="I87" s="65" t="str">
        <f>IF(EsteeNew!I87-EsteeOld!I87=0,"",EsteeNew!I87-EsteeOld!I87)</f>
        <v/>
      </c>
      <c r="J87" s="65" t="str">
        <f>IF(EsteeNew!J87-EsteeOld!J87=0,"",EsteeNew!J87-EsteeOld!J87)</f>
        <v/>
      </c>
      <c r="K87" s="65" t="str">
        <f>IF(EsteeNew!K87-EsteeOld!K87=0,"",EsteeNew!K87-EsteeOld!K87)</f>
        <v/>
      </c>
      <c r="L87" s="65" t="str">
        <f>IF(EsteeNew!L87-EsteeOld!L87=0,"",EsteeNew!L87-EsteeOld!L87)</f>
        <v/>
      </c>
      <c r="M87" s="65" t="str">
        <f>IF(EsteeNew!M87-EsteeOld!M87=0,"",EsteeNew!M87-EsteeOld!M87)</f>
        <v/>
      </c>
      <c r="N87" s="65" t="str">
        <f>IF(EsteeNew!N87-EsteeOld!N87=0,"",EsteeNew!N87-EsteeOld!N87)</f>
        <v/>
      </c>
      <c r="O87" s="65" t="str">
        <f>IF(EsteeNew!O87-EsteeOld!O87=0,"",EsteeNew!O87-EsteeOld!O87)</f>
        <v/>
      </c>
      <c r="P87" s="65" t="str">
        <f>IF(EsteeNew!P87-EsteeOld!P87=0,"",EsteeNew!P87-EsteeOld!P87)</f>
        <v/>
      </c>
      <c r="Q87" s="65" t="str">
        <f>IF(EsteeNew!Q87-EsteeOld!Q87=0,"",EsteeNew!Q87-EsteeOld!Q87)</f>
        <v/>
      </c>
      <c r="R87" s="65" t="str">
        <f>IF(EsteeNew!R87-EsteeOld!R87=0,"",EsteeNew!R87-EsteeOld!R87)</f>
        <v/>
      </c>
      <c r="S87" s="65" t="str">
        <f>IF(EsteeNew!S87-EsteeOld!S87=0,"",EsteeNew!S87-EsteeOld!S87)</f>
        <v/>
      </c>
      <c r="T87" s="65" t="str">
        <f>IF(EsteeNew!T87-EsteeOld!T87=0,"",EsteeNew!T87-EsteeOld!T87)</f>
        <v/>
      </c>
      <c r="U87" s="65" t="str">
        <f>IF(EsteeNew!U87-EsteeOld!U87=0,"",EsteeNew!U87-EsteeOld!U87)</f>
        <v/>
      </c>
      <c r="V87" s="65" t="str">
        <f>IF(EsteeNew!V87-EsteeOld!V87=0,"",EsteeNew!V87-EsteeOld!V87)</f>
        <v/>
      </c>
      <c r="W87" s="65" t="str">
        <f>IF(EsteeNew!W87-EsteeOld!W87=0,"",EsteeNew!W87-EsteeOld!W87)</f>
        <v/>
      </c>
      <c r="X87" s="65" t="str">
        <f>IF(EsteeNew!X87-EsteeOld!X87=0,"",EsteeNew!X87-EsteeOld!X87)</f>
        <v/>
      </c>
      <c r="Y87" s="65" t="str">
        <f>IF(EsteeNew!Y87-EsteeOld!Y87=0,"",EsteeNew!Y87-EsteeOld!Y87)</f>
        <v/>
      </c>
      <c r="Z87" s="65" t="str">
        <f>IF(EsteeNew!Z87-EsteeOld!Z87=0,"",EsteeNew!Z87-EsteeOld!Z87)</f>
        <v/>
      </c>
      <c r="AA87" s="65" t="str">
        <f>IF(EsteeNew!AA87-EsteeOld!AA87=0,"",EsteeNew!AA87-EsteeOld!AA87)</f>
        <v/>
      </c>
      <c r="AB87" s="65" t="str">
        <f>IF(EsteeNew!AB87-EsteeOld!AB87=0,"",EsteeNew!AB87-EsteeOld!AB87)</f>
        <v/>
      </c>
      <c r="AC87" s="65" t="str">
        <f>IF(EsteeNew!AC87-EsteeOld!AC87=0,"",EsteeNew!AC87-EsteeOld!AC87)</f>
        <v/>
      </c>
      <c r="AD87" s="65" t="str">
        <f>IF(EsteeNew!AD87-EsteeOld!AD87=0,"",EsteeNew!AD87-EsteeOld!AD87)</f>
        <v/>
      </c>
      <c r="AE87" s="65" t="str">
        <f>IF(EsteeNew!AE87-EsteeOld!AE87=0,"",EsteeNew!AE87-EsteeOld!AE87)</f>
        <v/>
      </c>
      <c r="AF87" s="65" t="str">
        <f>IF(EsteeNew!AF87-EsteeOld!AF87=0,"",EsteeNew!AF87-EsteeOld!AF87)</f>
        <v/>
      </c>
      <c r="AG87" s="65" t="str">
        <f>IF(EsteeNew!AG87-EsteeOld!AG87=0,"",EsteeNew!AG87-EsteeOld!AG87)</f>
        <v/>
      </c>
      <c r="AH87" s="65" t="str">
        <f>IF(EsteeNew!AH87-EsteeOld!AH87=0,"",EsteeNew!AH87-EsteeOld!AH87)</f>
        <v/>
      </c>
      <c r="AI87" s="65" t="str">
        <f>IF(EsteeNew!AI87-EsteeOld!AI87=0,"",EsteeNew!AI87-EsteeOld!AI87)</f>
        <v/>
      </c>
      <c r="AJ87" s="65" t="str">
        <f>IF(EsteeNew!AJ87-EsteeOld!AJ87=0,"",EsteeNew!AJ87-EsteeOld!AJ87)</f>
        <v/>
      </c>
      <c r="AK87" s="65" t="str">
        <f>IF(EsteeNew!AK87-EsteeOld!AK87=0,"",EsteeNew!AK87-EsteeOld!AK87)</f>
        <v/>
      </c>
      <c r="AL87" s="65" t="str">
        <f>IF(EsteeNew!AL87-EsteeOld!AL87=0,"",EsteeNew!AL87-EsteeOld!AL87)</f>
        <v/>
      </c>
      <c r="AM87" s="65" t="str">
        <f>IF(EsteeNew!AM87-EsteeOld!AM87=0,"",EsteeNew!AM87-EsteeOld!AM87)</f>
        <v/>
      </c>
      <c r="AN87" s="65" t="str">
        <f>IF(EsteeNew!AN87-EsteeOld!AN87=0,"",EsteeNew!AN87-EsteeOld!AN87)</f>
        <v/>
      </c>
      <c r="AO87" s="65" t="str">
        <f>IF(EsteeNew!AO87-EsteeOld!AO87=0,"",EsteeNew!AO87-EsteeOld!AO87)</f>
        <v/>
      </c>
      <c r="AP87" s="65" t="str">
        <f>IF(EsteeNew!AP87-EsteeOld!AP87=0,"",EsteeNew!AP87-EsteeOld!AP87)</f>
        <v/>
      </c>
      <c r="AQ87" s="65" t="str">
        <f>IF(EsteeNew!AQ87-EsteeOld!AQ87=0,"",EsteeNew!AQ87-EsteeOld!AQ87)</f>
        <v/>
      </c>
      <c r="AR87" s="65" t="str">
        <f>IF(EsteeNew!AR87-EsteeOld!AR87=0,"",EsteeNew!AR87-EsteeOld!AR87)</f>
        <v/>
      </c>
      <c r="AS87" s="65" t="str">
        <f>IF(EsteeNew!AS87-EsteeOld!AS87=0,"",EsteeNew!AS87-EsteeOld!AS87)</f>
        <v/>
      </c>
      <c r="AT87" s="65" t="str">
        <f>IF(EsteeNew!AT87-EsteeOld!AT87=0,"",EsteeNew!AT87-EsteeOld!AT87)</f>
        <v/>
      </c>
      <c r="AU87" s="65" t="str">
        <f>IF(EsteeNew!AU87-EsteeOld!AU87=0,"",EsteeNew!AU87-EsteeOld!AU87)</f>
        <v/>
      </c>
      <c r="AV87" s="65" t="str">
        <f>IF(EsteeNew!AV87-EsteeOld!AV87=0,"",EsteeNew!AV87-EsteeOld!AV87)</f>
        <v/>
      </c>
      <c r="AW87" s="65" t="str">
        <f>IF(EsteeNew!AW87-EsteeOld!AW87=0,"",EsteeNew!AW87-EsteeOld!AW87)</f>
        <v/>
      </c>
      <c r="AX87" s="65" t="str">
        <f>IF(EsteeNew!AX87-EsteeOld!AX87=0,"",EsteeNew!AX87-EsteeOld!AX87)</f>
        <v/>
      </c>
      <c r="AY87" s="65" t="str">
        <f>IF(EsteeNew!AY87-EsteeOld!AY87=0,"",EsteeNew!AY87-EsteeOld!AY87)</f>
        <v/>
      </c>
      <c r="AZ87" s="65" t="str">
        <f>IF(EsteeNew!AZ87-EsteeOld!AZ87=0,"",EsteeNew!AZ87-EsteeOld!AZ87)</f>
        <v/>
      </c>
      <c r="BA87" s="65" t="str">
        <f>IF(EsteeNew!BA87-EsteeOld!BA87=0,"",EsteeNew!BA87-EsteeOld!BA87)</f>
        <v/>
      </c>
      <c r="BB87" s="65" t="str">
        <f>IF(EsteeNew!BB87-EsteeOld!BB87=0,"",EsteeNew!BB87-EsteeOld!BB87)</f>
        <v/>
      </c>
      <c r="BC87" s="65" t="str">
        <f>IF(EsteeNew!BC87-EsteeOld!BC87=0,"",EsteeNew!BC87-EsteeOld!BC87)</f>
        <v/>
      </c>
      <c r="BD87" s="65" t="str">
        <f>IF(EsteeNew!BD87-EsteeOld!BD87=0,"",EsteeNew!BD87-EsteeOld!BD87)</f>
        <v/>
      </c>
    </row>
    <row r="88" spans="3:56" x14ac:dyDescent="0.25">
      <c r="C88" s="106"/>
      <c r="D88" s="49" t="s">
        <v>35</v>
      </c>
      <c r="E88" s="65" t="str">
        <f>IF(EsteeNew!E88-EsteeOld!E88=0,"",EsteeNew!E88-EsteeOld!E88)</f>
        <v/>
      </c>
      <c r="F88" s="65" t="str">
        <f>IF(EsteeNew!F88-EsteeOld!F88=0,"",EsteeNew!F88-EsteeOld!F88)</f>
        <v/>
      </c>
      <c r="G88" s="65" t="str">
        <f>IF(EsteeNew!G88-EsteeOld!G88=0,"",EsteeNew!G88-EsteeOld!G88)</f>
        <v/>
      </c>
      <c r="H88" s="65" t="str">
        <f>IF(EsteeNew!H88-EsteeOld!H88=0,"",EsteeNew!H88-EsteeOld!H88)</f>
        <v/>
      </c>
      <c r="I88" s="65" t="str">
        <f>IF(EsteeNew!I88-EsteeOld!I88=0,"",EsteeNew!I88-EsteeOld!I88)</f>
        <v/>
      </c>
      <c r="J88" s="65" t="str">
        <f>IF(EsteeNew!J88-EsteeOld!J88=0,"",EsteeNew!J88-EsteeOld!J88)</f>
        <v/>
      </c>
      <c r="K88" s="65" t="str">
        <f>IF(EsteeNew!K88-EsteeOld!K88=0,"",EsteeNew!K88-EsteeOld!K88)</f>
        <v/>
      </c>
      <c r="L88" s="65" t="str">
        <f>IF(EsteeNew!L88-EsteeOld!L88=0,"",EsteeNew!L88-EsteeOld!L88)</f>
        <v/>
      </c>
      <c r="M88" s="65" t="str">
        <f>IF(EsteeNew!M88-EsteeOld!M88=0,"",EsteeNew!M88-EsteeOld!M88)</f>
        <v/>
      </c>
      <c r="N88" s="65" t="str">
        <f>IF(EsteeNew!N88-EsteeOld!N88=0,"",EsteeNew!N88-EsteeOld!N88)</f>
        <v/>
      </c>
      <c r="O88" s="65" t="str">
        <f>IF(EsteeNew!O88-EsteeOld!O88=0,"",EsteeNew!O88-EsteeOld!O88)</f>
        <v/>
      </c>
      <c r="P88" s="65" t="str">
        <f>IF(EsteeNew!P88-EsteeOld!P88=0,"",EsteeNew!P88-EsteeOld!P88)</f>
        <v/>
      </c>
      <c r="Q88" s="65" t="str">
        <f>IF(EsteeNew!Q88-EsteeOld!Q88=0,"",EsteeNew!Q88-EsteeOld!Q88)</f>
        <v/>
      </c>
      <c r="R88" s="65" t="str">
        <f>IF(EsteeNew!R88-EsteeOld!R88=0,"",EsteeNew!R88-EsteeOld!R88)</f>
        <v/>
      </c>
      <c r="S88" s="65" t="str">
        <f>IF(EsteeNew!S88-EsteeOld!S88=0,"",EsteeNew!S88-EsteeOld!S88)</f>
        <v/>
      </c>
      <c r="T88" s="65" t="str">
        <f>IF(EsteeNew!T88-EsteeOld!T88=0,"",EsteeNew!T88-EsteeOld!T88)</f>
        <v/>
      </c>
      <c r="U88" s="65" t="str">
        <f>IF(EsteeNew!U88-EsteeOld!U88=0,"",EsteeNew!U88-EsteeOld!U88)</f>
        <v/>
      </c>
      <c r="V88" s="65" t="str">
        <f>IF(EsteeNew!V88-EsteeOld!V88=0,"",EsteeNew!V88-EsteeOld!V88)</f>
        <v/>
      </c>
      <c r="W88" s="65" t="str">
        <f>IF(EsteeNew!W88-EsteeOld!W88=0,"",EsteeNew!W88-EsteeOld!W88)</f>
        <v/>
      </c>
      <c r="X88" s="65" t="str">
        <f>IF(EsteeNew!X88-EsteeOld!X88=0,"",EsteeNew!X88-EsteeOld!X88)</f>
        <v/>
      </c>
      <c r="Y88" s="65" t="str">
        <f>IF(EsteeNew!Y88-EsteeOld!Y88=0,"",EsteeNew!Y88-EsteeOld!Y88)</f>
        <v/>
      </c>
      <c r="Z88" s="65" t="str">
        <f>IF(EsteeNew!Z88-EsteeOld!Z88=0,"",EsteeNew!Z88-EsteeOld!Z88)</f>
        <v/>
      </c>
      <c r="AA88" s="65" t="str">
        <f>IF(EsteeNew!AA88-EsteeOld!AA88=0,"",EsteeNew!AA88-EsteeOld!AA88)</f>
        <v/>
      </c>
      <c r="AB88" s="65" t="str">
        <f>IF(EsteeNew!AB88-EsteeOld!AB88=0,"",EsteeNew!AB88-EsteeOld!AB88)</f>
        <v/>
      </c>
      <c r="AC88" s="65" t="str">
        <f>IF(EsteeNew!AC88-EsteeOld!AC88=0,"",EsteeNew!AC88-EsteeOld!AC88)</f>
        <v/>
      </c>
      <c r="AD88" s="65" t="str">
        <f>IF(EsteeNew!AD88-EsteeOld!AD88=0,"",EsteeNew!AD88-EsteeOld!AD88)</f>
        <v/>
      </c>
      <c r="AE88" s="65" t="str">
        <f>IF(EsteeNew!AE88-EsteeOld!AE88=0,"",EsteeNew!AE88-EsteeOld!AE88)</f>
        <v/>
      </c>
      <c r="AF88" s="65" t="str">
        <f>IF(EsteeNew!AF88-EsteeOld!AF88=0,"",EsteeNew!AF88-EsteeOld!AF88)</f>
        <v/>
      </c>
      <c r="AG88" s="65" t="str">
        <f>IF(EsteeNew!AG88-EsteeOld!AG88=0,"",EsteeNew!AG88-EsteeOld!AG88)</f>
        <v/>
      </c>
      <c r="AH88" s="65" t="str">
        <f>IF(EsteeNew!AH88-EsteeOld!AH88=0,"",EsteeNew!AH88-EsteeOld!AH88)</f>
        <v/>
      </c>
      <c r="AI88" s="65" t="str">
        <f>IF(EsteeNew!AI88-EsteeOld!AI88=0,"",EsteeNew!AI88-EsteeOld!AI88)</f>
        <v/>
      </c>
      <c r="AJ88" s="65" t="str">
        <f>IF(EsteeNew!AJ88-EsteeOld!AJ88=0,"",EsteeNew!AJ88-EsteeOld!AJ88)</f>
        <v/>
      </c>
      <c r="AK88" s="65" t="str">
        <f>IF(EsteeNew!AK88-EsteeOld!AK88=0,"",EsteeNew!AK88-EsteeOld!AK88)</f>
        <v/>
      </c>
      <c r="AL88" s="65" t="str">
        <f>IF(EsteeNew!AL88-EsteeOld!AL88=0,"",EsteeNew!AL88-EsteeOld!AL88)</f>
        <v/>
      </c>
      <c r="AM88" s="65" t="str">
        <f>IF(EsteeNew!AM88-EsteeOld!AM88=0,"",EsteeNew!AM88-EsteeOld!AM88)</f>
        <v/>
      </c>
      <c r="AN88" s="65" t="str">
        <f>IF(EsteeNew!AN88-EsteeOld!AN88=0,"",EsteeNew!AN88-EsteeOld!AN88)</f>
        <v/>
      </c>
      <c r="AO88" s="65" t="str">
        <f>IF(EsteeNew!AO88-EsteeOld!AO88=0,"",EsteeNew!AO88-EsteeOld!AO88)</f>
        <v/>
      </c>
      <c r="AP88" s="65" t="str">
        <f>IF(EsteeNew!AP88-EsteeOld!AP88=0,"",EsteeNew!AP88-EsteeOld!AP88)</f>
        <v/>
      </c>
      <c r="AQ88" s="65" t="str">
        <f>IF(EsteeNew!AQ88-EsteeOld!AQ88=0,"",EsteeNew!AQ88-EsteeOld!AQ88)</f>
        <v/>
      </c>
      <c r="AR88" s="65" t="str">
        <f>IF(EsteeNew!AR88-EsteeOld!AR88=0,"",EsteeNew!AR88-EsteeOld!AR88)</f>
        <v/>
      </c>
      <c r="AS88" s="65" t="str">
        <f>IF(EsteeNew!AS88-EsteeOld!AS88=0,"",EsteeNew!AS88-EsteeOld!AS88)</f>
        <v/>
      </c>
      <c r="AT88" s="65" t="str">
        <f>IF(EsteeNew!AT88-EsteeOld!AT88=0,"",EsteeNew!AT88-EsteeOld!AT88)</f>
        <v/>
      </c>
      <c r="AU88" s="65" t="str">
        <f>IF(EsteeNew!AU88-EsteeOld!AU88=0,"",EsteeNew!AU88-EsteeOld!AU88)</f>
        <v/>
      </c>
      <c r="AV88" s="65" t="str">
        <f>IF(EsteeNew!AV88-EsteeOld!AV88=0,"",EsteeNew!AV88-EsteeOld!AV88)</f>
        <v/>
      </c>
      <c r="AW88" s="65" t="str">
        <f>IF(EsteeNew!AW88-EsteeOld!AW88=0,"",EsteeNew!AW88-EsteeOld!AW88)</f>
        <v/>
      </c>
      <c r="AX88" s="65" t="str">
        <f>IF(EsteeNew!AX88-EsteeOld!AX88=0,"",EsteeNew!AX88-EsteeOld!AX88)</f>
        <v/>
      </c>
      <c r="AY88" s="65" t="str">
        <f>IF(EsteeNew!AY88-EsteeOld!AY88=0,"",EsteeNew!AY88-EsteeOld!AY88)</f>
        <v/>
      </c>
      <c r="AZ88" s="65" t="str">
        <f>IF(EsteeNew!AZ88-EsteeOld!AZ88=0,"",EsteeNew!AZ88-EsteeOld!AZ88)</f>
        <v/>
      </c>
      <c r="BA88" s="65" t="str">
        <f>IF(EsteeNew!BA88-EsteeOld!BA88=0,"",EsteeNew!BA88-EsteeOld!BA88)</f>
        <v/>
      </c>
      <c r="BB88" s="65" t="str">
        <f>IF(EsteeNew!BB88-EsteeOld!BB88=0,"",EsteeNew!BB88-EsteeOld!BB88)</f>
        <v/>
      </c>
      <c r="BC88" s="65" t="str">
        <f>IF(EsteeNew!BC88-EsteeOld!BC88=0,"",EsteeNew!BC88-EsteeOld!BC88)</f>
        <v/>
      </c>
      <c r="BD88" s="65" t="str">
        <f>IF(EsteeNew!BD88-EsteeOld!BD88=0,"",EsteeNew!BD88-EsteeOld!BD88)</f>
        <v/>
      </c>
    </row>
    <row r="89" spans="3:56" x14ac:dyDescent="0.25">
      <c r="C89" s="106"/>
      <c r="D89" s="49" t="s">
        <v>36</v>
      </c>
      <c r="E89" s="65" t="str">
        <f>IF(EsteeNew!E89-EsteeOld!E89=0,"",EsteeNew!E89-EsteeOld!E89)</f>
        <v/>
      </c>
      <c r="F89" s="65" t="str">
        <f>IF(EsteeNew!F89-EsteeOld!F89=0,"",EsteeNew!F89-EsteeOld!F89)</f>
        <v/>
      </c>
      <c r="G89" s="65" t="str">
        <f>IF(EsteeNew!G89-EsteeOld!G89=0,"",EsteeNew!G89-EsteeOld!G89)</f>
        <v/>
      </c>
      <c r="H89" s="65" t="str">
        <f>IF(EsteeNew!H89-EsteeOld!H89=0,"",EsteeNew!H89-EsteeOld!H89)</f>
        <v/>
      </c>
      <c r="I89" s="65" t="str">
        <f>IF(EsteeNew!I89-EsteeOld!I89=0,"",EsteeNew!I89-EsteeOld!I89)</f>
        <v/>
      </c>
      <c r="J89" s="65" t="str">
        <f>IF(EsteeNew!J89-EsteeOld!J89=0,"",EsteeNew!J89-EsteeOld!J89)</f>
        <v/>
      </c>
      <c r="K89" s="65" t="str">
        <f>IF(EsteeNew!K89-EsteeOld!K89=0,"",EsteeNew!K89-EsteeOld!K89)</f>
        <v/>
      </c>
      <c r="L89" s="65" t="str">
        <f>IF(EsteeNew!L89-EsteeOld!L89=0,"",EsteeNew!L89-EsteeOld!L89)</f>
        <v/>
      </c>
      <c r="M89" s="65" t="str">
        <f>IF(EsteeNew!M89-EsteeOld!M89=0,"",EsteeNew!M89-EsteeOld!M89)</f>
        <v/>
      </c>
      <c r="N89" s="65" t="str">
        <f>IF(EsteeNew!N89-EsteeOld!N89=0,"",EsteeNew!N89-EsteeOld!N89)</f>
        <v/>
      </c>
      <c r="O89" s="65" t="str">
        <f>IF(EsteeNew!O89-EsteeOld!O89=0,"",EsteeNew!O89-EsteeOld!O89)</f>
        <v/>
      </c>
      <c r="P89" s="65" t="str">
        <f>IF(EsteeNew!P89-EsteeOld!P89=0,"",EsteeNew!P89-EsteeOld!P89)</f>
        <v/>
      </c>
      <c r="Q89" s="65" t="str">
        <f>IF(EsteeNew!Q89-EsteeOld!Q89=0,"",EsteeNew!Q89-EsteeOld!Q89)</f>
        <v/>
      </c>
      <c r="R89" s="65" t="str">
        <f>IF(EsteeNew!R89-EsteeOld!R89=0,"",EsteeNew!R89-EsteeOld!R89)</f>
        <v/>
      </c>
      <c r="S89" s="65" t="str">
        <f>IF(EsteeNew!S89-EsteeOld!S89=0,"",EsteeNew!S89-EsteeOld!S89)</f>
        <v/>
      </c>
      <c r="T89" s="65" t="str">
        <f>IF(EsteeNew!T89-EsteeOld!T89=0,"",EsteeNew!T89-EsteeOld!T89)</f>
        <v/>
      </c>
      <c r="U89" s="65" t="str">
        <f>IF(EsteeNew!U89-EsteeOld!U89=0,"",EsteeNew!U89-EsteeOld!U89)</f>
        <v/>
      </c>
      <c r="V89" s="65" t="str">
        <f>IF(EsteeNew!V89-EsteeOld!V89=0,"",EsteeNew!V89-EsteeOld!V89)</f>
        <v/>
      </c>
      <c r="W89" s="65" t="str">
        <f>IF(EsteeNew!W89-EsteeOld!W89=0,"",EsteeNew!W89-EsteeOld!W89)</f>
        <v/>
      </c>
      <c r="X89" s="65" t="str">
        <f>IF(EsteeNew!X89-EsteeOld!X89=0,"",EsteeNew!X89-EsteeOld!X89)</f>
        <v/>
      </c>
      <c r="Y89" s="65" t="str">
        <f>IF(EsteeNew!Y89-EsteeOld!Y89=0,"",EsteeNew!Y89-EsteeOld!Y89)</f>
        <v/>
      </c>
      <c r="Z89" s="65" t="str">
        <f>IF(EsteeNew!Z89-EsteeOld!Z89=0,"",EsteeNew!Z89-EsteeOld!Z89)</f>
        <v/>
      </c>
      <c r="AA89" s="65" t="str">
        <f>IF(EsteeNew!AA89-EsteeOld!AA89=0,"",EsteeNew!AA89-EsteeOld!AA89)</f>
        <v/>
      </c>
      <c r="AB89" s="65" t="str">
        <f>IF(EsteeNew!AB89-EsteeOld!AB89=0,"",EsteeNew!AB89-EsteeOld!AB89)</f>
        <v/>
      </c>
      <c r="AC89" s="65" t="str">
        <f>IF(EsteeNew!AC89-EsteeOld!AC89=0,"",EsteeNew!AC89-EsteeOld!AC89)</f>
        <v/>
      </c>
      <c r="AD89" s="65" t="str">
        <f>IF(EsteeNew!AD89-EsteeOld!AD89=0,"",EsteeNew!AD89-EsteeOld!AD89)</f>
        <v/>
      </c>
      <c r="AE89" s="65" t="str">
        <f>IF(EsteeNew!AE89-EsteeOld!AE89=0,"",EsteeNew!AE89-EsteeOld!AE89)</f>
        <v/>
      </c>
      <c r="AF89" s="65" t="str">
        <f>IF(EsteeNew!AF89-EsteeOld!AF89=0,"",EsteeNew!AF89-EsteeOld!AF89)</f>
        <v/>
      </c>
      <c r="AG89" s="65" t="str">
        <f>IF(EsteeNew!AG89-EsteeOld!AG89=0,"",EsteeNew!AG89-EsteeOld!AG89)</f>
        <v/>
      </c>
      <c r="AH89" s="65" t="str">
        <f>IF(EsteeNew!AH89-EsteeOld!AH89=0,"",EsteeNew!AH89-EsteeOld!AH89)</f>
        <v/>
      </c>
      <c r="AI89" s="65" t="str">
        <f>IF(EsteeNew!AI89-EsteeOld!AI89=0,"",EsteeNew!AI89-EsteeOld!AI89)</f>
        <v/>
      </c>
      <c r="AJ89" s="65" t="str">
        <f>IF(EsteeNew!AJ89-EsteeOld!AJ89=0,"",EsteeNew!AJ89-EsteeOld!AJ89)</f>
        <v/>
      </c>
      <c r="AK89" s="65" t="str">
        <f>IF(EsteeNew!AK89-EsteeOld!AK89=0,"",EsteeNew!AK89-EsteeOld!AK89)</f>
        <v/>
      </c>
      <c r="AL89" s="65" t="str">
        <f>IF(EsteeNew!AL89-EsteeOld!AL89=0,"",EsteeNew!AL89-EsteeOld!AL89)</f>
        <v/>
      </c>
      <c r="AM89" s="65" t="str">
        <f>IF(EsteeNew!AM89-EsteeOld!AM89=0,"",EsteeNew!AM89-EsteeOld!AM89)</f>
        <v/>
      </c>
      <c r="AN89" s="65" t="str">
        <f>IF(EsteeNew!AN89-EsteeOld!AN89=0,"",EsteeNew!AN89-EsteeOld!AN89)</f>
        <v/>
      </c>
      <c r="AO89" s="65" t="str">
        <f>IF(EsteeNew!AO89-EsteeOld!AO89=0,"",EsteeNew!AO89-EsteeOld!AO89)</f>
        <v/>
      </c>
      <c r="AP89" s="65" t="str">
        <f>IF(EsteeNew!AP89-EsteeOld!AP89=0,"",EsteeNew!AP89-EsteeOld!AP89)</f>
        <v/>
      </c>
      <c r="AQ89" s="65" t="str">
        <f>IF(EsteeNew!AQ89-EsteeOld!AQ89=0,"",EsteeNew!AQ89-EsteeOld!AQ89)</f>
        <v/>
      </c>
      <c r="AR89" s="65" t="str">
        <f>IF(EsteeNew!AR89-EsteeOld!AR89=0,"",EsteeNew!AR89-EsteeOld!AR89)</f>
        <v/>
      </c>
      <c r="AS89" s="65" t="str">
        <f>IF(EsteeNew!AS89-EsteeOld!AS89=0,"",EsteeNew!AS89-EsteeOld!AS89)</f>
        <v/>
      </c>
      <c r="AT89" s="65" t="str">
        <f>IF(EsteeNew!AT89-EsteeOld!AT89=0,"",EsteeNew!AT89-EsteeOld!AT89)</f>
        <v/>
      </c>
      <c r="AU89" s="65" t="str">
        <f>IF(EsteeNew!AU89-EsteeOld!AU89=0,"",EsteeNew!AU89-EsteeOld!AU89)</f>
        <v/>
      </c>
      <c r="AV89" s="65" t="str">
        <f>IF(EsteeNew!AV89-EsteeOld!AV89=0,"",EsteeNew!AV89-EsteeOld!AV89)</f>
        <v/>
      </c>
      <c r="AW89" s="65" t="str">
        <f>IF(EsteeNew!AW89-EsteeOld!AW89=0,"",EsteeNew!AW89-EsteeOld!AW89)</f>
        <v/>
      </c>
      <c r="AX89" s="65" t="str">
        <f>IF(EsteeNew!AX89-EsteeOld!AX89=0,"",EsteeNew!AX89-EsteeOld!AX89)</f>
        <v/>
      </c>
      <c r="AY89" s="65" t="str">
        <f>IF(EsteeNew!AY89-EsteeOld!AY89=0,"",EsteeNew!AY89-EsteeOld!AY89)</f>
        <v/>
      </c>
      <c r="AZ89" s="65" t="str">
        <f>IF(EsteeNew!AZ89-EsteeOld!AZ89=0,"",EsteeNew!AZ89-EsteeOld!AZ89)</f>
        <v/>
      </c>
      <c r="BA89" s="65" t="str">
        <f>IF(EsteeNew!BA89-EsteeOld!BA89=0,"",EsteeNew!BA89-EsteeOld!BA89)</f>
        <v/>
      </c>
      <c r="BB89" s="65" t="str">
        <f>IF(EsteeNew!BB89-EsteeOld!BB89=0,"",EsteeNew!BB89-EsteeOld!BB89)</f>
        <v/>
      </c>
      <c r="BC89" s="65" t="str">
        <f>IF(EsteeNew!BC89-EsteeOld!BC89=0,"",EsteeNew!BC89-EsteeOld!BC89)</f>
        <v/>
      </c>
      <c r="BD89" s="65" t="str">
        <f>IF(EsteeNew!BD89-EsteeOld!BD89=0,"",EsteeNew!BD89-EsteeOld!BD89)</f>
        <v/>
      </c>
    </row>
    <row r="90" spans="3:56" x14ac:dyDescent="0.25">
      <c r="C90" s="106"/>
      <c r="D90" s="49" t="s">
        <v>37</v>
      </c>
      <c r="E90" s="65" t="str">
        <f>IF(EsteeNew!E90-EsteeOld!E90=0,"",EsteeNew!E90-EsteeOld!E90)</f>
        <v/>
      </c>
      <c r="F90" s="65" t="str">
        <f>IF(EsteeNew!F90-EsteeOld!F90=0,"",EsteeNew!F90-EsteeOld!F90)</f>
        <v/>
      </c>
      <c r="G90" s="65" t="str">
        <f>IF(EsteeNew!G90-EsteeOld!G90=0,"",EsteeNew!G90-EsteeOld!G90)</f>
        <v/>
      </c>
      <c r="H90" s="65" t="str">
        <f>IF(EsteeNew!H90-EsteeOld!H90=0,"",EsteeNew!H90-EsteeOld!H90)</f>
        <v/>
      </c>
      <c r="I90" s="65" t="str">
        <f>IF(EsteeNew!I90-EsteeOld!I90=0,"",EsteeNew!I90-EsteeOld!I90)</f>
        <v/>
      </c>
      <c r="J90" s="65" t="str">
        <f>IF(EsteeNew!J90-EsteeOld!J90=0,"",EsteeNew!J90-EsteeOld!J90)</f>
        <v/>
      </c>
      <c r="K90" s="65" t="str">
        <f>IF(EsteeNew!K90-EsteeOld!K90=0,"",EsteeNew!K90-EsteeOld!K90)</f>
        <v/>
      </c>
      <c r="L90" s="65" t="str">
        <f>IF(EsteeNew!L90-EsteeOld!L90=0,"",EsteeNew!L90-EsteeOld!L90)</f>
        <v/>
      </c>
      <c r="M90" s="65" t="str">
        <f>IF(EsteeNew!M90-EsteeOld!M90=0,"",EsteeNew!M90-EsteeOld!M90)</f>
        <v/>
      </c>
      <c r="N90" s="65" t="str">
        <f>IF(EsteeNew!N90-EsteeOld!N90=0,"",EsteeNew!N90-EsteeOld!N90)</f>
        <v/>
      </c>
      <c r="O90" s="65" t="str">
        <f>IF(EsteeNew!O90-EsteeOld!O90=0,"",EsteeNew!O90-EsteeOld!O90)</f>
        <v/>
      </c>
      <c r="P90" s="65" t="str">
        <f>IF(EsteeNew!P90-EsteeOld!P90=0,"",EsteeNew!P90-EsteeOld!P90)</f>
        <v/>
      </c>
      <c r="Q90" s="65" t="str">
        <f>IF(EsteeNew!Q90-EsteeOld!Q90=0,"",EsteeNew!Q90-EsteeOld!Q90)</f>
        <v/>
      </c>
      <c r="R90" s="65" t="str">
        <f>IF(EsteeNew!R90-EsteeOld!R90=0,"",EsteeNew!R90-EsteeOld!R90)</f>
        <v/>
      </c>
      <c r="S90" s="65" t="str">
        <f>IF(EsteeNew!S90-EsteeOld!S90=0,"",EsteeNew!S90-EsteeOld!S90)</f>
        <v/>
      </c>
      <c r="T90" s="65" t="str">
        <f>IF(EsteeNew!T90-EsteeOld!T90=0,"",EsteeNew!T90-EsteeOld!T90)</f>
        <v/>
      </c>
      <c r="U90" s="65" t="str">
        <f>IF(EsteeNew!U90-EsteeOld!U90=0,"",EsteeNew!U90-EsteeOld!U90)</f>
        <v/>
      </c>
      <c r="V90" s="65" t="str">
        <f>IF(EsteeNew!V90-EsteeOld!V90=0,"",EsteeNew!V90-EsteeOld!V90)</f>
        <v/>
      </c>
      <c r="W90" s="65" t="str">
        <f>IF(EsteeNew!W90-EsteeOld!W90=0,"",EsteeNew!W90-EsteeOld!W90)</f>
        <v/>
      </c>
      <c r="X90" s="65" t="str">
        <f>IF(EsteeNew!X90-EsteeOld!X90=0,"",EsteeNew!X90-EsteeOld!X90)</f>
        <v/>
      </c>
      <c r="Y90" s="65" t="str">
        <f>IF(EsteeNew!Y90-EsteeOld!Y90=0,"",EsteeNew!Y90-EsteeOld!Y90)</f>
        <v/>
      </c>
      <c r="Z90" s="65" t="str">
        <f>IF(EsteeNew!Z90-EsteeOld!Z90=0,"",EsteeNew!Z90-EsteeOld!Z90)</f>
        <v/>
      </c>
      <c r="AA90" s="65" t="str">
        <f>IF(EsteeNew!AA90-EsteeOld!AA90=0,"",EsteeNew!AA90-EsteeOld!AA90)</f>
        <v/>
      </c>
      <c r="AB90" s="65" t="str">
        <f>IF(EsteeNew!AB90-EsteeOld!AB90=0,"",EsteeNew!AB90-EsteeOld!AB90)</f>
        <v/>
      </c>
      <c r="AC90" s="65" t="str">
        <f>IF(EsteeNew!AC90-EsteeOld!AC90=0,"",EsteeNew!AC90-EsteeOld!AC90)</f>
        <v/>
      </c>
      <c r="AD90" s="65" t="str">
        <f>IF(EsteeNew!AD90-EsteeOld!AD90=0,"",EsteeNew!AD90-EsteeOld!AD90)</f>
        <v/>
      </c>
      <c r="AE90" s="65" t="str">
        <f>IF(EsteeNew!AE90-EsteeOld!AE90=0,"",EsteeNew!AE90-EsteeOld!AE90)</f>
        <v/>
      </c>
      <c r="AF90" s="65" t="str">
        <f>IF(EsteeNew!AF90-EsteeOld!AF90=0,"",EsteeNew!AF90-EsteeOld!AF90)</f>
        <v/>
      </c>
      <c r="AG90" s="65" t="str">
        <f>IF(EsteeNew!AG90-EsteeOld!AG90=0,"",EsteeNew!AG90-EsteeOld!AG90)</f>
        <v/>
      </c>
      <c r="AH90" s="65" t="str">
        <f>IF(EsteeNew!AH90-EsteeOld!AH90=0,"",EsteeNew!AH90-EsteeOld!AH90)</f>
        <v/>
      </c>
      <c r="AI90" s="65" t="str">
        <f>IF(EsteeNew!AI90-EsteeOld!AI90=0,"",EsteeNew!AI90-EsteeOld!AI90)</f>
        <v/>
      </c>
      <c r="AJ90" s="65" t="str">
        <f>IF(EsteeNew!AJ90-EsteeOld!AJ90=0,"",EsteeNew!AJ90-EsteeOld!AJ90)</f>
        <v/>
      </c>
      <c r="AK90" s="65" t="str">
        <f>IF(EsteeNew!AK90-EsteeOld!AK90=0,"",EsteeNew!AK90-EsteeOld!AK90)</f>
        <v/>
      </c>
      <c r="AL90" s="65" t="str">
        <f>IF(EsteeNew!AL90-EsteeOld!AL90=0,"",EsteeNew!AL90-EsteeOld!AL90)</f>
        <v/>
      </c>
      <c r="AM90" s="65" t="str">
        <f>IF(EsteeNew!AM90-EsteeOld!AM90=0,"",EsteeNew!AM90-EsteeOld!AM90)</f>
        <v/>
      </c>
      <c r="AN90" s="65" t="str">
        <f>IF(EsteeNew!AN90-EsteeOld!AN90=0,"",EsteeNew!AN90-EsteeOld!AN90)</f>
        <v/>
      </c>
      <c r="AO90" s="65" t="str">
        <f>IF(EsteeNew!AO90-EsteeOld!AO90=0,"",EsteeNew!AO90-EsteeOld!AO90)</f>
        <v/>
      </c>
      <c r="AP90" s="65" t="str">
        <f>IF(EsteeNew!AP90-EsteeOld!AP90=0,"",EsteeNew!AP90-EsteeOld!AP90)</f>
        <v/>
      </c>
      <c r="AQ90" s="65" t="str">
        <f>IF(EsteeNew!AQ90-EsteeOld!AQ90=0,"",EsteeNew!AQ90-EsteeOld!AQ90)</f>
        <v/>
      </c>
      <c r="AR90" s="65" t="str">
        <f>IF(EsteeNew!AR90-EsteeOld!AR90=0,"",EsteeNew!AR90-EsteeOld!AR90)</f>
        <v/>
      </c>
      <c r="AS90" s="65" t="str">
        <f>IF(EsteeNew!AS90-EsteeOld!AS90=0,"",EsteeNew!AS90-EsteeOld!AS90)</f>
        <v/>
      </c>
      <c r="AT90" s="65" t="str">
        <f>IF(EsteeNew!AT90-EsteeOld!AT90=0,"",EsteeNew!AT90-EsteeOld!AT90)</f>
        <v/>
      </c>
      <c r="AU90" s="65" t="str">
        <f>IF(EsteeNew!AU90-EsteeOld!AU90=0,"",EsteeNew!AU90-EsteeOld!AU90)</f>
        <v/>
      </c>
      <c r="AV90" s="65" t="str">
        <f>IF(EsteeNew!AV90-EsteeOld!AV90=0,"",EsteeNew!AV90-EsteeOld!AV90)</f>
        <v/>
      </c>
      <c r="AW90" s="65" t="str">
        <f>IF(EsteeNew!AW90-EsteeOld!AW90=0,"",EsteeNew!AW90-EsteeOld!AW90)</f>
        <v/>
      </c>
      <c r="AX90" s="65" t="str">
        <f>IF(EsteeNew!AX90-EsteeOld!AX90=0,"",EsteeNew!AX90-EsteeOld!AX90)</f>
        <v/>
      </c>
      <c r="AY90" s="65" t="str">
        <f>IF(EsteeNew!AY90-EsteeOld!AY90=0,"",EsteeNew!AY90-EsteeOld!AY90)</f>
        <v/>
      </c>
      <c r="AZ90" s="65" t="str">
        <f>IF(EsteeNew!AZ90-EsteeOld!AZ90=0,"",EsteeNew!AZ90-EsteeOld!AZ90)</f>
        <v/>
      </c>
      <c r="BA90" s="65" t="str">
        <f>IF(EsteeNew!BA90-EsteeOld!BA90=0,"",EsteeNew!BA90-EsteeOld!BA90)</f>
        <v/>
      </c>
      <c r="BB90" s="65" t="str">
        <f>IF(EsteeNew!BB90-EsteeOld!BB90=0,"",EsteeNew!BB90-EsteeOld!BB90)</f>
        <v/>
      </c>
      <c r="BC90" s="65" t="str">
        <f>IF(EsteeNew!BC90-EsteeOld!BC90=0,"",EsteeNew!BC90-EsteeOld!BC90)</f>
        <v/>
      </c>
      <c r="BD90" s="65" t="str">
        <f>IF(EsteeNew!BD90-EsteeOld!BD90=0,"",EsteeNew!BD90-EsteeOld!BD90)</f>
        <v/>
      </c>
    </row>
    <row r="91" spans="3:56" x14ac:dyDescent="0.25">
      <c r="C91" s="106"/>
      <c r="D91" s="49" t="s">
        <v>38</v>
      </c>
      <c r="E91" s="65" t="str">
        <f>IF(EsteeNew!E91-EsteeOld!E91=0,"",EsteeNew!E91-EsteeOld!E91)</f>
        <v/>
      </c>
      <c r="F91" s="65" t="str">
        <f>IF(EsteeNew!F91-EsteeOld!F91=0,"",EsteeNew!F91-EsteeOld!F91)</f>
        <v/>
      </c>
      <c r="G91" s="65" t="str">
        <f>IF(EsteeNew!G91-EsteeOld!G91=0,"",EsteeNew!G91-EsteeOld!G91)</f>
        <v/>
      </c>
      <c r="H91" s="65" t="str">
        <f>IF(EsteeNew!H91-EsteeOld!H91=0,"",EsteeNew!H91-EsteeOld!H91)</f>
        <v/>
      </c>
      <c r="I91" s="65" t="str">
        <f>IF(EsteeNew!I91-EsteeOld!I91=0,"",EsteeNew!I91-EsteeOld!I91)</f>
        <v/>
      </c>
      <c r="J91" s="65" t="str">
        <f>IF(EsteeNew!J91-EsteeOld!J91=0,"",EsteeNew!J91-EsteeOld!J91)</f>
        <v/>
      </c>
      <c r="K91" s="65" t="str">
        <f>IF(EsteeNew!K91-EsteeOld!K91=0,"",EsteeNew!K91-EsteeOld!K91)</f>
        <v/>
      </c>
      <c r="L91" s="65" t="str">
        <f>IF(EsteeNew!L91-EsteeOld!L91=0,"",EsteeNew!L91-EsteeOld!L91)</f>
        <v/>
      </c>
      <c r="M91" s="65" t="str">
        <f>IF(EsteeNew!M91-EsteeOld!M91=0,"",EsteeNew!M91-EsteeOld!M91)</f>
        <v/>
      </c>
      <c r="N91" s="65" t="str">
        <f>IF(EsteeNew!N91-EsteeOld!N91=0,"",EsteeNew!N91-EsteeOld!N91)</f>
        <v/>
      </c>
      <c r="O91" s="65" t="str">
        <f>IF(EsteeNew!O91-EsteeOld!O91=0,"",EsteeNew!O91-EsteeOld!O91)</f>
        <v/>
      </c>
      <c r="P91" s="65" t="str">
        <f>IF(EsteeNew!P91-EsteeOld!P91=0,"",EsteeNew!P91-EsteeOld!P91)</f>
        <v/>
      </c>
      <c r="Q91" s="65" t="str">
        <f>IF(EsteeNew!Q91-EsteeOld!Q91=0,"",EsteeNew!Q91-EsteeOld!Q91)</f>
        <v/>
      </c>
      <c r="R91" s="65" t="str">
        <f>IF(EsteeNew!R91-EsteeOld!R91=0,"",EsteeNew!R91-EsteeOld!R91)</f>
        <v/>
      </c>
      <c r="S91" s="65" t="str">
        <f>IF(EsteeNew!S91-EsteeOld!S91=0,"",EsteeNew!S91-EsteeOld!S91)</f>
        <v/>
      </c>
      <c r="T91" s="65" t="str">
        <f>IF(EsteeNew!T91-EsteeOld!T91=0,"",EsteeNew!T91-EsteeOld!T91)</f>
        <v/>
      </c>
      <c r="U91" s="65" t="str">
        <f>IF(EsteeNew!U91-EsteeOld!U91=0,"",EsteeNew!U91-EsteeOld!U91)</f>
        <v/>
      </c>
      <c r="V91" s="65" t="str">
        <f>IF(EsteeNew!V91-EsteeOld!V91=0,"",EsteeNew!V91-EsteeOld!V91)</f>
        <v/>
      </c>
      <c r="W91" s="65" t="str">
        <f>IF(EsteeNew!W91-EsteeOld!W91=0,"",EsteeNew!W91-EsteeOld!W91)</f>
        <v/>
      </c>
      <c r="X91" s="65" t="str">
        <f>IF(EsteeNew!X91-EsteeOld!X91=0,"",EsteeNew!X91-EsteeOld!X91)</f>
        <v/>
      </c>
      <c r="Y91" s="65" t="str">
        <f>IF(EsteeNew!Y91-EsteeOld!Y91=0,"",EsteeNew!Y91-EsteeOld!Y91)</f>
        <v/>
      </c>
      <c r="Z91" s="65" t="str">
        <f>IF(EsteeNew!Z91-EsteeOld!Z91=0,"",EsteeNew!Z91-EsteeOld!Z91)</f>
        <v/>
      </c>
      <c r="AA91" s="65" t="str">
        <f>IF(EsteeNew!AA91-EsteeOld!AA91=0,"",EsteeNew!AA91-EsteeOld!AA91)</f>
        <v/>
      </c>
      <c r="AB91" s="65" t="str">
        <f>IF(EsteeNew!AB91-EsteeOld!AB91=0,"",EsteeNew!AB91-EsteeOld!AB91)</f>
        <v/>
      </c>
      <c r="AC91" s="65" t="str">
        <f>IF(EsteeNew!AC91-EsteeOld!AC91=0,"",EsteeNew!AC91-EsteeOld!AC91)</f>
        <v/>
      </c>
      <c r="AD91" s="65" t="str">
        <f>IF(EsteeNew!AD91-EsteeOld!AD91=0,"",EsteeNew!AD91-EsteeOld!AD91)</f>
        <v/>
      </c>
      <c r="AE91" s="65" t="str">
        <f>IF(EsteeNew!AE91-EsteeOld!AE91=0,"",EsteeNew!AE91-EsteeOld!AE91)</f>
        <v/>
      </c>
      <c r="AF91" s="65" t="str">
        <f>IF(EsteeNew!AF91-EsteeOld!AF91=0,"",EsteeNew!AF91-EsteeOld!AF91)</f>
        <v/>
      </c>
      <c r="AG91" s="65" t="str">
        <f>IF(EsteeNew!AG91-EsteeOld!AG91=0,"",EsteeNew!AG91-EsteeOld!AG91)</f>
        <v/>
      </c>
      <c r="AH91" s="65" t="str">
        <f>IF(EsteeNew!AH91-EsteeOld!AH91=0,"",EsteeNew!AH91-EsteeOld!AH91)</f>
        <v/>
      </c>
      <c r="AI91" s="65" t="str">
        <f>IF(EsteeNew!AI91-EsteeOld!AI91=0,"",EsteeNew!AI91-EsteeOld!AI91)</f>
        <v/>
      </c>
      <c r="AJ91" s="65" t="str">
        <f>IF(EsteeNew!AJ91-EsteeOld!AJ91=0,"",EsteeNew!AJ91-EsteeOld!AJ91)</f>
        <v/>
      </c>
      <c r="AK91" s="65" t="str">
        <f>IF(EsteeNew!AK91-EsteeOld!AK91=0,"",EsteeNew!AK91-EsteeOld!AK91)</f>
        <v/>
      </c>
      <c r="AL91" s="65" t="str">
        <f>IF(EsteeNew!AL91-EsteeOld!AL91=0,"",EsteeNew!AL91-EsteeOld!AL91)</f>
        <v/>
      </c>
      <c r="AM91" s="65" t="str">
        <f>IF(EsteeNew!AM91-EsteeOld!AM91=0,"",EsteeNew!AM91-EsteeOld!AM91)</f>
        <v/>
      </c>
      <c r="AN91" s="65" t="str">
        <f>IF(EsteeNew!AN91-EsteeOld!AN91=0,"",EsteeNew!AN91-EsteeOld!AN91)</f>
        <v/>
      </c>
      <c r="AO91" s="65" t="str">
        <f>IF(EsteeNew!AO91-EsteeOld!AO91=0,"",EsteeNew!AO91-EsteeOld!AO91)</f>
        <v/>
      </c>
      <c r="AP91" s="65" t="str">
        <f>IF(EsteeNew!AP91-EsteeOld!AP91=0,"",EsteeNew!AP91-EsteeOld!AP91)</f>
        <v/>
      </c>
      <c r="AQ91" s="65" t="str">
        <f>IF(EsteeNew!AQ91-EsteeOld!AQ91=0,"",EsteeNew!AQ91-EsteeOld!AQ91)</f>
        <v/>
      </c>
      <c r="AR91" s="65" t="str">
        <f>IF(EsteeNew!AR91-EsteeOld!AR91=0,"",EsteeNew!AR91-EsteeOld!AR91)</f>
        <v/>
      </c>
      <c r="AS91" s="65" t="str">
        <f>IF(EsteeNew!AS91-EsteeOld!AS91=0,"",EsteeNew!AS91-EsteeOld!AS91)</f>
        <v/>
      </c>
      <c r="AT91" s="65" t="str">
        <f>IF(EsteeNew!AT91-EsteeOld!AT91=0,"",EsteeNew!AT91-EsteeOld!AT91)</f>
        <v/>
      </c>
      <c r="AU91" s="65" t="str">
        <f>IF(EsteeNew!AU91-EsteeOld!AU91=0,"",EsteeNew!AU91-EsteeOld!AU91)</f>
        <v/>
      </c>
      <c r="AV91" s="65" t="str">
        <f>IF(EsteeNew!AV91-EsteeOld!AV91=0,"",EsteeNew!AV91-EsteeOld!AV91)</f>
        <v/>
      </c>
      <c r="AW91" s="65" t="str">
        <f>IF(EsteeNew!AW91-EsteeOld!AW91=0,"",EsteeNew!AW91-EsteeOld!AW91)</f>
        <v/>
      </c>
      <c r="AX91" s="65" t="str">
        <f>IF(EsteeNew!AX91-EsteeOld!AX91=0,"",EsteeNew!AX91-EsteeOld!AX91)</f>
        <v/>
      </c>
      <c r="AY91" s="65" t="str">
        <f>IF(EsteeNew!AY91-EsteeOld!AY91=0,"",EsteeNew!AY91-EsteeOld!AY91)</f>
        <v/>
      </c>
      <c r="AZ91" s="65" t="str">
        <f>IF(EsteeNew!AZ91-EsteeOld!AZ91=0,"",EsteeNew!AZ91-EsteeOld!AZ91)</f>
        <v/>
      </c>
      <c r="BA91" s="65" t="str">
        <f>IF(EsteeNew!BA91-EsteeOld!BA91=0,"",EsteeNew!BA91-EsteeOld!BA91)</f>
        <v/>
      </c>
      <c r="BB91" s="65" t="str">
        <f>IF(EsteeNew!BB91-EsteeOld!BB91=0,"",EsteeNew!BB91-EsteeOld!BB91)</f>
        <v/>
      </c>
      <c r="BC91" s="65" t="str">
        <f>IF(EsteeNew!BC91-EsteeOld!BC91=0,"",EsteeNew!BC91-EsteeOld!BC91)</f>
        <v/>
      </c>
      <c r="BD91" s="65" t="str">
        <f>IF(EsteeNew!BD91-EsteeOld!BD91=0,"",EsteeNew!BD91-EsteeOld!BD91)</f>
        <v/>
      </c>
    </row>
    <row r="92" spans="3:56" x14ac:dyDescent="0.25">
      <c r="C92" s="106"/>
      <c r="D92" s="49" t="s">
        <v>39</v>
      </c>
      <c r="E92" s="65" t="str">
        <f>IF(EsteeNew!E92-EsteeOld!E92=0,"",EsteeNew!E92-EsteeOld!E92)</f>
        <v/>
      </c>
      <c r="F92" s="65" t="str">
        <f>IF(EsteeNew!F92-EsteeOld!F92=0,"",EsteeNew!F92-EsteeOld!F92)</f>
        <v/>
      </c>
      <c r="G92" s="65" t="str">
        <f>IF(EsteeNew!G92-EsteeOld!G92=0,"",EsteeNew!G92-EsteeOld!G92)</f>
        <v/>
      </c>
      <c r="H92" s="65" t="str">
        <f>IF(EsteeNew!H92-EsteeOld!H92=0,"",EsteeNew!H92-EsteeOld!H92)</f>
        <v/>
      </c>
      <c r="I92" s="65" t="str">
        <f>IF(EsteeNew!I92-EsteeOld!I92=0,"",EsteeNew!I92-EsteeOld!I92)</f>
        <v/>
      </c>
      <c r="J92" s="65" t="str">
        <f>IF(EsteeNew!J92-EsteeOld!J92=0,"",EsteeNew!J92-EsteeOld!J92)</f>
        <v/>
      </c>
      <c r="K92" s="65" t="str">
        <f>IF(EsteeNew!K92-EsteeOld!K92=0,"",EsteeNew!K92-EsteeOld!K92)</f>
        <v/>
      </c>
      <c r="L92" s="65" t="str">
        <f>IF(EsteeNew!L92-EsteeOld!L92=0,"",EsteeNew!L92-EsteeOld!L92)</f>
        <v/>
      </c>
      <c r="M92" s="65" t="str">
        <f>IF(EsteeNew!M92-EsteeOld!M92=0,"",EsteeNew!M92-EsteeOld!M92)</f>
        <v/>
      </c>
      <c r="N92" s="65" t="str">
        <f>IF(EsteeNew!N92-EsteeOld!N92=0,"",EsteeNew!N92-EsteeOld!N92)</f>
        <v/>
      </c>
      <c r="O92" s="65" t="str">
        <f>IF(EsteeNew!O92-EsteeOld!O92=0,"",EsteeNew!O92-EsteeOld!O92)</f>
        <v/>
      </c>
      <c r="P92" s="65" t="str">
        <f>IF(EsteeNew!P92-EsteeOld!P92=0,"",EsteeNew!P92-EsteeOld!P92)</f>
        <v/>
      </c>
      <c r="Q92" s="65" t="str">
        <f>IF(EsteeNew!Q92-EsteeOld!Q92=0,"",EsteeNew!Q92-EsteeOld!Q92)</f>
        <v/>
      </c>
      <c r="R92" s="65" t="str">
        <f>IF(EsteeNew!R92-EsteeOld!R92=0,"",EsteeNew!R92-EsteeOld!R92)</f>
        <v/>
      </c>
      <c r="S92" s="65" t="str">
        <f>IF(EsteeNew!S92-EsteeOld!S92=0,"",EsteeNew!S92-EsteeOld!S92)</f>
        <v/>
      </c>
      <c r="T92" s="65" t="str">
        <f>IF(EsteeNew!T92-EsteeOld!T92=0,"",EsteeNew!T92-EsteeOld!T92)</f>
        <v/>
      </c>
      <c r="U92" s="65" t="str">
        <f>IF(EsteeNew!U92-EsteeOld!U92=0,"",EsteeNew!U92-EsteeOld!U92)</f>
        <v/>
      </c>
      <c r="V92" s="65" t="str">
        <f>IF(EsteeNew!V92-EsteeOld!V92=0,"",EsteeNew!V92-EsteeOld!V92)</f>
        <v/>
      </c>
      <c r="W92" s="65" t="str">
        <f>IF(EsteeNew!W92-EsteeOld!W92=0,"",EsteeNew!W92-EsteeOld!W92)</f>
        <v/>
      </c>
      <c r="X92" s="65" t="str">
        <f>IF(EsteeNew!X92-EsteeOld!X92=0,"",EsteeNew!X92-EsteeOld!X92)</f>
        <v/>
      </c>
      <c r="Y92" s="65" t="str">
        <f>IF(EsteeNew!Y92-EsteeOld!Y92=0,"",EsteeNew!Y92-EsteeOld!Y92)</f>
        <v/>
      </c>
      <c r="Z92" s="65" t="str">
        <f>IF(EsteeNew!Z92-EsteeOld!Z92=0,"",EsteeNew!Z92-EsteeOld!Z92)</f>
        <v/>
      </c>
      <c r="AA92" s="65" t="str">
        <f>IF(EsteeNew!AA92-EsteeOld!AA92=0,"",EsteeNew!AA92-EsteeOld!AA92)</f>
        <v/>
      </c>
      <c r="AB92" s="65" t="str">
        <f>IF(EsteeNew!AB92-EsteeOld!AB92=0,"",EsteeNew!AB92-EsteeOld!AB92)</f>
        <v/>
      </c>
      <c r="AC92" s="65" t="str">
        <f>IF(EsteeNew!AC92-EsteeOld!AC92=0,"",EsteeNew!AC92-EsteeOld!AC92)</f>
        <v/>
      </c>
      <c r="AD92" s="65" t="str">
        <f>IF(EsteeNew!AD92-EsteeOld!AD92=0,"",EsteeNew!AD92-EsteeOld!AD92)</f>
        <v/>
      </c>
      <c r="AE92" s="65" t="str">
        <f>IF(EsteeNew!AE92-EsteeOld!AE92=0,"",EsteeNew!AE92-EsteeOld!AE92)</f>
        <v/>
      </c>
      <c r="AF92" s="65" t="str">
        <f>IF(EsteeNew!AF92-EsteeOld!AF92=0,"",EsteeNew!AF92-EsteeOld!AF92)</f>
        <v/>
      </c>
      <c r="AG92" s="65" t="str">
        <f>IF(EsteeNew!AG92-EsteeOld!AG92=0,"",EsteeNew!AG92-EsteeOld!AG92)</f>
        <v/>
      </c>
      <c r="AH92" s="65" t="str">
        <f>IF(EsteeNew!AH92-EsteeOld!AH92=0,"",EsteeNew!AH92-EsteeOld!AH92)</f>
        <v/>
      </c>
      <c r="AI92" s="65" t="str">
        <f>IF(EsteeNew!AI92-EsteeOld!AI92=0,"",EsteeNew!AI92-EsteeOld!AI92)</f>
        <v/>
      </c>
      <c r="AJ92" s="65" t="str">
        <f>IF(EsteeNew!AJ92-EsteeOld!AJ92=0,"",EsteeNew!AJ92-EsteeOld!AJ92)</f>
        <v/>
      </c>
      <c r="AK92" s="65" t="str">
        <f>IF(EsteeNew!AK92-EsteeOld!AK92=0,"",EsteeNew!AK92-EsteeOld!AK92)</f>
        <v/>
      </c>
      <c r="AL92" s="65" t="str">
        <f>IF(EsteeNew!AL92-EsteeOld!AL92=0,"",EsteeNew!AL92-EsteeOld!AL92)</f>
        <v/>
      </c>
      <c r="AM92" s="65" t="str">
        <f>IF(EsteeNew!AM92-EsteeOld!AM92=0,"",EsteeNew!AM92-EsteeOld!AM92)</f>
        <v/>
      </c>
      <c r="AN92" s="65" t="str">
        <f>IF(EsteeNew!AN92-EsteeOld!AN92=0,"",EsteeNew!AN92-EsteeOld!AN92)</f>
        <v/>
      </c>
      <c r="AO92" s="65" t="str">
        <f>IF(EsteeNew!AO92-EsteeOld!AO92=0,"",EsteeNew!AO92-EsteeOld!AO92)</f>
        <v/>
      </c>
      <c r="AP92" s="65" t="str">
        <f>IF(EsteeNew!AP92-EsteeOld!AP92=0,"",EsteeNew!AP92-EsteeOld!AP92)</f>
        <v/>
      </c>
      <c r="AQ92" s="65" t="str">
        <f>IF(EsteeNew!AQ92-EsteeOld!AQ92=0,"",EsteeNew!AQ92-EsteeOld!AQ92)</f>
        <v/>
      </c>
      <c r="AR92" s="65" t="str">
        <f>IF(EsteeNew!AR92-EsteeOld!AR92=0,"",EsteeNew!AR92-EsteeOld!AR92)</f>
        <v/>
      </c>
      <c r="AS92" s="65" t="str">
        <f>IF(EsteeNew!AS92-EsteeOld!AS92=0,"",EsteeNew!AS92-EsteeOld!AS92)</f>
        <v/>
      </c>
      <c r="AT92" s="65" t="str">
        <f>IF(EsteeNew!AT92-EsteeOld!AT92=0,"",EsteeNew!AT92-EsteeOld!AT92)</f>
        <v/>
      </c>
      <c r="AU92" s="65" t="str">
        <f>IF(EsteeNew!AU92-EsteeOld!AU92=0,"",EsteeNew!AU92-EsteeOld!AU92)</f>
        <v/>
      </c>
      <c r="AV92" s="65" t="str">
        <f>IF(EsteeNew!AV92-EsteeOld!AV92=0,"",EsteeNew!AV92-EsteeOld!AV92)</f>
        <v/>
      </c>
      <c r="AW92" s="65" t="str">
        <f>IF(EsteeNew!AW92-EsteeOld!AW92=0,"",EsteeNew!AW92-EsteeOld!AW92)</f>
        <v/>
      </c>
      <c r="AX92" s="65" t="str">
        <f>IF(EsteeNew!AX92-EsteeOld!AX92=0,"",EsteeNew!AX92-EsteeOld!AX92)</f>
        <v/>
      </c>
      <c r="AY92" s="65" t="str">
        <f>IF(EsteeNew!AY92-EsteeOld!AY92=0,"",EsteeNew!AY92-EsteeOld!AY92)</f>
        <v/>
      </c>
      <c r="AZ92" s="65" t="str">
        <f>IF(EsteeNew!AZ92-EsteeOld!AZ92=0,"",EsteeNew!AZ92-EsteeOld!AZ92)</f>
        <v/>
      </c>
      <c r="BA92" s="65" t="str">
        <f>IF(EsteeNew!BA92-EsteeOld!BA92=0,"",EsteeNew!BA92-EsteeOld!BA92)</f>
        <v/>
      </c>
      <c r="BB92" s="65" t="str">
        <f>IF(EsteeNew!BB92-EsteeOld!BB92=0,"",EsteeNew!BB92-EsteeOld!BB92)</f>
        <v/>
      </c>
      <c r="BC92" s="65" t="str">
        <f>IF(EsteeNew!BC92-EsteeOld!BC92=0,"",EsteeNew!BC92-EsteeOld!BC92)</f>
        <v/>
      </c>
      <c r="BD92" s="65" t="str">
        <f>IF(EsteeNew!BD92-EsteeOld!BD92=0,"",EsteeNew!BD92-EsteeOld!BD92)</f>
        <v/>
      </c>
    </row>
    <row r="93" spans="3:56" x14ac:dyDescent="0.25">
      <c r="C93" s="106"/>
      <c r="D93" s="49" t="s">
        <v>40</v>
      </c>
      <c r="E93" s="65" t="str">
        <f>IF(EsteeNew!E93-EsteeOld!E93=0,"",EsteeNew!E93-EsteeOld!E93)</f>
        <v/>
      </c>
      <c r="F93" s="65" t="str">
        <f>IF(EsteeNew!F93-EsteeOld!F93=0,"",EsteeNew!F93-EsteeOld!F93)</f>
        <v/>
      </c>
      <c r="G93" s="65" t="str">
        <f>IF(EsteeNew!G93-EsteeOld!G93=0,"",EsteeNew!G93-EsteeOld!G93)</f>
        <v/>
      </c>
      <c r="H93" s="65" t="str">
        <f>IF(EsteeNew!H93-EsteeOld!H93=0,"",EsteeNew!H93-EsteeOld!H93)</f>
        <v/>
      </c>
      <c r="I93" s="65" t="str">
        <f>IF(EsteeNew!I93-EsteeOld!I93=0,"",EsteeNew!I93-EsteeOld!I93)</f>
        <v/>
      </c>
      <c r="J93" s="65" t="str">
        <f>IF(EsteeNew!J93-EsteeOld!J93=0,"",EsteeNew!J93-EsteeOld!J93)</f>
        <v/>
      </c>
      <c r="K93" s="65" t="str">
        <f>IF(EsteeNew!K93-EsteeOld!K93=0,"",EsteeNew!K93-EsteeOld!K93)</f>
        <v/>
      </c>
      <c r="L93" s="65" t="str">
        <f>IF(EsteeNew!L93-EsteeOld!L93=0,"",EsteeNew!L93-EsteeOld!L93)</f>
        <v/>
      </c>
      <c r="M93" s="65" t="str">
        <f>IF(EsteeNew!M93-EsteeOld!M93=0,"",EsteeNew!M93-EsteeOld!M93)</f>
        <v/>
      </c>
      <c r="N93" s="65" t="str">
        <f>IF(EsteeNew!N93-EsteeOld!N93=0,"",EsteeNew!N93-EsteeOld!N93)</f>
        <v/>
      </c>
      <c r="O93" s="65" t="str">
        <f>IF(EsteeNew!O93-EsteeOld!O93=0,"",EsteeNew!O93-EsteeOld!O93)</f>
        <v/>
      </c>
      <c r="P93" s="65" t="str">
        <f>IF(EsteeNew!P93-EsteeOld!P93=0,"",EsteeNew!P93-EsteeOld!P93)</f>
        <v/>
      </c>
      <c r="Q93" s="65" t="str">
        <f>IF(EsteeNew!Q93-EsteeOld!Q93=0,"",EsteeNew!Q93-EsteeOld!Q93)</f>
        <v/>
      </c>
      <c r="R93" s="65" t="str">
        <f>IF(EsteeNew!R93-EsteeOld!R93=0,"",EsteeNew!R93-EsteeOld!R93)</f>
        <v/>
      </c>
      <c r="S93" s="65" t="str">
        <f>IF(EsteeNew!S93-EsteeOld!S93=0,"",EsteeNew!S93-EsteeOld!S93)</f>
        <v/>
      </c>
      <c r="T93" s="65" t="str">
        <f>IF(EsteeNew!T93-EsteeOld!T93=0,"",EsteeNew!T93-EsteeOld!T93)</f>
        <v/>
      </c>
      <c r="U93" s="65" t="str">
        <f>IF(EsteeNew!U93-EsteeOld!U93=0,"",EsteeNew!U93-EsteeOld!U93)</f>
        <v/>
      </c>
      <c r="V93" s="65" t="str">
        <f>IF(EsteeNew!V93-EsteeOld!V93=0,"",EsteeNew!V93-EsteeOld!V93)</f>
        <v/>
      </c>
      <c r="W93" s="65" t="str">
        <f>IF(EsteeNew!W93-EsteeOld!W93=0,"",EsteeNew!W93-EsteeOld!W93)</f>
        <v/>
      </c>
      <c r="X93" s="65" t="str">
        <f>IF(EsteeNew!X93-EsteeOld!X93=0,"",EsteeNew!X93-EsteeOld!X93)</f>
        <v/>
      </c>
      <c r="Y93" s="65" t="str">
        <f>IF(EsteeNew!Y93-EsteeOld!Y93=0,"",EsteeNew!Y93-EsteeOld!Y93)</f>
        <v/>
      </c>
      <c r="Z93" s="65" t="str">
        <f>IF(EsteeNew!Z93-EsteeOld!Z93=0,"",EsteeNew!Z93-EsteeOld!Z93)</f>
        <v/>
      </c>
      <c r="AA93" s="65" t="str">
        <f>IF(EsteeNew!AA93-EsteeOld!AA93=0,"",EsteeNew!AA93-EsteeOld!AA93)</f>
        <v/>
      </c>
      <c r="AB93" s="65" t="str">
        <f>IF(EsteeNew!AB93-EsteeOld!AB93=0,"",EsteeNew!AB93-EsteeOld!AB93)</f>
        <v/>
      </c>
      <c r="AC93" s="65" t="str">
        <f>IF(EsteeNew!AC93-EsteeOld!AC93=0,"",EsteeNew!AC93-EsteeOld!AC93)</f>
        <v/>
      </c>
      <c r="AD93" s="65" t="str">
        <f>IF(EsteeNew!AD93-EsteeOld!AD93=0,"",EsteeNew!AD93-EsteeOld!AD93)</f>
        <v/>
      </c>
      <c r="AE93" s="65" t="str">
        <f>IF(EsteeNew!AE93-EsteeOld!AE93=0,"",EsteeNew!AE93-EsteeOld!AE93)</f>
        <v/>
      </c>
      <c r="AF93" s="65" t="str">
        <f>IF(EsteeNew!AF93-EsteeOld!AF93=0,"",EsteeNew!AF93-EsteeOld!AF93)</f>
        <v/>
      </c>
      <c r="AG93" s="65" t="str">
        <f>IF(EsteeNew!AG93-EsteeOld!AG93=0,"",EsteeNew!AG93-EsteeOld!AG93)</f>
        <v/>
      </c>
      <c r="AH93" s="65" t="str">
        <f>IF(EsteeNew!AH93-EsteeOld!AH93=0,"",EsteeNew!AH93-EsteeOld!AH93)</f>
        <v/>
      </c>
      <c r="AI93" s="65" t="str">
        <f>IF(EsteeNew!AI93-EsteeOld!AI93=0,"",EsteeNew!AI93-EsteeOld!AI93)</f>
        <v/>
      </c>
      <c r="AJ93" s="65" t="str">
        <f>IF(EsteeNew!AJ93-EsteeOld!AJ93=0,"",EsteeNew!AJ93-EsteeOld!AJ93)</f>
        <v/>
      </c>
      <c r="AK93" s="65" t="str">
        <f>IF(EsteeNew!AK93-EsteeOld!AK93=0,"",EsteeNew!AK93-EsteeOld!AK93)</f>
        <v/>
      </c>
      <c r="AL93" s="65" t="str">
        <f>IF(EsteeNew!AL93-EsteeOld!AL93=0,"",EsteeNew!AL93-EsteeOld!AL93)</f>
        <v/>
      </c>
      <c r="AM93" s="65" t="str">
        <f>IF(EsteeNew!AM93-EsteeOld!AM93=0,"",EsteeNew!AM93-EsteeOld!AM93)</f>
        <v/>
      </c>
      <c r="AN93" s="65" t="str">
        <f>IF(EsteeNew!AN93-EsteeOld!AN93=0,"",EsteeNew!AN93-EsteeOld!AN93)</f>
        <v/>
      </c>
      <c r="AO93" s="65" t="str">
        <f>IF(EsteeNew!AO93-EsteeOld!AO93=0,"",EsteeNew!AO93-EsteeOld!AO93)</f>
        <v/>
      </c>
      <c r="AP93" s="65" t="str">
        <f>IF(EsteeNew!AP93-EsteeOld!AP93=0,"",EsteeNew!AP93-EsteeOld!AP93)</f>
        <v/>
      </c>
      <c r="AQ93" s="65" t="str">
        <f>IF(EsteeNew!AQ93-EsteeOld!AQ93=0,"",EsteeNew!AQ93-EsteeOld!AQ93)</f>
        <v/>
      </c>
      <c r="AR93" s="65" t="str">
        <f>IF(EsteeNew!AR93-EsteeOld!AR93=0,"",EsteeNew!AR93-EsteeOld!AR93)</f>
        <v/>
      </c>
      <c r="AS93" s="65" t="str">
        <f>IF(EsteeNew!AS93-EsteeOld!AS93=0,"",EsteeNew!AS93-EsteeOld!AS93)</f>
        <v/>
      </c>
      <c r="AT93" s="65" t="str">
        <f>IF(EsteeNew!AT93-EsteeOld!AT93=0,"",EsteeNew!AT93-EsteeOld!AT93)</f>
        <v/>
      </c>
      <c r="AU93" s="65" t="str">
        <f>IF(EsteeNew!AU93-EsteeOld!AU93=0,"",EsteeNew!AU93-EsteeOld!AU93)</f>
        <v/>
      </c>
      <c r="AV93" s="65" t="str">
        <f>IF(EsteeNew!AV93-EsteeOld!AV93=0,"",EsteeNew!AV93-EsteeOld!AV93)</f>
        <v/>
      </c>
      <c r="AW93" s="65" t="str">
        <f>IF(EsteeNew!AW93-EsteeOld!AW93=0,"",EsteeNew!AW93-EsteeOld!AW93)</f>
        <v/>
      </c>
      <c r="AX93" s="65" t="str">
        <f>IF(EsteeNew!AX93-EsteeOld!AX93=0,"",EsteeNew!AX93-EsteeOld!AX93)</f>
        <v/>
      </c>
      <c r="AY93" s="65" t="str">
        <f>IF(EsteeNew!AY93-EsteeOld!AY93=0,"",EsteeNew!AY93-EsteeOld!AY93)</f>
        <v/>
      </c>
      <c r="AZ93" s="65" t="str">
        <f>IF(EsteeNew!AZ93-EsteeOld!AZ93=0,"",EsteeNew!AZ93-EsteeOld!AZ93)</f>
        <v/>
      </c>
      <c r="BA93" s="65" t="str">
        <f>IF(EsteeNew!BA93-EsteeOld!BA93=0,"",EsteeNew!BA93-EsteeOld!BA93)</f>
        <v/>
      </c>
      <c r="BB93" s="65" t="str">
        <f>IF(EsteeNew!BB93-EsteeOld!BB93=0,"",EsteeNew!BB93-EsteeOld!BB93)</f>
        <v/>
      </c>
      <c r="BC93" s="65" t="str">
        <f>IF(EsteeNew!BC93-EsteeOld!BC93=0,"",EsteeNew!BC93-EsteeOld!BC93)</f>
        <v/>
      </c>
      <c r="BD93" s="65" t="str">
        <f>IF(EsteeNew!BD93-EsteeOld!BD93=0,"",EsteeNew!BD93-EsteeOld!BD93)</f>
        <v/>
      </c>
    </row>
    <row r="94" spans="3:56" x14ac:dyDescent="0.25">
      <c r="C94" s="106"/>
      <c r="D94" s="50" t="s">
        <v>41</v>
      </c>
      <c r="E94" s="54" t="str">
        <f>IFERROR((SUM(E87:E93)*E96)/((40*(1-E95)+40)),"")</f>
        <v/>
      </c>
      <c r="F94" s="54" t="str">
        <f t="shared" ref="F94:BD94" si="17">IFERROR((SUM(F87:F93)*F96)/((40*(1-F95)+40)),"")</f>
        <v/>
      </c>
      <c r="G94" s="54" t="str">
        <f t="shared" si="17"/>
        <v/>
      </c>
      <c r="H94" s="54" t="str">
        <f t="shared" si="17"/>
        <v/>
      </c>
      <c r="I94" s="54" t="str">
        <f t="shared" si="17"/>
        <v/>
      </c>
      <c r="J94" s="54" t="str">
        <f t="shared" si="17"/>
        <v/>
      </c>
      <c r="K94" s="54" t="str">
        <f t="shared" si="17"/>
        <v/>
      </c>
      <c r="L94" s="54" t="str">
        <f t="shared" si="17"/>
        <v/>
      </c>
      <c r="M94" s="54" t="str">
        <f t="shared" si="17"/>
        <v/>
      </c>
      <c r="N94" s="54" t="str">
        <f t="shared" si="17"/>
        <v/>
      </c>
      <c r="O94" s="54" t="str">
        <f t="shared" si="17"/>
        <v/>
      </c>
      <c r="P94" s="54" t="str">
        <f t="shared" si="17"/>
        <v/>
      </c>
      <c r="Q94" s="54" t="str">
        <f t="shared" si="17"/>
        <v/>
      </c>
      <c r="R94" s="54" t="str">
        <f t="shared" si="17"/>
        <v/>
      </c>
      <c r="S94" s="54" t="str">
        <f t="shared" si="17"/>
        <v/>
      </c>
      <c r="T94" s="54" t="str">
        <f t="shared" si="17"/>
        <v/>
      </c>
      <c r="U94" s="54" t="str">
        <f t="shared" si="17"/>
        <v/>
      </c>
      <c r="V94" s="54" t="str">
        <f t="shared" si="17"/>
        <v/>
      </c>
      <c r="W94" s="54" t="str">
        <f t="shared" si="17"/>
        <v/>
      </c>
      <c r="X94" s="54" t="str">
        <f t="shared" si="17"/>
        <v/>
      </c>
      <c r="Y94" s="54" t="str">
        <f t="shared" si="17"/>
        <v/>
      </c>
      <c r="Z94" s="54" t="str">
        <f t="shared" si="17"/>
        <v/>
      </c>
      <c r="AA94" s="54" t="str">
        <f t="shared" si="17"/>
        <v/>
      </c>
      <c r="AB94" s="54" t="str">
        <f t="shared" si="17"/>
        <v/>
      </c>
      <c r="AC94" s="54" t="str">
        <f t="shared" si="17"/>
        <v/>
      </c>
      <c r="AD94" s="54" t="str">
        <f t="shared" si="17"/>
        <v/>
      </c>
      <c r="AE94" s="54" t="str">
        <f t="shared" si="17"/>
        <v/>
      </c>
      <c r="AF94" s="54" t="str">
        <f t="shared" si="17"/>
        <v/>
      </c>
      <c r="AG94" s="54" t="str">
        <f t="shared" si="17"/>
        <v/>
      </c>
      <c r="AH94" s="54" t="str">
        <f t="shared" si="17"/>
        <v/>
      </c>
      <c r="AI94" s="54" t="str">
        <f t="shared" si="17"/>
        <v/>
      </c>
      <c r="AJ94" s="54" t="str">
        <f t="shared" si="17"/>
        <v/>
      </c>
      <c r="AK94" s="54" t="str">
        <f t="shared" si="17"/>
        <v/>
      </c>
      <c r="AL94" s="54" t="str">
        <f t="shared" si="17"/>
        <v/>
      </c>
      <c r="AM94" s="54" t="str">
        <f t="shared" si="17"/>
        <v/>
      </c>
      <c r="AN94" s="54" t="str">
        <f t="shared" si="17"/>
        <v/>
      </c>
      <c r="AO94" s="54" t="str">
        <f t="shared" si="17"/>
        <v/>
      </c>
      <c r="AP94" s="54" t="str">
        <f t="shared" si="17"/>
        <v/>
      </c>
      <c r="AQ94" s="54" t="str">
        <f t="shared" si="17"/>
        <v/>
      </c>
      <c r="AR94" s="54" t="str">
        <f t="shared" si="17"/>
        <v/>
      </c>
      <c r="AS94" s="54" t="str">
        <f t="shared" si="17"/>
        <v/>
      </c>
      <c r="AT94" s="54" t="str">
        <f t="shared" si="17"/>
        <v/>
      </c>
      <c r="AU94" s="54" t="str">
        <f t="shared" si="17"/>
        <v/>
      </c>
      <c r="AV94" s="54" t="str">
        <f t="shared" si="17"/>
        <v/>
      </c>
      <c r="AW94" s="54" t="str">
        <f t="shared" si="17"/>
        <v/>
      </c>
      <c r="AX94" s="54" t="str">
        <f t="shared" si="17"/>
        <v/>
      </c>
      <c r="AY94" s="54" t="str">
        <f t="shared" si="17"/>
        <v/>
      </c>
      <c r="AZ94" s="54" t="str">
        <f t="shared" si="17"/>
        <v/>
      </c>
      <c r="BA94" s="54" t="str">
        <f t="shared" si="17"/>
        <v/>
      </c>
      <c r="BB94" s="54" t="str">
        <f t="shared" si="17"/>
        <v/>
      </c>
      <c r="BC94" s="54" t="str">
        <f t="shared" si="17"/>
        <v/>
      </c>
      <c r="BD94" s="54" t="str">
        <f t="shared" si="17"/>
        <v/>
      </c>
    </row>
    <row r="95" spans="3:56" x14ac:dyDescent="0.25">
      <c r="C95" s="106"/>
      <c r="D95" s="50" t="s">
        <v>42</v>
      </c>
      <c r="E95" s="67" t="str">
        <f>IF(EsteeNew!E95-EsteeOld!E95=0,"",EsteeNew!E95-EsteeOld!E95)</f>
        <v/>
      </c>
      <c r="F95" s="67" t="str">
        <f>IF(EsteeNew!F95-EsteeOld!F95=0,"",EsteeNew!F95-EsteeOld!F95)</f>
        <v/>
      </c>
      <c r="G95" s="67" t="str">
        <f>IF(EsteeNew!G95-EsteeOld!G95=0,"",EsteeNew!G95-EsteeOld!G95)</f>
        <v/>
      </c>
      <c r="H95" s="67" t="str">
        <f>IF(EsteeNew!H95-EsteeOld!H95=0,"",EsteeNew!H95-EsteeOld!H95)</f>
        <v/>
      </c>
      <c r="I95" s="67" t="str">
        <f>IF(EsteeNew!I95-EsteeOld!I95=0,"",EsteeNew!I95-EsteeOld!I95)</f>
        <v/>
      </c>
      <c r="J95" s="67" t="str">
        <f>IF(EsteeNew!J95-EsteeOld!J95=0,"",EsteeNew!J95-EsteeOld!J95)</f>
        <v/>
      </c>
      <c r="K95" s="67" t="str">
        <f>IF(EsteeNew!K95-EsteeOld!K95=0,"",EsteeNew!K95-EsteeOld!K95)</f>
        <v/>
      </c>
      <c r="L95" s="67" t="str">
        <f>IF(EsteeNew!L95-EsteeOld!L95=0,"",EsteeNew!L95-EsteeOld!L95)</f>
        <v/>
      </c>
      <c r="M95" s="67" t="str">
        <f>IF(EsteeNew!M95-EsteeOld!M95=0,"",EsteeNew!M95-EsteeOld!M95)</f>
        <v/>
      </c>
      <c r="N95" s="67" t="str">
        <f>IF(EsteeNew!N95-EsteeOld!N95=0,"",EsteeNew!N95-EsteeOld!N95)</f>
        <v/>
      </c>
      <c r="O95" s="67" t="str">
        <f>IF(EsteeNew!O95-EsteeOld!O95=0,"",EsteeNew!O95-EsteeOld!O95)</f>
        <v/>
      </c>
      <c r="P95" s="67" t="str">
        <f>IF(EsteeNew!P95-EsteeOld!P95=0,"",EsteeNew!P95-EsteeOld!P95)</f>
        <v/>
      </c>
      <c r="Q95" s="67" t="str">
        <f>IF(EsteeNew!Q95-EsteeOld!Q95=0,"",EsteeNew!Q95-EsteeOld!Q95)</f>
        <v/>
      </c>
      <c r="R95" s="67" t="str">
        <f>IF(EsteeNew!R95-EsteeOld!R95=0,"",EsteeNew!R95-EsteeOld!R95)</f>
        <v/>
      </c>
      <c r="S95" s="67" t="str">
        <f>IF(EsteeNew!S95-EsteeOld!S95=0,"",EsteeNew!S95-EsteeOld!S95)</f>
        <v/>
      </c>
      <c r="T95" s="67" t="str">
        <f>IF(EsteeNew!T95-EsteeOld!T95=0,"",EsteeNew!T95-EsteeOld!T95)</f>
        <v/>
      </c>
      <c r="U95" s="67" t="str">
        <f>IF(EsteeNew!U95-EsteeOld!U95=0,"",EsteeNew!U95-EsteeOld!U95)</f>
        <v/>
      </c>
      <c r="V95" s="67" t="str">
        <f>IF(EsteeNew!V95-EsteeOld!V95=0,"",EsteeNew!V95-EsteeOld!V95)</f>
        <v/>
      </c>
      <c r="W95" s="67" t="str">
        <f>IF(EsteeNew!W95-EsteeOld!W95=0,"",EsteeNew!W95-EsteeOld!W95)</f>
        <v/>
      </c>
      <c r="X95" s="67" t="str">
        <f>IF(EsteeNew!X95-EsteeOld!X95=0,"",EsteeNew!X95-EsteeOld!X95)</f>
        <v/>
      </c>
      <c r="Y95" s="67" t="str">
        <f>IF(EsteeNew!Y95-EsteeOld!Y95=0,"",EsteeNew!Y95-EsteeOld!Y95)</f>
        <v/>
      </c>
      <c r="Z95" s="67" t="str">
        <f>IF(EsteeNew!Z95-EsteeOld!Z95=0,"",EsteeNew!Z95-EsteeOld!Z95)</f>
        <v/>
      </c>
      <c r="AA95" s="67" t="str">
        <f>IF(EsteeNew!AA95-EsteeOld!AA95=0,"",EsteeNew!AA95-EsteeOld!AA95)</f>
        <v/>
      </c>
      <c r="AB95" s="67" t="str">
        <f>IF(EsteeNew!AB95-EsteeOld!AB95=0,"",EsteeNew!AB95-EsteeOld!AB95)</f>
        <v/>
      </c>
      <c r="AC95" s="67" t="str">
        <f>IF(EsteeNew!AC95-EsteeOld!AC95=0,"",EsteeNew!AC95-EsteeOld!AC95)</f>
        <v/>
      </c>
      <c r="AD95" s="67" t="str">
        <f>IF(EsteeNew!AD95-EsteeOld!AD95=0,"",EsteeNew!AD95-EsteeOld!AD95)</f>
        <v/>
      </c>
      <c r="AE95" s="67" t="str">
        <f>IF(EsteeNew!AE95-EsteeOld!AE95=0,"",EsteeNew!AE95-EsteeOld!AE95)</f>
        <v/>
      </c>
      <c r="AF95" s="67" t="str">
        <f>IF(EsteeNew!AF95-EsteeOld!AF95=0,"",EsteeNew!AF95-EsteeOld!AF95)</f>
        <v/>
      </c>
      <c r="AG95" s="67" t="str">
        <f>IF(EsteeNew!AG95-EsteeOld!AG95=0,"",EsteeNew!AG95-EsteeOld!AG95)</f>
        <v/>
      </c>
      <c r="AH95" s="67" t="str">
        <f>IF(EsteeNew!AH95-EsteeOld!AH95=0,"",EsteeNew!AH95-EsteeOld!AH95)</f>
        <v/>
      </c>
      <c r="AI95" s="67" t="str">
        <f>IF(EsteeNew!AI95-EsteeOld!AI95=0,"",EsteeNew!AI95-EsteeOld!AI95)</f>
        <v/>
      </c>
      <c r="AJ95" s="67" t="str">
        <f>IF(EsteeNew!AJ95-EsteeOld!AJ95=0,"",EsteeNew!AJ95-EsteeOld!AJ95)</f>
        <v/>
      </c>
      <c r="AK95" s="67" t="str">
        <f>IF(EsteeNew!AK95-EsteeOld!AK95=0,"",EsteeNew!AK95-EsteeOld!AK95)</f>
        <v/>
      </c>
      <c r="AL95" s="67" t="str">
        <f>IF(EsteeNew!AL95-EsteeOld!AL95=0,"",EsteeNew!AL95-EsteeOld!AL95)</f>
        <v/>
      </c>
      <c r="AM95" s="67" t="str">
        <f>IF(EsteeNew!AM95-EsteeOld!AM95=0,"",EsteeNew!AM95-EsteeOld!AM95)</f>
        <v/>
      </c>
      <c r="AN95" s="67" t="str">
        <f>IF(EsteeNew!AN95-EsteeOld!AN95=0,"",EsteeNew!AN95-EsteeOld!AN95)</f>
        <v/>
      </c>
      <c r="AO95" s="67" t="str">
        <f>IF(EsteeNew!AO95-EsteeOld!AO95=0,"",EsteeNew!AO95-EsteeOld!AO95)</f>
        <v/>
      </c>
      <c r="AP95" s="67" t="str">
        <f>IF(EsteeNew!AP95-EsteeOld!AP95=0,"",EsteeNew!AP95-EsteeOld!AP95)</f>
        <v/>
      </c>
      <c r="AQ95" s="67" t="str">
        <f>IF(EsteeNew!AQ95-EsteeOld!AQ95=0,"",EsteeNew!AQ95-EsteeOld!AQ95)</f>
        <v/>
      </c>
      <c r="AR95" s="67" t="str">
        <f>IF(EsteeNew!AR95-EsteeOld!AR95=0,"",EsteeNew!AR95-EsteeOld!AR95)</f>
        <v/>
      </c>
      <c r="AS95" s="67" t="str">
        <f>IF(EsteeNew!AS95-EsteeOld!AS95=0,"",EsteeNew!AS95-EsteeOld!AS95)</f>
        <v/>
      </c>
      <c r="AT95" s="67" t="str">
        <f>IF(EsteeNew!AT95-EsteeOld!AT95=0,"",EsteeNew!AT95-EsteeOld!AT95)</f>
        <v/>
      </c>
      <c r="AU95" s="67" t="str">
        <f>IF(EsteeNew!AU95-EsteeOld!AU95=0,"",EsteeNew!AU95-EsteeOld!AU95)</f>
        <v/>
      </c>
      <c r="AV95" s="67" t="str">
        <f>IF(EsteeNew!AV95-EsteeOld!AV95=0,"",EsteeNew!AV95-EsteeOld!AV95)</f>
        <v/>
      </c>
      <c r="AW95" s="67" t="str">
        <f>IF(EsteeNew!AW95-EsteeOld!AW95=0,"",EsteeNew!AW95-EsteeOld!AW95)</f>
        <v/>
      </c>
      <c r="AX95" s="67" t="str">
        <f>IF(EsteeNew!AX95-EsteeOld!AX95=0,"",EsteeNew!AX95-EsteeOld!AX95)</f>
        <v/>
      </c>
      <c r="AY95" s="67" t="str">
        <f>IF(EsteeNew!AY95-EsteeOld!AY95=0,"",EsteeNew!AY95-EsteeOld!AY95)</f>
        <v/>
      </c>
      <c r="AZ95" s="67" t="str">
        <f>IF(EsteeNew!AZ95-EsteeOld!AZ95=0,"",EsteeNew!AZ95-EsteeOld!AZ95)</f>
        <v/>
      </c>
      <c r="BA95" s="67" t="str">
        <f>IF(EsteeNew!BA95-EsteeOld!BA95=0,"",EsteeNew!BA95-EsteeOld!BA95)</f>
        <v/>
      </c>
      <c r="BB95" s="67" t="str">
        <f>IF(EsteeNew!BB95-EsteeOld!BB95=0,"",EsteeNew!BB95-EsteeOld!BB95)</f>
        <v/>
      </c>
      <c r="BC95" s="67" t="str">
        <f>IF(EsteeNew!BC95-EsteeOld!BC95=0,"",EsteeNew!BC95-EsteeOld!BC95)</f>
        <v/>
      </c>
      <c r="BD95" s="67" t="str">
        <f>IF(EsteeNew!BD95-EsteeOld!BD95=0,"",EsteeNew!BD95-EsteeOld!BD95)</f>
        <v/>
      </c>
    </row>
    <row r="96" spans="3:56" x14ac:dyDescent="0.25">
      <c r="C96" s="106"/>
      <c r="D96" s="50" t="s">
        <v>43</v>
      </c>
      <c r="E96" s="65" t="str">
        <f>IF(EsteeNew!E96-EsteeOld!E96=0,"",EsteeNew!E96-EsteeOld!E96)</f>
        <v/>
      </c>
      <c r="F96" s="65" t="str">
        <f>IF(EsteeNew!F96-EsteeOld!F96=0,"",EsteeNew!F96-EsteeOld!F96)</f>
        <v/>
      </c>
      <c r="G96" s="65" t="str">
        <f>IF(EsteeNew!G96-EsteeOld!G96=0,"",EsteeNew!G96-EsteeOld!G96)</f>
        <v/>
      </c>
      <c r="H96" s="65" t="str">
        <f>IF(EsteeNew!H96-EsteeOld!H96=0,"",EsteeNew!H96-EsteeOld!H96)</f>
        <v/>
      </c>
      <c r="I96" s="65" t="str">
        <f>IF(EsteeNew!I96-EsteeOld!I96=0,"",EsteeNew!I96-EsteeOld!I96)</f>
        <v/>
      </c>
      <c r="J96" s="65" t="str">
        <f>IF(EsteeNew!J96-EsteeOld!J96=0,"",EsteeNew!J96-EsteeOld!J96)</f>
        <v/>
      </c>
      <c r="K96" s="65" t="str">
        <f>IF(EsteeNew!K96-EsteeOld!K96=0,"",EsteeNew!K96-EsteeOld!K96)</f>
        <v/>
      </c>
      <c r="L96" s="65" t="str">
        <f>IF(EsteeNew!L96-EsteeOld!L96=0,"",EsteeNew!L96-EsteeOld!L96)</f>
        <v/>
      </c>
      <c r="M96" s="65" t="str">
        <f>IF(EsteeNew!M96-EsteeOld!M96=0,"",EsteeNew!M96-EsteeOld!M96)</f>
        <v/>
      </c>
      <c r="N96" s="65" t="str">
        <f>IF(EsteeNew!N96-EsteeOld!N96=0,"",EsteeNew!N96-EsteeOld!N96)</f>
        <v/>
      </c>
      <c r="O96" s="65" t="str">
        <f>IF(EsteeNew!O96-EsteeOld!O96=0,"",EsteeNew!O96-EsteeOld!O96)</f>
        <v/>
      </c>
      <c r="P96" s="65" t="str">
        <f>IF(EsteeNew!P96-EsteeOld!P96=0,"",EsteeNew!P96-EsteeOld!P96)</f>
        <v/>
      </c>
      <c r="Q96" s="65" t="str">
        <f>IF(EsteeNew!Q96-EsteeOld!Q96=0,"",EsteeNew!Q96-EsteeOld!Q96)</f>
        <v/>
      </c>
      <c r="R96" s="65" t="str">
        <f>IF(EsteeNew!R96-EsteeOld!R96=0,"",EsteeNew!R96-EsteeOld!R96)</f>
        <v/>
      </c>
      <c r="S96" s="65" t="str">
        <f>IF(EsteeNew!S96-EsteeOld!S96=0,"",EsteeNew!S96-EsteeOld!S96)</f>
        <v/>
      </c>
      <c r="T96" s="65" t="str">
        <f>IF(EsteeNew!T96-EsteeOld!T96=0,"",EsteeNew!T96-EsteeOld!T96)</f>
        <v/>
      </c>
      <c r="U96" s="65" t="str">
        <f>IF(EsteeNew!U96-EsteeOld!U96=0,"",EsteeNew!U96-EsteeOld!U96)</f>
        <v/>
      </c>
      <c r="V96" s="65" t="str">
        <f>IF(EsteeNew!V96-EsteeOld!V96=0,"",EsteeNew!V96-EsteeOld!V96)</f>
        <v/>
      </c>
      <c r="W96" s="65" t="str">
        <f>IF(EsteeNew!W96-EsteeOld!W96=0,"",EsteeNew!W96-EsteeOld!W96)</f>
        <v/>
      </c>
      <c r="X96" s="65" t="str">
        <f>IF(EsteeNew!X96-EsteeOld!X96=0,"",EsteeNew!X96-EsteeOld!X96)</f>
        <v/>
      </c>
      <c r="Y96" s="65" t="str">
        <f>IF(EsteeNew!Y96-EsteeOld!Y96=0,"",EsteeNew!Y96-EsteeOld!Y96)</f>
        <v/>
      </c>
      <c r="Z96" s="65" t="str">
        <f>IF(EsteeNew!Z96-EsteeOld!Z96=0,"",EsteeNew!Z96-EsteeOld!Z96)</f>
        <v/>
      </c>
      <c r="AA96" s="65" t="str">
        <f>IF(EsteeNew!AA96-EsteeOld!AA96=0,"",EsteeNew!AA96-EsteeOld!AA96)</f>
        <v/>
      </c>
      <c r="AB96" s="65" t="str">
        <f>IF(EsteeNew!AB96-EsteeOld!AB96=0,"",EsteeNew!AB96-EsteeOld!AB96)</f>
        <v/>
      </c>
      <c r="AC96" s="65" t="str">
        <f>IF(EsteeNew!AC96-EsteeOld!AC96=0,"",EsteeNew!AC96-EsteeOld!AC96)</f>
        <v/>
      </c>
      <c r="AD96" s="65" t="str">
        <f>IF(EsteeNew!AD96-EsteeOld!AD96=0,"",EsteeNew!AD96-EsteeOld!AD96)</f>
        <v/>
      </c>
      <c r="AE96" s="65" t="str">
        <f>IF(EsteeNew!AE96-EsteeOld!AE96=0,"",EsteeNew!AE96-EsteeOld!AE96)</f>
        <v/>
      </c>
      <c r="AF96" s="65" t="str">
        <f>IF(EsteeNew!AF96-EsteeOld!AF96=0,"",EsteeNew!AF96-EsteeOld!AF96)</f>
        <v/>
      </c>
      <c r="AG96" s="65" t="str">
        <f>IF(EsteeNew!AG96-EsteeOld!AG96=0,"",EsteeNew!AG96-EsteeOld!AG96)</f>
        <v/>
      </c>
      <c r="AH96" s="65" t="str">
        <f>IF(EsteeNew!AH96-EsteeOld!AH96=0,"",EsteeNew!AH96-EsteeOld!AH96)</f>
        <v/>
      </c>
      <c r="AI96" s="65" t="str">
        <f>IF(EsteeNew!AI96-EsteeOld!AI96=0,"",EsteeNew!AI96-EsteeOld!AI96)</f>
        <v/>
      </c>
      <c r="AJ96" s="65" t="str">
        <f>IF(EsteeNew!AJ96-EsteeOld!AJ96=0,"",EsteeNew!AJ96-EsteeOld!AJ96)</f>
        <v/>
      </c>
      <c r="AK96" s="65" t="str">
        <f>IF(EsteeNew!AK96-EsteeOld!AK96=0,"",EsteeNew!AK96-EsteeOld!AK96)</f>
        <v/>
      </c>
      <c r="AL96" s="65" t="str">
        <f>IF(EsteeNew!AL96-EsteeOld!AL96=0,"",EsteeNew!AL96-EsteeOld!AL96)</f>
        <v/>
      </c>
      <c r="AM96" s="65" t="str">
        <f>IF(EsteeNew!AM96-EsteeOld!AM96=0,"",EsteeNew!AM96-EsteeOld!AM96)</f>
        <v/>
      </c>
      <c r="AN96" s="65" t="str">
        <f>IF(EsteeNew!AN96-EsteeOld!AN96=0,"",EsteeNew!AN96-EsteeOld!AN96)</f>
        <v/>
      </c>
      <c r="AO96" s="65" t="str">
        <f>IF(EsteeNew!AO96-EsteeOld!AO96=0,"",EsteeNew!AO96-EsteeOld!AO96)</f>
        <v/>
      </c>
      <c r="AP96" s="65" t="str">
        <f>IF(EsteeNew!AP96-EsteeOld!AP96=0,"",EsteeNew!AP96-EsteeOld!AP96)</f>
        <v/>
      </c>
      <c r="AQ96" s="65" t="str">
        <f>IF(EsteeNew!AQ96-EsteeOld!AQ96=0,"",EsteeNew!AQ96-EsteeOld!AQ96)</f>
        <v/>
      </c>
      <c r="AR96" s="65" t="str">
        <f>IF(EsteeNew!AR96-EsteeOld!AR96=0,"",EsteeNew!AR96-EsteeOld!AR96)</f>
        <v/>
      </c>
      <c r="AS96" s="65" t="str">
        <f>IF(EsteeNew!AS96-EsteeOld!AS96=0,"",EsteeNew!AS96-EsteeOld!AS96)</f>
        <v/>
      </c>
      <c r="AT96" s="65" t="str">
        <f>IF(EsteeNew!AT96-EsteeOld!AT96=0,"",EsteeNew!AT96-EsteeOld!AT96)</f>
        <v/>
      </c>
      <c r="AU96" s="65" t="str">
        <f>IF(EsteeNew!AU96-EsteeOld!AU96=0,"",EsteeNew!AU96-EsteeOld!AU96)</f>
        <v/>
      </c>
      <c r="AV96" s="65" t="str">
        <f>IF(EsteeNew!AV96-EsteeOld!AV96=0,"",EsteeNew!AV96-EsteeOld!AV96)</f>
        <v/>
      </c>
      <c r="AW96" s="65" t="str">
        <f>IF(EsteeNew!AW96-EsteeOld!AW96=0,"",EsteeNew!AW96-EsteeOld!AW96)</f>
        <v/>
      </c>
      <c r="AX96" s="65" t="str">
        <f>IF(EsteeNew!AX96-EsteeOld!AX96=0,"",EsteeNew!AX96-EsteeOld!AX96)</f>
        <v/>
      </c>
      <c r="AY96" s="65" t="str">
        <f>IF(EsteeNew!AY96-EsteeOld!AY96=0,"",EsteeNew!AY96-EsteeOld!AY96)</f>
        <v/>
      </c>
      <c r="AZ96" s="65" t="str">
        <f>IF(EsteeNew!AZ96-EsteeOld!AZ96=0,"",EsteeNew!AZ96-EsteeOld!AZ96)</f>
        <v/>
      </c>
      <c r="BA96" s="65" t="str">
        <f>IF(EsteeNew!BA96-EsteeOld!BA96=0,"",EsteeNew!BA96-EsteeOld!BA96)</f>
        <v/>
      </c>
      <c r="BB96" s="65" t="str">
        <f>IF(EsteeNew!BB96-EsteeOld!BB96=0,"",EsteeNew!BB96-EsteeOld!BB96)</f>
        <v/>
      </c>
      <c r="BC96" s="65" t="str">
        <f>IF(EsteeNew!BC96-EsteeOld!BC96=0,"",EsteeNew!BC96-EsteeOld!BC96)</f>
        <v/>
      </c>
      <c r="BD96" s="65" t="str">
        <f>IF(EsteeNew!BD96-EsteeOld!BD96=0,"",EsteeNew!BD96-EsteeOld!BD96)</f>
        <v/>
      </c>
    </row>
    <row r="97" spans="3:56" x14ac:dyDescent="0.25">
      <c r="C97" s="106"/>
      <c r="D97" s="51" t="s">
        <v>44</v>
      </c>
      <c r="E97" s="61">
        <f t="shared" ref="E97" si="18">SUM(E87:E94)</f>
        <v>0</v>
      </c>
      <c r="F97" s="61">
        <f t="shared" ref="F97:BD97" si="19">SUM(F87:F94)</f>
        <v>0</v>
      </c>
      <c r="G97" s="61">
        <f t="shared" si="19"/>
        <v>0</v>
      </c>
      <c r="H97" s="61">
        <f t="shared" si="19"/>
        <v>0</v>
      </c>
      <c r="I97" s="61">
        <f t="shared" si="19"/>
        <v>0</v>
      </c>
      <c r="J97" s="61">
        <f t="shared" si="19"/>
        <v>0</v>
      </c>
      <c r="K97" s="61">
        <f t="shared" si="19"/>
        <v>0</v>
      </c>
      <c r="L97" s="61">
        <f t="shared" si="19"/>
        <v>0</v>
      </c>
      <c r="M97" s="61">
        <f t="shared" si="19"/>
        <v>0</v>
      </c>
      <c r="N97" s="61">
        <f t="shared" si="19"/>
        <v>0</v>
      </c>
      <c r="O97" s="61">
        <f t="shared" si="19"/>
        <v>0</v>
      </c>
      <c r="P97" s="61">
        <f t="shared" si="19"/>
        <v>0</v>
      </c>
      <c r="Q97" s="61">
        <f t="shared" si="19"/>
        <v>0</v>
      </c>
      <c r="R97" s="61">
        <f t="shared" si="19"/>
        <v>0</v>
      </c>
      <c r="S97" s="61">
        <f t="shared" si="19"/>
        <v>0</v>
      </c>
      <c r="T97" s="61">
        <f t="shared" si="19"/>
        <v>0</v>
      </c>
      <c r="U97" s="61">
        <f t="shared" si="19"/>
        <v>0</v>
      </c>
      <c r="V97" s="61">
        <f t="shared" si="19"/>
        <v>0</v>
      </c>
      <c r="W97" s="61">
        <f t="shared" si="19"/>
        <v>0</v>
      </c>
      <c r="X97" s="61">
        <f t="shared" si="19"/>
        <v>0</v>
      </c>
      <c r="Y97" s="61">
        <f t="shared" si="19"/>
        <v>0</v>
      </c>
      <c r="Z97" s="61">
        <f t="shared" si="19"/>
        <v>0</v>
      </c>
      <c r="AA97" s="61">
        <f t="shared" si="19"/>
        <v>0</v>
      </c>
      <c r="AB97" s="61">
        <f t="shared" si="19"/>
        <v>0</v>
      </c>
      <c r="AC97" s="61">
        <f t="shared" si="19"/>
        <v>0</v>
      </c>
      <c r="AD97" s="61">
        <f t="shared" si="19"/>
        <v>0</v>
      </c>
      <c r="AE97" s="61">
        <f t="shared" si="19"/>
        <v>0</v>
      </c>
      <c r="AF97" s="61">
        <f t="shared" si="19"/>
        <v>0</v>
      </c>
      <c r="AG97" s="61">
        <f t="shared" si="19"/>
        <v>0</v>
      </c>
      <c r="AH97" s="61">
        <f t="shared" si="19"/>
        <v>0</v>
      </c>
      <c r="AI97" s="61">
        <f t="shared" si="19"/>
        <v>0</v>
      </c>
      <c r="AJ97" s="61">
        <f t="shared" si="19"/>
        <v>0</v>
      </c>
      <c r="AK97" s="61">
        <f t="shared" si="19"/>
        <v>0</v>
      </c>
      <c r="AL97" s="61">
        <f t="shared" si="19"/>
        <v>0</v>
      </c>
      <c r="AM97" s="61">
        <f t="shared" si="19"/>
        <v>0</v>
      </c>
      <c r="AN97" s="61">
        <f t="shared" si="19"/>
        <v>0</v>
      </c>
      <c r="AO97" s="61">
        <f t="shared" si="19"/>
        <v>0</v>
      </c>
      <c r="AP97" s="61">
        <f t="shared" si="19"/>
        <v>0</v>
      </c>
      <c r="AQ97" s="61">
        <f t="shared" si="19"/>
        <v>0</v>
      </c>
      <c r="AR97" s="61">
        <f t="shared" si="19"/>
        <v>0</v>
      </c>
      <c r="AS97" s="61">
        <f t="shared" si="19"/>
        <v>0</v>
      </c>
      <c r="AT97" s="61">
        <f t="shared" si="19"/>
        <v>0</v>
      </c>
      <c r="AU97" s="61">
        <f t="shared" si="19"/>
        <v>0</v>
      </c>
      <c r="AV97" s="61">
        <f t="shared" si="19"/>
        <v>0</v>
      </c>
      <c r="AW97" s="61">
        <f t="shared" si="19"/>
        <v>0</v>
      </c>
      <c r="AX97" s="61">
        <f t="shared" si="19"/>
        <v>0</v>
      </c>
      <c r="AY97" s="61">
        <f t="shared" si="19"/>
        <v>0</v>
      </c>
      <c r="AZ97" s="61">
        <f t="shared" si="19"/>
        <v>0</v>
      </c>
      <c r="BA97" s="61">
        <f t="shared" si="19"/>
        <v>0</v>
      </c>
      <c r="BB97" s="61">
        <f t="shared" si="19"/>
        <v>0</v>
      </c>
      <c r="BC97" s="61">
        <f t="shared" si="19"/>
        <v>0</v>
      </c>
      <c r="BD97" s="61">
        <f t="shared" si="19"/>
        <v>0</v>
      </c>
    </row>
    <row r="98" spans="3:56" x14ac:dyDescent="0.25">
      <c r="C98" s="106"/>
      <c r="D98" s="52" t="s">
        <v>45</v>
      </c>
      <c r="E98" s="56" t="str">
        <f>IFERROR(E97-E85,"")</f>
        <v/>
      </c>
      <c r="F98" s="56" t="str">
        <f t="shared" ref="F98:BD98" si="20">IFERROR(F97-F85,"")</f>
        <v/>
      </c>
      <c r="G98" s="56" t="str">
        <f t="shared" si="20"/>
        <v/>
      </c>
      <c r="H98" s="56" t="str">
        <f t="shared" si="20"/>
        <v/>
      </c>
      <c r="I98" s="56" t="str">
        <f t="shared" si="20"/>
        <v/>
      </c>
      <c r="J98" s="56" t="str">
        <f t="shared" si="20"/>
        <v/>
      </c>
      <c r="K98" s="56" t="str">
        <f t="shared" si="20"/>
        <v/>
      </c>
      <c r="L98" s="56" t="str">
        <f t="shared" si="20"/>
        <v/>
      </c>
      <c r="M98" s="56" t="str">
        <f t="shared" si="20"/>
        <v/>
      </c>
      <c r="N98" s="56" t="str">
        <f t="shared" si="20"/>
        <v/>
      </c>
      <c r="O98" s="56" t="str">
        <f t="shared" si="20"/>
        <v/>
      </c>
      <c r="P98" s="56" t="str">
        <f t="shared" si="20"/>
        <v/>
      </c>
      <c r="Q98" s="56" t="str">
        <f t="shared" si="20"/>
        <v/>
      </c>
      <c r="R98" s="56" t="str">
        <f t="shared" si="20"/>
        <v/>
      </c>
      <c r="S98" s="56" t="str">
        <f t="shared" si="20"/>
        <v/>
      </c>
      <c r="T98" s="56" t="str">
        <f t="shared" si="20"/>
        <v/>
      </c>
      <c r="U98" s="56" t="str">
        <f t="shared" si="20"/>
        <v/>
      </c>
      <c r="V98" s="56" t="str">
        <f t="shared" si="20"/>
        <v/>
      </c>
      <c r="W98" s="56" t="str">
        <f t="shared" si="20"/>
        <v/>
      </c>
      <c r="X98" s="56" t="str">
        <f t="shared" si="20"/>
        <v/>
      </c>
      <c r="Y98" s="56">
        <f t="shared" si="20"/>
        <v>0.76794871794871611</v>
      </c>
      <c r="Z98" s="56" t="str">
        <f t="shared" si="20"/>
        <v/>
      </c>
      <c r="AA98" s="56" t="str">
        <f t="shared" si="20"/>
        <v/>
      </c>
      <c r="AB98" s="56" t="str">
        <f t="shared" si="20"/>
        <v/>
      </c>
      <c r="AC98" s="56" t="str">
        <f t="shared" si="20"/>
        <v/>
      </c>
      <c r="AD98" s="56" t="str">
        <f t="shared" si="20"/>
        <v/>
      </c>
      <c r="AE98" s="56" t="str">
        <f t="shared" si="20"/>
        <v/>
      </c>
      <c r="AF98" s="56" t="str">
        <f t="shared" si="20"/>
        <v/>
      </c>
      <c r="AG98" s="56" t="str">
        <f t="shared" si="20"/>
        <v/>
      </c>
      <c r="AH98" s="56" t="str">
        <f t="shared" si="20"/>
        <v/>
      </c>
      <c r="AI98" s="56" t="str">
        <f t="shared" si="20"/>
        <v/>
      </c>
      <c r="AJ98" s="56" t="str">
        <f t="shared" si="20"/>
        <v/>
      </c>
      <c r="AK98" s="56" t="str">
        <f t="shared" si="20"/>
        <v/>
      </c>
      <c r="AL98" s="56" t="str">
        <f t="shared" si="20"/>
        <v/>
      </c>
      <c r="AM98" s="56" t="str">
        <f t="shared" si="20"/>
        <v/>
      </c>
      <c r="AN98" s="56" t="str">
        <f t="shared" si="20"/>
        <v/>
      </c>
      <c r="AO98" s="56" t="str">
        <f t="shared" si="20"/>
        <v/>
      </c>
      <c r="AP98" s="56" t="str">
        <f t="shared" si="20"/>
        <v/>
      </c>
      <c r="AQ98" s="56" t="str">
        <f t="shared" si="20"/>
        <v/>
      </c>
      <c r="AR98" s="56" t="str">
        <f t="shared" si="20"/>
        <v/>
      </c>
      <c r="AS98" s="56" t="str">
        <f t="shared" si="20"/>
        <v/>
      </c>
      <c r="AT98" s="56" t="str">
        <f t="shared" si="20"/>
        <v/>
      </c>
      <c r="AU98" s="56" t="str">
        <f t="shared" si="20"/>
        <v/>
      </c>
      <c r="AV98" s="56" t="str">
        <f t="shared" si="20"/>
        <v/>
      </c>
      <c r="AW98" s="56" t="str">
        <f t="shared" si="20"/>
        <v/>
      </c>
      <c r="AX98" s="56" t="str">
        <f t="shared" si="20"/>
        <v/>
      </c>
      <c r="AY98" s="56" t="str">
        <f t="shared" si="20"/>
        <v/>
      </c>
      <c r="AZ98" s="56" t="str">
        <f t="shared" si="20"/>
        <v/>
      </c>
      <c r="BA98" s="56" t="str">
        <f t="shared" si="20"/>
        <v/>
      </c>
      <c r="BB98" s="56" t="str">
        <f t="shared" si="20"/>
        <v/>
      </c>
      <c r="BC98" s="56" t="str">
        <f t="shared" si="20"/>
        <v/>
      </c>
      <c r="BD98" s="56" t="str">
        <f t="shared" si="20"/>
        <v/>
      </c>
    </row>
    <row r="99" spans="3:56" x14ac:dyDescent="0.25">
      <c r="C99" s="106"/>
      <c r="D99" s="41" t="s">
        <v>46</v>
      </c>
      <c r="E99" s="56">
        <f>SUM(E98,LauderFTEChan!E92)</f>
        <v>0</v>
      </c>
      <c r="F99" s="56">
        <f>SUM(F98,LauderFTEChan!F92)</f>
        <v>0</v>
      </c>
      <c r="G99" s="56">
        <f>SUM(G98,LauderFTEChan!G92)</f>
        <v>0</v>
      </c>
      <c r="H99" s="56">
        <f>SUM(H98,LauderFTEChan!H92)</f>
        <v>0</v>
      </c>
      <c r="I99" s="56">
        <f>SUM(I98,LauderFTEChan!I92)</f>
        <v>0</v>
      </c>
      <c r="J99" s="56">
        <f>SUM(J98,LauderFTEChan!J92)</f>
        <v>0</v>
      </c>
      <c r="K99" s="56">
        <f>SUM(K98,LauderFTEChan!K92)</f>
        <v>0</v>
      </c>
      <c r="L99" s="56">
        <f>SUM(L98,LauderFTEChan!L92)</f>
        <v>0</v>
      </c>
      <c r="M99" s="56">
        <f>SUM(M98,LauderFTEChan!M92)</f>
        <v>0</v>
      </c>
      <c r="N99" s="56">
        <f>SUM(N98,LauderFTEChan!N92)</f>
        <v>0</v>
      </c>
      <c r="O99" s="56">
        <f>SUM(O98,LauderFTEChan!O92)</f>
        <v>0</v>
      </c>
      <c r="P99" s="56">
        <f>SUM(P98,LauderFTEChan!P92)</f>
        <v>0</v>
      </c>
      <c r="Q99" s="56">
        <f>SUM(Q98,LauderFTEChan!Q92)</f>
        <v>0</v>
      </c>
      <c r="R99" s="56">
        <f>SUM(R98,LauderFTEChan!R92)</f>
        <v>0</v>
      </c>
      <c r="S99" s="56">
        <f>SUM(S98,LauderFTEChan!S92)</f>
        <v>0</v>
      </c>
      <c r="T99" s="56">
        <f>SUM(T98,LauderFTEChan!T92)</f>
        <v>0</v>
      </c>
      <c r="U99" s="56">
        <f>SUM(U98,LauderFTEChan!U92)</f>
        <v>0</v>
      </c>
      <c r="V99" s="56">
        <f>SUM(V98,LauderFTEChan!V92)</f>
        <v>0</v>
      </c>
      <c r="W99" s="56">
        <f>SUM(W98,LauderFTEChan!W92)</f>
        <v>0</v>
      </c>
      <c r="X99" s="56">
        <f>SUM(X98,LauderFTEChan!X92)</f>
        <v>0</v>
      </c>
      <c r="Y99" s="56">
        <f>SUM(Y98,LauderFTEChan!Y92)</f>
        <v>1.4117152523402545</v>
      </c>
      <c r="Z99" s="56">
        <f>SUM(Z98,LauderFTEChan!Z92)</f>
        <v>0</v>
      </c>
      <c r="AA99" s="56">
        <f>SUM(AA98,LauderFTEChan!AA92)</f>
        <v>0</v>
      </c>
      <c r="AB99" s="56">
        <f>SUM(AB98,LauderFTEChan!AB92)</f>
        <v>0</v>
      </c>
      <c r="AC99" s="56">
        <f>SUM(AC98,LauderFTEChan!AC92)</f>
        <v>0</v>
      </c>
      <c r="AD99" s="56">
        <f>SUM(AD98,LauderFTEChan!AD92)</f>
        <v>0</v>
      </c>
      <c r="AE99" s="56">
        <f>SUM(AE98,LauderFTEChan!AE92)</f>
        <v>0</v>
      </c>
      <c r="AF99" s="56">
        <f>SUM(AF98,LauderFTEChan!AF92)</f>
        <v>0</v>
      </c>
      <c r="AG99" s="56">
        <f>SUM(AG98,LauderFTEChan!AG92)</f>
        <v>0</v>
      </c>
      <c r="AH99" s="56">
        <f>SUM(AH98,LauderFTEChan!AH92)</f>
        <v>0</v>
      </c>
      <c r="AI99" s="56">
        <f>SUM(AI98,LauderFTEChan!AI92)</f>
        <v>0</v>
      </c>
      <c r="AJ99" s="56">
        <f>SUM(AJ98,LauderFTEChan!AJ92)</f>
        <v>0</v>
      </c>
      <c r="AK99" s="56">
        <f>SUM(AK98,LauderFTEChan!AK92)</f>
        <v>0</v>
      </c>
      <c r="AL99" s="56">
        <f>SUM(AL98,LauderFTEChan!AL92)</f>
        <v>0</v>
      </c>
      <c r="AM99" s="56">
        <f>SUM(AM98,LauderFTEChan!AM92)</f>
        <v>0</v>
      </c>
      <c r="AN99" s="56">
        <f>SUM(AN98,LauderFTEChan!AN92)</f>
        <v>0</v>
      </c>
      <c r="AO99" s="56">
        <f>SUM(AO98,LauderFTEChan!AO92)</f>
        <v>0</v>
      </c>
      <c r="AP99" s="56">
        <f>SUM(AP98,LauderFTEChan!AP92)</f>
        <v>0</v>
      </c>
      <c r="AQ99" s="56">
        <f>SUM(AQ98,LauderFTEChan!AQ92)</f>
        <v>0</v>
      </c>
      <c r="AR99" s="56">
        <f>SUM(AR98,LauderFTEChan!AR92)</f>
        <v>0</v>
      </c>
      <c r="AS99" s="56">
        <f>SUM(AS98,LauderFTEChan!AS92)</f>
        <v>0</v>
      </c>
      <c r="AT99" s="56">
        <f>SUM(AT98,LauderFTEChan!AT92)</f>
        <v>0</v>
      </c>
      <c r="AU99" s="56">
        <f>SUM(AU98,LauderFTEChan!AU92)</f>
        <v>0</v>
      </c>
      <c r="AV99" s="56">
        <f>SUM(AV98,LauderFTEChan!AV92)</f>
        <v>0</v>
      </c>
      <c r="AW99" s="56">
        <f>SUM(AW98,LauderFTEChan!AW92)</f>
        <v>0</v>
      </c>
      <c r="AX99" s="56">
        <f>SUM(AX98,LauderFTEChan!AX92)</f>
        <v>0</v>
      </c>
      <c r="AY99" s="56">
        <f>SUM(AY98,LauderFTEChan!AY92)</f>
        <v>0</v>
      </c>
      <c r="AZ99" s="56">
        <f>SUM(AZ98,LauderFTEChan!AZ92)</f>
        <v>0</v>
      </c>
      <c r="BA99" s="56">
        <f>SUM(BA98,LauderFTEChan!BA92)</f>
        <v>0</v>
      </c>
      <c r="BB99" s="56">
        <f>SUM(BB98,LauderFTEChan!BB92)</f>
        <v>0</v>
      </c>
      <c r="BC99" s="56">
        <f>SUM(BC98,LauderFTEChan!BC92)</f>
        <v>0</v>
      </c>
      <c r="BD99" s="56">
        <f>SUM(BD98,LauderFTEChan!BD92)</f>
        <v>0</v>
      </c>
    </row>
    <row r="100" spans="3:56" x14ac:dyDescent="0.25">
      <c r="C100" s="48"/>
      <c r="E100" s="56"/>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row>
    <row r="101" spans="3:56" x14ac:dyDescent="0.25">
      <c r="C101" s="48"/>
      <c r="E101" s="56"/>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row>
    <row r="102" spans="3:56" x14ac:dyDescent="0.25">
      <c r="D102" s="46" t="s">
        <v>54</v>
      </c>
      <c r="E102" s="82">
        <f>E78</f>
        <v>44569</v>
      </c>
      <c r="F102" s="82">
        <f t="shared" ref="F102:BD102" si="21">F78</f>
        <v>44576</v>
      </c>
      <c r="G102" s="82">
        <f t="shared" si="21"/>
        <v>44583</v>
      </c>
      <c r="H102" s="82">
        <f t="shared" si="21"/>
        <v>44590</v>
      </c>
      <c r="I102" s="82">
        <f t="shared" si="21"/>
        <v>44597</v>
      </c>
      <c r="J102" s="82">
        <f t="shared" si="21"/>
        <v>44604</v>
      </c>
      <c r="K102" s="82">
        <f t="shared" si="21"/>
        <v>44611</v>
      </c>
      <c r="L102" s="82">
        <f t="shared" si="21"/>
        <v>44618</v>
      </c>
      <c r="M102" s="82">
        <f t="shared" si="21"/>
        <v>44625</v>
      </c>
      <c r="N102" s="82">
        <f t="shared" si="21"/>
        <v>44632</v>
      </c>
      <c r="O102" s="82">
        <f t="shared" si="21"/>
        <v>44639</v>
      </c>
      <c r="P102" s="82">
        <f t="shared" si="21"/>
        <v>44646</v>
      </c>
      <c r="Q102" s="82">
        <f t="shared" si="21"/>
        <v>44653</v>
      </c>
      <c r="R102" s="82">
        <f t="shared" si="21"/>
        <v>44660</v>
      </c>
      <c r="S102" s="82">
        <f t="shared" si="21"/>
        <v>44667</v>
      </c>
      <c r="T102" s="82">
        <f t="shared" si="21"/>
        <v>44674</v>
      </c>
      <c r="U102" s="82">
        <f t="shared" si="21"/>
        <v>44681</v>
      </c>
      <c r="V102" s="82">
        <f t="shared" si="21"/>
        <v>44688</v>
      </c>
      <c r="W102" s="82">
        <f t="shared" si="21"/>
        <v>44695</v>
      </c>
      <c r="X102" s="82">
        <f t="shared" si="21"/>
        <v>44702</v>
      </c>
      <c r="Y102" s="82">
        <f t="shared" si="21"/>
        <v>44709</v>
      </c>
      <c r="Z102" s="82">
        <f t="shared" si="21"/>
        <v>44716</v>
      </c>
      <c r="AA102" s="82">
        <f t="shared" si="21"/>
        <v>44723</v>
      </c>
      <c r="AB102" s="82">
        <f t="shared" si="21"/>
        <v>44730</v>
      </c>
      <c r="AC102" s="82">
        <f t="shared" si="21"/>
        <v>44737</v>
      </c>
      <c r="AD102" s="82">
        <f t="shared" si="21"/>
        <v>44744</v>
      </c>
      <c r="AE102" s="82">
        <f t="shared" si="21"/>
        <v>44751</v>
      </c>
      <c r="AF102" s="82">
        <f t="shared" si="21"/>
        <v>44758</v>
      </c>
      <c r="AG102" s="82">
        <f t="shared" si="21"/>
        <v>44765</v>
      </c>
      <c r="AH102" s="82">
        <f t="shared" si="21"/>
        <v>44772</v>
      </c>
      <c r="AI102" s="82">
        <f t="shared" si="21"/>
        <v>44779</v>
      </c>
      <c r="AJ102" s="82">
        <f t="shared" si="21"/>
        <v>44786</v>
      </c>
      <c r="AK102" s="82">
        <f t="shared" si="21"/>
        <v>44793</v>
      </c>
      <c r="AL102" s="82">
        <f t="shared" si="21"/>
        <v>44800</v>
      </c>
      <c r="AM102" s="82">
        <f t="shared" si="21"/>
        <v>44807</v>
      </c>
      <c r="AN102" s="82">
        <f t="shared" si="21"/>
        <v>44814</v>
      </c>
      <c r="AO102" s="82">
        <f t="shared" si="21"/>
        <v>44821</v>
      </c>
      <c r="AP102" s="82">
        <f t="shared" si="21"/>
        <v>44828</v>
      </c>
      <c r="AQ102" s="82">
        <f t="shared" si="21"/>
        <v>44835</v>
      </c>
      <c r="AR102" s="82">
        <f t="shared" si="21"/>
        <v>44842</v>
      </c>
      <c r="AS102" s="82">
        <f t="shared" si="21"/>
        <v>44849</v>
      </c>
      <c r="AT102" s="82">
        <f t="shared" si="21"/>
        <v>44856</v>
      </c>
      <c r="AU102" s="82">
        <f t="shared" si="21"/>
        <v>44863</v>
      </c>
      <c r="AV102" s="82">
        <f t="shared" si="21"/>
        <v>44870</v>
      </c>
      <c r="AW102" s="82">
        <f t="shared" si="21"/>
        <v>44877</v>
      </c>
      <c r="AX102" s="82">
        <f t="shared" si="21"/>
        <v>44884</v>
      </c>
      <c r="AY102" s="82">
        <f t="shared" si="21"/>
        <v>44891</v>
      </c>
      <c r="AZ102" s="82">
        <f t="shared" si="21"/>
        <v>44898</v>
      </c>
      <c r="BA102" s="82">
        <f t="shared" si="21"/>
        <v>44905</v>
      </c>
      <c r="BB102" s="82">
        <f t="shared" si="21"/>
        <v>44912</v>
      </c>
      <c r="BC102" s="82">
        <f t="shared" si="21"/>
        <v>44919</v>
      </c>
      <c r="BD102" s="82">
        <f t="shared" si="21"/>
        <v>44926</v>
      </c>
    </row>
    <row r="103" spans="3:56" ht="15" customHeight="1" x14ac:dyDescent="0.25">
      <c r="C103" s="109" t="s">
        <v>57</v>
      </c>
      <c r="D103" s="41" t="s">
        <v>27</v>
      </c>
      <c r="E103" s="70" t="str">
        <f>IF(EsteeNew!E103-EsteeOld!E103=0,"",EsteeNew!E103-EsteeOld!E103)</f>
        <v/>
      </c>
      <c r="F103" s="70" t="str">
        <f>IF(EsteeNew!F103-EsteeOld!F103=0,"",EsteeNew!F103-EsteeOld!F103)</f>
        <v/>
      </c>
      <c r="G103" s="70" t="str">
        <f>IF(EsteeNew!G103-EsteeOld!G103=0,"",EsteeNew!G103-EsteeOld!G103)</f>
        <v/>
      </c>
      <c r="H103" s="70" t="str">
        <f>IF(EsteeNew!H103-EsteeOld!H103=0,"",EsteeNew!H103-EsteeOld!H103)</f>
        <v/>
      </c>
      <c r="I103" s="70" t="str">
        <f>IF(EsteeNew!I103-EsteeOld!I103=0,"",EsteeNew!I103-EsteeOld!I103)</f>
        <v/>
      </c>
      <c r="J103" s="70" t="str">
        <f>IF(EsteeNew!J103-EsteeOld!J103=0,"",EsteeNew!J103-EsteeOld!J103)</f>
        <v/>
      </c>
      <c r="K103" s="70" t="str">
        <f>IF(EsteeNew!K103-EsteeOld!K103=0,"",EsteeNew!K103-EsteeOld!K103)</f>
        <v/>
      </c>
      <c r="L103" s="70" t="str">
        <f>IF(EsteeNew!L103-EsteeOld!L103=0,"",EsteeNew!L103-EsteeOld!L103)</f>
        <v/>
      </c>
      <c r="M103" s="70" t="str">
        <f>IF(EsteeNew!M103-EsteeOld!M103=0,"",EsteeNew!M103-EsteeOld!M103)</f>
        <v/>
      </c>
      <c r="N103" s="70" t="str">
        <f>IF(EsteeNew!N103-EsteeOld!N103=0,"",EsteeNew!N103-EsteeOld!N103)</f>
        <v/>
      </c>
      <c r="O103" s="70" t="str">
        <f>IF(EsteeNew!O103-EsteeOld!O103=0,"",EsteeNew!O103-EsteeOld!O103)</f>
        <v/>
      </c>
      <c r="P103" s="70" t="str">
        <f>IF(EsteeNew!P103-EsteeOld!P103=0,"",EsteeNew!P103-EsteeOld!P103)</f>
        <v/>
      </c>
      <c r="Q103" s="70" t="str">
        <f>IF(EsteeNew!Q103-EsteeOld!Q103=0,"",EsteeNew!Q103-EsteeOld!Q103)</f>
        <v/>
      </c>
      <c r="R103" s="70" t="str">
        <f>IF(EsteeNew!R103-EsteeOld!R103=0,"",EsteeNew!R103-EsteeOld!R103)</f>
        <v/>
      </c>
      <c r="S103" s="70" t="str">
        <f>IF(EsteeNew!S103-EsteeOld!S103=0,"",EsteeNew!S103-EsteeOld!S103)</f>
        <v/>
      </c>
      <c r="T103" s="70" t="str">
        <f>IF(EsteeNew!T103-EsteeOld!T103=0,"",EsteeNew!T103-EsteeOld!T103)</f>
        <v/>
      </c>
      <c r="U103" s="70" t="str">
        <f>IF(EsteeNew!U103-EsteeOld!U103=0,"",EsteeNew!U103-EsteeOld!U103)</f>
        <v/>
      </c>
      <c r="V103" s="70" t="str">
        <f>IF(EsteeNew!V103-EsteeOld!V103=0,"",EsteeNew!V103-EsteeOld!V103)</f>
        <v/>
      </c>
      <c r="W103" s="70" t="str">
        <f>IF(EsteeNew!W103-EsteeOld!W103=0,"",EsteeNew!W103-EsteeOld!W103)</f>
        <v/>
      </c>
      <c r="X103" s="70" t="str">
        <f>IF(EsteeNew!X103-EsteeOld!X103=0,"",EsteeNew!X103-EsteeOld!X103)</f>
        <v/>
      </c>
      <c r="Y103" s="70">
        <f>IF(EsteeNew!Y103-EsteeOld!Y103=0,"",EsteeNew!Y103-EsteeOld!Y103)</f>
        <v>-263.5600000000004</v>
      </c>
      <c r="Z103" s="70" t="str">
        <f>IF(EsteeNew!Z103-EsteeOld!Z103=0,"",EsteeNew!Z103-EsteeOld!Z103)</f>
        <v/>
      </c>
      <c r="AA103" s="70" t="str">
        <f>IF(EsteeNew!AA103-EsteeOld!AA103=0,"",EsteeNew!AA103-EsteeOld!AA103)</f>
        <v/>
      </c>
      <c r="AB103" s="70" t="str">
        <f>IF(EsteeNew!AB103-EsteeOld!AB103=0,"",EsteeNew!AB103-EsteeOld!AB103)</f>
        <v/>
      </c>
      <c r="AC103" s="70" t="str">
        <f>IF(EsteeNew!AC103-EsteeOld!AC103=0,"",EsteeNew!AC103-EsteeOld!AC103)</f>
        <v/>
      </c>
      <c r="AD103" s="70" t="str">
        <f>IF(EsteeNew!AD103-EsteeOld!AD103=0,"",EsteeNew!AD103-EsteeOld!AD103)</f>
        <v/>
      </c>
      <c r="AE103" s="70" t="str">
        <f>IF(EsteeNew!AE103-EsteeOld!AE103=0,"",EsteeNew!AE103-EsteeOld!AE103)</f>
        <v/>
      </c>
      <c r="AF103" s="70" t="str">
        <f>IF(EsteeNew!AF103-EsteeOld!AF103=0,"",EsteeNew!AF103-EsteeOld!AF103)</f>
        <v/>
      </c>
      <c r="AG103" s="70" t="str">
        <f>IF(EsteeNew!AG103-EsteeOld!AG103=0,"",EsteeNew!AG103-EsteeOld!AG103)</f>
        <v/>
      </c>
      <c r="AH103" s="70" t="str">
        <f>IF(EsteeNew!AH103-EsteeOld!AH103=0,"",EsteeNew!AH103-EsteeOld!AH103)</f>
        <v/>
      </c>
      <c r="AI103" s="70" t="str">
        <f>IF(EsteeNew!AI103-EsteeOld!AI103=0,"",EsteeNew!AI103-EsteeOld!AI103)</f>
        <v/>
      </c>
      <c r="AJ103" s="70" t="str">
        <f>IF(EsteeNew!AJ103-EsteeOld!AJ103=0,"",EsteeNew!AJ103-EsteeOld!AJ103)</f>
        <v/>
      </c>
      <c r="AK103" s="70" t="str">
        <f>IF(EsteeNew!AK103-EsteeOld!AK103=0,"",EsteeNew!AK103-EsteeOld!AK103)</f>
        <v/>
      </c>
      <c r="AL103" s="70" t="str">
        <f>IF(EsteeNew!AL103-EsteeOld!AL103=0,"",EsteeNew!AL103-EsteeOld!AL103)</f>
        <v/>
      </c>
      <c r="AM103" s="70" t="str">
        <f>IF(EsteeNew!AM103-EsteeOld!AM103=0,"",EsteeNew!AM103-EsteeOld!AM103)</f>
        <v/>
      </c>
      <c r="AN103" s="70" t="str">
        <f>IF(EsteeNew!AN103-EsteeOld!AN103=0,"",EsteeNew!AN103-EsteeOld!AN103)</f>
        <v/>
      </c>
      <c r="AO103" s="70" t="str">
        <f>IF(EsteeNew!AO103-EsteeOld!AO103=0,"",EsteeNew!AO103-EsteeOld!AO103)</f>
        <v/>
      </c>
      <c r="AP103" s="70" t="str">
        <f>IF(EsteeNew!AP103-EsteeOld!AP103=0,"",EsteeNew!AP103-EsteeOld!AP103)</f>
        <v/>
      </c>
      <c r="AQ103" s="70" t="str">
        <f>IF(EsteeNew!AQ103-EsteeOld!AQ103=0,"",EsteeNew!AQ103-EsteeOld!AQ103)</f>
        <v/>
      </c>
      <c r="AR103" s="70" t="str">
        <f>IF(EsteeNew!AR103-EsteeOld!AR103=0,"",EsteeNew!AR103-EsteeOld!AR103)</f>
        <v/>
      </c>
      <c r="AS103" s="70" t="str">
        <f>IF(EsteeNew!AS103-EsteeOld!AS103=0,"",EsteeNew!AS103-EsteeOld!AS103)</f>
        <v/>
      </c>
      <c r="AT103" s="70" t="str">
        <f>IF(EsteeNew!AT103-EsteeOld!AT103=0,"",EsteeNew!AT103-EsteeOld!AT103)</f>
        <v/>
      </c>
      <c r="AU103" s="70" t="str">
        <f>IF(EsteeNew!AU103-EsteeOld!AU103=0,"",EsteeNew!AU103-EsteeOld!AU103)</f>
        <v/>
      </c>
      <c r="AV103" s="70" t="str">
        <f>IF(EsteeNew!AV103-EsteeOld!AV103=0,"",EsteeNew!AV103-EsteeOld!AV103)</f>
        <v/>
      </c>
      <c r="AW103" s="70" t="str">
        <f>IF(EsteeNew!AW103-EsteeOld!AW103=0,"",EsteeNew!AW103-EsteeOld!AW103)</f>
        <v/>
      </c>
      <c r="AX103" s="70" t="str">
        <f>IF(EsteeNew!AX103-EsteeOld!AX103=0,"",EsteeNew!AX103-EsteeOld!AX103)</f>
        <v/>
      </c>
      <c r="AY103" s="70" t="str">
        <f>IF(EsteeNew!AY103-EsteeOld!AY103=0,"",EsteeNew!AY103-EsteeOld!AY103)</f>
        <v/>
      </c>
      <c r="AZ103" s="70" t="str">
        <f>IF(EsteeNew!AZ103-EsteeOld!AZ103=0,"",EsteeNew!AZ103-EsteeOld!AZ103)</f>
        <v/>
      </c>
      <c r="BA103" s="70" t="str">
        <f>IF(EsteeNew!BA103-EsteeOld!BA103=0,"",EsteeNew!BA103-EsteeOld!BA103)</f>
        <v/>
      </c>
      <c r="BB103" s="70" t="str">
        <f>IF(EsteeNew!BB103-EsteeOld!BB103=0,"",EsteeNew!BB103-EsteeOld!BB103)</f>
        <v/>
      </c>
      <c r="BC103" s="70" t="str">
        <f>IF(EsteeNew!BC103-EsteeOld!BC103=0,"",EsteeNew!BC103-EsteeOld!BC103)</f>
        <v/>
      </c>
      <c r="BD103" s="70" t="str">
        <f>IF(EsteeNew!BD103-EsteeOld!BD103=0,"",EsteeNew!BD103-EsteeOld!BD103)</f>
        <v/>
      </c>
    </row>
    <row r="104" spans="3:56" ht="15" customHeight="1" x14ac:dyDescent="0.25">
      <c r="C104" s="110"/>
      <c r="D104" s="41" t="s">
        <v>22</v>
      </c>
      <c r="E104" s="70" t="str">
        <f>IF(EsteeNew!E104-EsteeOld!E104=0,"",EsteeNew!E104-EsteeOld!E104)</f>
        <v/>
      </c>
      <c r="F104" s="70" t="str">
        <f>IF(EsteeNew!F104-EsteeOld!F104=0,"",EsteeNew!F104-EsteeOld!F104)</f>
        <v/>
      </c>
      <c r="G104" s="70" t="str">
        <f>IF(EsteeNew!G104-EsteeOld!G104=0,"",EsteeNew!G104-EsteeOld!G104)</f>
        <v/>
      </c>
      <c r="H104" s="70" t="str">
        <f>IF(EsteeNew!H104-EsteeOld!H104=0,"",EsteeNew!H104-EsteeOld!H104)</f>
        <v/>
      </c>
      <c r="I104" s="70" t="str">
        <f>IF(EsteeNew!I104-EsteeOld!I104=0,"",EsteeNew!I104-EsteeOld!I104)</f>
        <v/>
      </c>
      <c r="J104" s="70" t="str">
        <f>IF(EsteeNew!J104-EsteeOld!J104=0,"",EsteeNew!J104-EsteeOld!J104)</f>
        <v/>
      </c>
      <c r="K104" s="70" t="str">
        <f>IF(EsteeNew!K104-EsteeOld!K104=0,"",EsteeNew!K104-EsteeOld!K104)</f>
        <v/>
      </c>
      <c r="L104" s="70" t="str">
        <f>IF(EsteeNew!L104-EsteeOld!L104=0,"",EsteeNew!L104-EsteeOld!L104)</f>
        <v/>
      </c>
      <c r="M104" s="70" t="str">
        <f>IF(EsteeNew!M104-EsteeOld!M104=0,"",EsteeNew!M104-EsteeOld!M104)</f>
        <v/>
      </c>
      <c r="N104" s="70" t="str">
        <f>IF(EsteeNew!N104-EsteeOld!N104=0,"",EsteeNew!N104-EsteeOld!N104)</f>
        <v/>
      </c>
      <c r="O104" s="70" t="str">
        <f>IF(EsteeNew!O104-EsteeOld!O104=0,"",EsteeNew!O104-EsteeOld!O104)</f>
        <v/>
      </c>
      <c r="P104" s="70" t="str">
        <f>IF(EsteeNew!P104-EsteeOld!P104=0,"",EsteeNew!P104-EsteeOld!P104)</f>
        <v/>
      </c>
      <c r="Q104" s="70" t="str">
        <f>IF(EsteeNew!Q104-EsteeOld!Q104=0,"",EsteeNew!Q104-EsteeOld!Q104)</f>
        <v/>
      </c>
      <c r="R104" s="70" t="str">
        <f>IF(EsteeNew!R104-EsteeOld!R104=0,"",EsteeNew!R104-EsteeOld!R104)</f>
        <v/>
      </c>
      <c r="S104" s="70" t="str">
        <f>IF(EsteeNew!S104-EsteeOld!S104=0,"",EsteeNew!S104-EsteeOld!S104)</f>
        <v/>
      </c>
      <c r="T104" s="70" t="str">
        <f>IF(EsteeNew!T104-EsteeOld!T104=0,"",EsteeNew!T104-EsteeOld!T104)</f>
        <v/>
      </c>
      <c r="U104" s="70" t="str">
        <f>IF(EsteeNew!U104-EsteeOld!U104=0,"",EsteeNew!U104-EsteeOld!U104)</f>
        <v/>
      </c>
      <c r="V104" s="70" t="str">
        <f>IF(EsteeNew!V104-EsteeOld!V104=0,"",EsteeNew!V104-EsteeOld!V104)</f>
        <v/>
      </c>
      <c r="W104" s="70" t="str">
        <f>IF(EsteeNew!W104-EsteeOld!W104=0,"",EsteeNew!W104-EsteeOld!W104)</f>
        <v/>
      </c>
      <c r="X104" s="70" t="str">
        <f>IF(EsteeNew!X104-EsteeOld!X104=0,"",EsteeNew!X104-EsteeOld!X104)</f>
        <v/>
      </c>
      <c r="Y104" s="70" t="str">
        <f>IF(EsteeNew!Y104-EsteeOld!Y104=0,"",EsteeNew!Y104-EsteeOld!Y104)</f>
        <v/>
      </c>
      <c r="Z104" s="70" t="str">
        <f>IF(EsteeNew!Z104-EsteeOld!Z104=0,"",EsteeNew!Z104-EsteeOld!Z104)</f>
        <v/>
      </c>
      <c r="AA104" s="70" t="str">
        <f>IF(EsteeNew!AA104-EsteeOld!AA104=0,"",EsteeNew!AA104-EsteeOld!AA104)</f>
        <v/>
      </c>
      <c r="AB104" s="70" t="str">
        <f>IF(EsteeNew!AB104-EsteeOld!AB104=0,"",EsteeNew!AB104-EsteeOld!AB104)</f>
        <v/>
      </c>
      <c r="AC104" s="70" t="str">
        <f>IF(EsteeNew!AC104-EsteeOld!AC104=0,"",EsteeNew!AC104-EsteeOld!AC104)</f>
        <v/>
      </c>
      <c r="AD104" s="70" t="str">
        <f>IF(EsteeNew!AD104-EsteeOld!AD104=0,"",EsteeNew!AD104-EsteeOld!AD104)</f>
        <v/>
      </c>
      <c r="AE104" s="70" t="str">
        <f>IF(EsteeNew!AE104-EsteeOld!AE104=0,"",EsteeNew!AE104-EsteeOld!AE104)</f>
        <v/>
      </c>
      <c r="AF104" s="70" t="str">
        <f>IF(EsteeNew!AF104-EsteeOld!AF104=0,"",EsteeNew!AF104-EsteeOld!AF104)</f>
        <v/>
      </c>
      <c r="AG104" s="70" t="str">
        <f>IF(EsteeNew!AG104-EsteeOld!AG104=0,"",EsteeNew!AG104-EsteeOld!AG104)</f>
        <v/>
      </c>
      <c r="AH104" s="70" t="str">
        <f>IF(EsteeNew!AH104-EsteeOld!AH104=0,"",EsteeNew!AH104-EsteeOld!AH104)</f>
        <v/>
      </c>
      <c r="AI104" s="70" t="str">
        <f>IF(EsteeNew!AI104-EsteeOld!AI104=0,"",EsteeNew!AI104-EsteeOld!AI104)</f>
        <v/>
      </c>
      <c r="AJ104" s="70" t="str">
        <f>IF(EsteeNew!AJ104-EsteeOld!AJ104=0,"",EsteeNew!AJ104-EsteeOld!AJ104)</f>
        <v/>
      </c>
      <c r="AK104" s="70" t="str">
        <f>IF(EsteeNew!AK104-EsteeOld!AK104=0,"",EsteeNew!AK104-EsteeOld!AK104)</f>
        <v/>
      </c>
      <c r="AL104" s="70" t="str">
        <f>IF(EsteeNew!AL104-EsteeOld!AL104=0,"",EsteeNew!AL104-EsteeOld!AL104)</f>
        <v/>
      </c>
      <c r="AM104" s="70" t="str">
        <f>IF(EsteeNew!AM104-EsteeOld!AM104=0,"",EsteeNew!AM104-EsteeOld!AM104)</f>
        <v/>
      </c>
      <c r="AN104" s="70" t="str">
        <f>IF(EsteeNew!AN104-EsteeOld!AN104=0,"",EsteeNew!AN104-EsteeOld!AN104)</f>
        <v/>
      </c>
      <c r="AO104" s="70" t="str">
        <f>IF(EsteeNew!AO104-EsteeOld!AO104=0,"",EsteeNew!AO104-EsteeOld!AO104)</f>
        <v/>
      </c>
      <c r="AP104" s="70" t="str">
        <f>IF(EsteeNew!AP104-EsteeOld!AP104=0,"",EsteeNew!AP104-EsteeOld!AP104)</f>
        <v/>
      </c>
      <c r="AQ104" s="70" t="str">
        <f>IF(EsteeNew!AQ104-EsteeOld!AQ104=0,"",EsteeNew!AQ104-EsteeOld!AQ104)</f>
        <v/>
      </c>
      <c r="AR104" s="70" t="str">
        <f>IF(EsteeNew!AR104-EsteeOld!AR104=0,"",EsteeNew!AR104-EsteeOld!AR104)</f>
        <v/>
      </c>
      <c r="AS104" s="70" t="str">
        <f>IF(EsteeNew!AS104-EsteeOld!AS104=0,"",EsteeNew!AS104-EsteeOld!AS104)</f>
        <v/>
      </c>
      <c r="AT104" s="70" t="str">
        <f>IF(EsteeNew!AT104-EsteeOld!AT104=0,"",EsteeNew!AT104-EsteeOld!AT104)</f>
        <v/>
      </c>
      <c r="AU104" s="70" t="str">
        <f>IF(EsteeNew!AU104-EsteeOld!AU104=0,"",EsteeNew!AU104-EsteeOld!AU104)</f>
        <v/>
      </c>
      <c r="AV104" s="70" t="str">
        <f>IF(EsteeNew!AV104-EsteeOld!AV104=0,"",EsteeNew!AV104-EsteeOld!AV104)</f>
        <v/>
      </c>
      <c r="AW104" s="70" t="str">
        <f>IF(EsteeNew!AW104-EsteeOld!AW104=0,"",EsteeNew!AW104-EsteeOld!AW104)</f>
        <v/>
      </c>
      <c r="AX104" s="70" t="str">
        <f>IF(EsteeNew!AX104-EsteeOld!AX104=0,"",EsteeNew!AX104-EsteeOld!AX104)</f>
        <v/>
      </c>
      <c r="AY104" s="70" t="str">
        <f>IF(EsteeNew!AY104-EsteeOld!AY104=0,"",EsteeNew!AY104-EsteeOld!AY104)</f>
        <v/>
      </c>
      <c r="AZ104" s="70" t="str">
        <f>IF(EsteeNew!AZ104-EsteeOld!AZ104=0,"",EsteeNew!AZ104-EsteeOld!AZ104)</f>
        <v/>
      </c>
      <c r="BA104" s="70" t="str">
        <f>IF(EsteeNew!BA104-EsteeOld!BA104=0,"",EsteeNew!BA104-EsteeOld!BA104)</f>
        <v/>
      </c>
      <c r="BB104" s="70" t="str">
        <f>IF(EsteeNew!BB104-EsteeOld!BB104=0,"",EsteeNew!BB104-EsteeOld!BB104)</f>
        <v/>
      </c>
      <c r="BC104" s="70" t="str">
        <f>IF(EsteeNew!BC104-EsteeOld!BC104=0,"",EsteeNew!BC104-EsteeOld!BC104)</f>
        <v/>
      </c>
      <c r="BD104" s="70" t="str">
        <f>IF(EsteeNew!BD104-EsteeOld!BD104=0,"",EsteeNew!BD104-EsteeOld!BD104)</f>
        <v/>
      </c>
    </row>
    <row r="105" spans="3:56" ht="15" customHeight="1" x14ac:dyDescent="0.25">
      <c r="C105" s="110"/>
      <c r="D105" s="41" t="s">
        <v>23</v>
      </c>
      <c r="E105" s="68" t="str">
        <f>IF(EsteeNew!E105-EsteeOld!E105=0,"",EsteeNew!E105-EsteeOld!E105)</f>
        <v/>
      </c>
      <c r="F105" s="68" t="str">
        <f>IF(EsteeNew!F105-EsteeOld!F105=0,"",EsteeNew!F105-EsteeOld!F105)</f>
        <v/>
      </c>
      <c r="G105" s="68" t="str">
        <f>IF(EsteeNew!G105-EsteeOld!G105=0,"",EsteeNew!G105-EsteeOld!G105)</f>
        <v/>
      </c>
      <c r="H105" s="68" t="str">
        <f>IF(EsteeNew!H105-EsteeOld!H105=0,"",EsteeNew!H105-EsteeOld!H105)</f>
        <v/>
      </c>
      <c r="I105" s="68" t="str">
        <f>IF(EsteeNew!I105-EsteeOld!I105=0,"",EsteeNew!I105-EsteeOld!I105)</f>
        <v/>
      </c>
      <c r="J105" s="68" t="str">
        <f>IF(EsteeNew!J105-EsteeOld!J105=0,"",EsteeNew!J105-EsteeOld!J105)</f>
        <v/>
      </c>
      <c r="K105" s="68" t="str">
        <f>IF(EsteeNew!K105-EsteeOld!K105=0,"",EsteeNew!K105-EsteeOld!K105)</f>
        <v/>
      </c>
      <c r="L105" s="68" t="str">
        <f>IF(EsteeNew!L105-EsteeOld!L105=0,"",EsteeNew!L105-EsteeOld!L105)</f>
        <v/>
      </c>
      <c r="M105" s="68" t="str">
        <f>IF(EsteeNew!M105-EsteeOld!M105=0,"",EsteeNew!M105-EsteeOld!M105)</f>
        <v/>
      </c>
      <c r="N105" s="68" t="str">
        <f>IF(EsteeNew!N105-EsteeOld!N105=0,"",EsteeNew!N105-EsteeOld!N105)</f>
        <v/>
      </c>
      <c r="O105" s="68" t="str">
        <f>IF(EsteeNew!O105-EsteeOld!O105=0,"",EsteeNew!O105-EsteeOld!O105)</f>
        <v/>
      </c>
      <c r="P105" s="68" t="str">
        <f>IF(EsteeNew!P105-EsteeOld!P105=0,"",EsteeNew!P105-EsteeOld!P105)</f>
        <v/>
      </c>
      <c r="Q105" s="68" t="str">
        <f>IF(EsteeNew!Q105-EsteeOld!Q105=0,"",EsteeNew!Q105-EsteeOld!Q105)</f>
        <v/>
      </c>
      <c r="R105" s="68" t="str">
        <f>IF(EsteeNew!R105-EsteeOld!R105=0,"",EsteeNew!R105-EsteeOld!R105)</f>
        <v/>
      </c>
      <c r="S105" s="68" t="str">
        <f>IF(EsteeNew!S105-EsteeOld!S105=0,"",EsteeNew!S105-EsteeOld!S105)</f>
        <v/>
      </c>
      <c r="T105" s="68" t="str">
        <f>IF(EsteeNew!T105-EsteeOld!T105=0,"",EsteeNew!T105-EsteeOld!T105)</f>
        <v/>
      </c>
      <c r="U105" s="68" t="str">
        <f>IF(EsteeNew!U105-EsteeOld!U105=0,"",EsteeNew!U105-EsteeOld!U105)</f>
        <v/>
      </c>
      <c r="V105" s="68" t="str">
        <f>IF(EsteeNew!V105-EsteeOld!V105=0,"",EsteeNew!V105-EsteeOld!V105)</f>
        <v/>
      </c>
      <c r="W105" s="68" t="str">
        <f>IF(EsteeNew!W105-EsteeOld!W105=0,"",EsteeNew!W105-EsteeOld!W105)</f>
        <v/>
      </c>
      <c r="X105" s="68" t="str">
        <f>IF(EsteeNew!X105-EsteeOld!X105=0,"",EsteeNew!X105-EsteeOld!X105)</f>
        <v/>
      </c>
      <c r="Y105" s="68" t="str">
        <f>IF(EsteeNew!Y105-EsteeOld!Y105=0,"",EsteeNew!Y105-EsteeOld!Y105)</f>
        <v/>
      </c>
      <c r="Z105" s="68" t="str">
        <f>IF(EsteeNew!Z105-EsteeOld!Z105=0,"",EsteeNew!Z105-EsteeOld!Z105)</f>
        <v/>
      </c>
      <c r="AA105" s="68" t="str">
        <f>IF(EsteeNew!AA105-EsteeOld!AA105=0,"",EsteeNew!AA105-EsteeOld!AA105)</f>
        <v/>
      </c>
      <c r="AB105" s="68" t="str">
        <f>IF(EsteeNew!AB105-EsteeOld!AB105=0,"",EsteeNew!AB105-EsteeOld!AB105)</f>
        <v/>
      </c>
      <c r="AC105" s="68" t="str">
        <f>IF(EsteeNew!AC105-EsteeOld!AC105=0,"",EsteeNew!AC105-EsteeOld!AC105)</f>
        <v/>
      </c>
      <c r="AD105" s="68" t="str">
        <f>IF(EsteeNew!AD105-EsteeOld!AD105=0,"",EsteeNew!AD105-EsteeOld!AD105)</f>
        <v/>
      </c>
      <c r="AE105" s="68" t="str">
        <f>IF(EsteeNew!AE105-EsteeOld!AE105=0,"",EsteeNew!AE105-EsteeOld!AE105)</f>
        <v/>
      </c>
      <c r="AF105" s="68" t="str">
        <f>IF(EsteeNew!AF105-EsteeOld!AF105=0,"",EsteeNew!AF105-EsteeOld!AF105)</f>
        <v/>
      </c>
      <c r="AG105" s="68" t="str">
        <f>IF(EsteeNew!AG105-EsteeOld!AG105=0,"",EsteeNew!AG105-EsteeOld!AG105)</f>
        <v/>
      </c>
      <c r="AH105" s="68" t="str">
        <f>IF(EsteeNew!AH105-EsteeOld!AH105=0,"",EsteeNew!AH105-EsteeOld!AH105)</f>
        <v/>
      </c>
      <c r="AI105" s="68" t="str">
        <f>IF(EsteeNew!AI105-EsteeOld!AI105=0,"",EsteeNew!AI105-EsteeOld!AI105)</f>
        <v/>
      </c>
      <c r="AJ105" s="68" t="str">
        <f>IF(EsteeNew!AJ105-EsteeOld!AJ105=0,"",EsteeNew!AJ105-EsteeOld!AJ105)</f>
        <v/>
      </c>
      <c r="AK105" s="68" t="str">
        <f>IF(EsteeNew!AK105-EsteeOld!AK105=0,"",EsteeNew!AK105-EsteeOld!AK105)</f>
        <v/>
      </c>
      <c r="AL105" s="68" t="str">
        <f>IF(EsteeNew!AL105-EsteeOld!AL105=0,"",EsteeNew!AL105-EsteeOld!AL105)</f>
        <v/>
      </c>
      <c r="AM105" s="68" t="str">
        <f>IF(EsteeNew!AM105-EsteeOld!AM105=0,"",EsteeNew!AM105-EsteeOld!AM105)</f>
        <v/>
      </c>
      <c r="AN105" s="68" t="str">
        <f>IF(EsteeNew!AN105-EsteeOld!AN105=0,"",EsteeNew!AN105-EsteeOld!AN105)</f>
        <v/>
      </c>
      <c r="AO105" s="68" t="str">
        <f>IF(EsteeNew!AO105-EsteeOld!AO105=0,"",EsteeNew!AO105-EsteeOld!AO105)</f>
        <v/>
      </c>
      <c r="AP105" s="68" t="str">
        <f>IF(EsteeNew!AP105-EsteeOld!AP105=0,"",EsteeNew!AP105-EsteeOld!AP105)</f>
        <v/>
      </c>
      <c r="AQ105" s="68" t="str">
        <f>IF(EsteeNew!AQ105-EsteeOld!AQ105=0,"",EsteeNew!AQ105-EsteeOld!AQ105)</f>
        <v/>
      </c>
      <c r="AR105" s="68" t="str">
        <f>IF(EsteeNew!AR105-EsteeOld!AR105=0,"",EsteeNew!AR105-EsteeOld!AR105)</f>
        <v/>
      </c>
      <c r="AS105" s="68" t="str">
        <f>IF(EsteeNew!AS105-EsteeOld!AS105=0,"",EsteeNew!AS105-EsteeOld!AS105)</f>
        <v/>
      </c>
      <c r="AT105" s="68" t="str">
        <f>IF(EsteeNew!AT105-EsteeOld!AT105=0,"",EsteeNew!AT105-EsteeOld!AT105)</f>
        <v/>
      </c>
      <c r="AU105" s="68" t="str">
        <f>IF(EsteeNew!AU105-EsteeOld!AU105=0,"",EsteeNew!AU105-EsteeOld!AU105)</f>
        <v/>
      </c>
      <c r="AV105" s="68" t="str">
        <f>IF(EsteeNew!AV105-EsteeOld!AV105=0,"",EsteeNew!AV105-EsteeOld!AV105)</f>
        <v/>
      </c>
      <c r="AW105" s="68" t="str">
        <f>IF(EsteeNew!AW105-EsteeOld!AW105=0,"",EsteeNew!AW105-EsteeOld!AW105)</f>
        <v/>
      </c>
      <c r="AX105" s="68" t="str">
        <f>IF(EsteeNew!AX105-EsteeOld!AX105=0,"",EsteeNew!AX105-EsteeOld!AX105)</f>
        <v/>
      </c>
      <c r="AY105" s="68" t="str">
        <f>IF(EsteeNew!AY105-EsteeOld!AY105=0,"",EsteeNew!AY105-EsteeOld!AY105)</f>
        <v/>
      </c>
      <c r="AZ105" s="68" t="str">
        <f>IF(EsteeNew!AZ105-EsteeOld!AZ105=0,"",EsteeNew!AZ105-EsteeOld!AZ105)</f>
        <v/>
      </c>
      <c r="BA105" s="68" t="str">
        <f>IF(EsteeNew!BA105-EsteeOld!BA105=0,"",EsteeNew!BA105-EsteeOld!BA105)</f>
        <v/>
      </c>
      <c r="BB105" s="68" t="str">
        <f>IF(EsteeNew!BB105-EsteeOld!BB105=0,"",EsteeNew!BB105-EsteeOld!BB105)</f>
        <v/>
      </c>
      <c r="BC105" s="68" t="str">
        <f>IF(EsteeNew!BC105-EsteeOld!BC105=0,"",EsteeNew!BC105-EsteeOld!BC105)</f>
        <v/>
      </c>
      <c r="BD105" s="68" t="str">
        <f>IF(EsteeNew!BD105-EsteeOld!BD105=0,"",EsteeNew!BD105-EsteeOld!BD105)</f>
        <v/>
      </c>
    </row>
    <row r="106" spans="3:56" ht="15" customHeight="1" x14ac:dyDescent="0.25">
      <c r="C106" s="110"/>
      <c r="D106" s="41" t="s">
        <v>26</v>
      </c>
      <c r="E106" s="68" t="str">
        <f>IF(EsteeNew!E106-EsteeOld!E106=0,"",EsteeNew!E106-EsteeOld!E106)</f>
        <v/>
      </c>
      <c r="F106" s="68" t="str">
        <f>IF(EsteeNew!F106-EsteeOld!F106=0,"",EsteeNew!F106-EsteeOld!F106)</f>
        <v/>
      </c>
      <c r="G106" s="68" t="str">
        <f>IF(EsteeNew!G106-EsteeOld!G106=0,"",EsteeNew!G106-EsteeOld!G106)</f>
        <v/>
      </c>
      <c r="H106" s="68" t="str">
        <f>IF(EsteeNew!H106-EsteeOld!H106=0,"",EsteeNew!H106-EsteeOld!H106)</f>
        <v/>
      </c>
      <c r="I106" s="68" t="str">
        <f>IF(EsteeNew!I106-EsteeOld!I106=0,"",EsteeNew!I106-EsteeOld!I106)</f>
        <v/>
      </c>
      <c r="J106" s="68" t="str">
        <f>IF(EsteeNew!J106-EsteeOld!J106=0,"",EsteeNew!J106-EsteeOld!J106)</f>
        <v/>
      </c>
      <c r="K106" s="68" t="str">
        <f>IF(EsteeNew!K106-EsteeOld!K106=0,"",EsteeNew!K106-EsteeOld!K106)</f>
        <v/>
      </c>
      <c r="L106" s="68" t="str">
        <f>IF(EsteeNew!L106-EsteeOld!L106=0,"",EsteeNew!L106-EsteeOld!L106)</f>
        <v/>
      </c>
      <c r="M106" s="68" t="str">
        <f>IF(EsteeNew!M106-EsteeOld!M106=0,"",EsteeNew!M106-EsteeOld!M106)</f>
        <v/>
      </c>
      <c r="N106" s="68" t="str">
        <f>IF(EsteeNew!N106-EsteeOld!N106=0,"",EsteeNew!N106-EsteeOld!N106)</f>
        <v/>
      </c>
      <c r="O106" s="68" t="str">
        <f>IF(EsteeNew!O106-EsteeOld!O106=0,"",EsteeNew!O106-EsteeOld!O106)</f>
        <v/>
      </c>
      <c r="P106" s="68" t="str">
        <f>IF(EsteeNew!P106-EsteeOld!P106=0,"",EsteeNew!P106-EsteeOld!P106)</f>
        <v/>
      </c>
      <c r="Q106" s="68" t="str">
        <f>IF(EsteeNew!Q106-EsteeOld!Q106=0,"",EsteeNew!Q106-EsteeOld!Q106)</f>
        <v/>
      </c>
      <c r="R106" s="68" t="str">
        <f>IF(EsteeNew!R106-EsteeOld!R106=0,"",EsteeNew!R106-EsteeOld!R106)</f>
        <v/>
      </c>
      <c r="S106" s="68" t="str">
        <f>IF(EsteeNew!S106-EsteeOld!S106=0,"",EsteeNew!S106-EsteeOld!S106)</f>
        <v/>
      </c>
      <c r="T106" s="68" t="str">
        <f>IF(EsteeNew!T106-EsteeOld!T106=0,"",EsteeNew!T106-EsteeOld!T106)</f>
        <v/>
      </c>
      <c r="U106" s="68" t="str">
        <f>IF(EsteeNew!U106-EsteeOld!U106=0,"",EsteeNew!U106-EsteeOld!U106)</f>
        <v/>
      </c>
      <c r="V106" s="68" t="str">
        <f>IF(EsteeNew!V106-EsteeOld!V106=0,"",EsteeNew!V106-EsteeOld!V106)</f>
        <v/>
      </c>
      <c r="W106" s="68" t="str">
        <f>IF(EsteeNew!W106-EsteeOld!W106=0,"",EsteeNew!W106-EsteeOld!W106)</f>
        <v/>
      </c>
      <c r="X106" s="68" t="str">
        <f>IF(EsteeNew!X106-EsteeOld!X106=0,"",EsteeNew!X106-EsteeOld!X106)</f>
        <v/>
      </c>
      <c r="Y106" s="68" t="str">
        <f>IF(EsteeNew!Y106-EsteeOld!Y106=0,"",EsteeNew!Y106-EsteeOld!Y106)</f>
        <v/>
      </c>
      <c r="Z106" s="68" t="str">
        <f>IF(EsteeNew!Z106-EsteeOld!Z106=0,"",EsteeNew!Z106-EsteeOld!Z106)</f>
        <v/>
      </c>
      <c r="AA106" s="68" t="str">
        <f>IF(EsteeNew!AA106-EsteeOld!AA106=0,"",EsteeNew!AA106-EsteeOld!AA106)</f>
        <v/>
      </c>
      <c r="AB106" s="68" t="str">
        <f>IF(EsteeNew!AB106-EsteeOld!AB106=0,"",EsteeNew!AB106-EsteeOld!AB106)</f>
        <v/>
      </c>
      <c r="AC106" s="68" t="str">
        <f>IF(EsteeNew!AC106-EsteeOld!AC106=0,"",EsteeNew!AC106-EsteeOld!AC106)</f>
        <v/>
      </c>
      <c r="AD106" s="68" t="str">
        <f>IF(EsteeNew!AD106-EsteeOld!AD106=0,"",EsteeNew!AD106-EsteeOld!AD106)</f>
        <v/>
      </c>
      <c r="AE106" s="68" t="str">
        <f>IF(EsteeNew!AE106-EsteeOld!AE106=0,"",EsteeNew!AE106-EsteeOld!AE106)</f>
        <v/>
      </c>
      <c r="AF106" s="68" t="str">
        <f>IF(EsteeNew!AF106-EsteeOld!AF106=0,"",EsteeNew!AF106-EsteeOld!AF106)</f>
        <v/>
      </c>
      <c r="AG106" s="68" t="str">
        <f>IF(EsteeNew!AG106-EsteeOld!AG106=0,"",EsteeNew!AG106-EsteeOld!AG106)</f>
        <v/>
      </c>
      <c r="AH106" s="68" t="str">
        <f>IF(EsteeNew!AH106-EsteeOld!AH106=0,"",EsteeNew!AH106-EsteeOld!AH106)</f>
        <v/>
      </c>
      <c r="AI106" s="68" t="str">
        <f>IF(EsteeNew!AI106-EsteeOld!AI106=0,"",EsteeNew!AI106-EsteeOld!AI106)</f>
        <v/>
      </c>
      <c r="AJ106" s="68" t="str">
        <f>IF(EsteeNew!AJ106-EsteeOld!AJ106=0,"",EsteeNew!AJ106-EsteeOld!AJ106)</f>
        <v/>
      </c>
      <c r="AK106" s="68" t="str">
        <f>IF(EsteeNew!AK106-EsteeOld!AK106=0,"",EsteeNew!AK106-EsteeOld!AK106)</f>
        <v/>
      </c>
      <c r="AL106" s="68" t="str">
        <f>IF(EsteeNew!AL106-EsteeOld!AL106=0,"",EsteeNew!AL106-EsteeOld!AL106)</f>
        <v/>
      </c>
      <c r="AM106" s="68" t="str">
        <f>IF(EsteeNew!AM106-EsteeOld!AM106=0,"",EsteeNew!AM106-EsteeOld!AM106)</f>
        <v/>
      </c>
      <c r="AN106" s="68" t="str">
        <f>IF(EsteeNew!AN106-EsteeOld!AN106=0,"",EsteeNew!AN106-EsteeOld!AN106)</f>
        <v/>
      </c>
      <c r="AO106" s="68" t="str">
        <f>IF(EsteeNew!AO106-EsteeOld!AO106=0,"",EsteeNew!AO106-EsteeOld!AO106)</f>
        <v/>
      </c>
      <c r="AP106" s="68" t="str">
        <f>IF(EsteeNew!AP106-EsteeOld!AP106=0,"",EsteeNew!AP106-EsteeOld!AP106)</f>
        <v/>
      </c>
      <c r="AQ106" s="68" t="str">
        <f>IF(EsteeNew!AQ106-EsteeOld!AQ106=0,"",EsteeNew!AQ106-EsteeOld!AQ106)</f>
        <v/>
      </c>
      <c r="AR106" s="68" t="str">
        <f>IF(EsteeNew!AR106-EsteeOld!AR106=0,"",EsteeNew!AR106-EsteeOld!AR106)</f>
        <v/>
      </c>
      <c r="AS106" s="68" t="str">
        <f>IF(EsteeNew!AS106-EsteeOld!AS106=0,"",EsteeNew!AS106-EsteeOld!AS106)</f>
        <v/>
      </c>
      <c r="AT106" s="68" t="str">
        <f>IF(EsteeNew!AT106-EsteeOld!AT106=0,"",EsteeNew!AT106-EsteeOld!AT106)</f>
        <v/>
      </c>
      <c r="AU106" s="68" t="str">
        <f>IF(EsteeNew!AU106-EsteeOld!AU106=0,"",EsteeNew!AU106-EsteeOld!AU106)</f>
        <v/>
      </c>
      <c r="AV106" s="68" t="str">
        <f>IF(EsteeNew!AV106-EsteeOld!AV106=0,"",EsteeNew!AV106-EsteeOld!AV106)</f>
        <v/>
      </c>
      <c r="AW106" s="68" t="str">
        <f>IF(EsteeNew!AW106-EsteeOld!AW106=0,"",EsteeNew!AW106-EsteeOld!AW106)</f>
        <v/>
      </c>
      <c r="AX106" s="68" t="str">
        <f>IF(EsteeNew!AX106-EsteeOld!AX106=0,"",EsteeNew!AX106-EsteeOld!AX106)</f>
        <v/>
      </c>
      <c r="AY106" s="68" t="str">
        <f>IF(EsteeNew!AY106-EsteeOld!AY106=0,"",EsteeNew!AY106-EsteeOld!AY106)</f>
        <v/>
      </c>
      <c r="AZ106" s="68" t="str">
        <f>IF(EsteeNew!AZ106-EsteeOld!AZ106=0,"",EsteeNew!AZ106-EsteeOld!AZ106)</f>
        <v/>
      </c>
      <c r="BA106" s="68" t="str">
        <f>IF(EsteeNew!BA106-EsteeOld!BA106=0,"",EsteeNew!BA106-EsteeOld!BA106)</f>
        <v/>
      </c>
      <c r="BB106" s="68" t="str">
        <f>IF(EsteeNew!BB106-EsteeOld!BB106=0,"",EsteeNew!BB106-EsteeOld!BB106)</f>
        <v/>
      </c>
      <c r="BC106" s="68" t="str">
        <f>IF(EsteeNew!BC106-EsteeOld!BC106=0,"",EsteeNew!BC106-EsteeOld!BC106)</f>
        <v/>
      </c>
      <c r="BD106" s="68" t="str">
        <f>IF(EsteeNew!BD106-EsteeOld!BD106=0,"",EsteeNew!BD106-EsteeOld!BD106)</f>
        <v/>
      </c>
    </row>
    <row r="107" spans="3:56" ht="15" customHeight="1" x14ac:dyDescent="0.25">
      <c r="C107" s="110"/>
      <c r="D107" s="41" t="s">
        <v>33</v>
      </c>
      <c r="E107" s="83" t="str">
        <f>IF(EsteeNew!E107-EsteeOld!E107=0,"",EsteeNew!E107-EsteeOld!E107)</f>
        <v/>
      </c>
      <c r="F107" s="83" t="str">
        <f>IF(EsteeNew!F107-EsteeOld!F107=0,"",EsteeNew!F107-EsteeOld!F107)</f>
        <v/>
      </c>
      <c r="G107" s="83" t="str">
        <f>IF(EsteeNew!G107-EsteeOld!G107=0,"",EsteeNew!G107-EsteeOld!G107)</f>
        <v/>
      </c>
      <c r="H107" s="83" t="str">
        <f>IF(EsteeNew!H107-EsteeOld!H107=0,"",EsteeNew!H107-EsteeOld!H107)</f>
        <v/>
      </c>
      <c r="I107" s="83" t="str">
        <f>IF(EsteeNew!I107-EsteeOld!I107=0,"",EsteeNew!I107-EsteeOld!I107)</f>
        <v/>
      </c>
      <c r="J107" s="83" t="str">
        <f>IF(EsteeNew!J107-EsteeOld!J107=0,"",EsteeNew!J107-EsteeOld!J107)</f>
        <v/>
      </c>
      <c r="K107" s="83" t="str">
        <f>IF(EsteeNew!K107-EsteeOld!K107=0,"",EsteeNew!K107-EsteeOld!K107)</f>
        <v/>
      </c>
      <c r="L107" s="83" t="str">
        <f>IF(EsteeNew!L107-EsteeOld!L107=0,"",EsteeNew!L107-EsteeOld!L107)</f>
        <v/>
      </c>
      <c r="M107" s="83" t="str">
        <f>IF(EsteeNew!M107-EsteeOld!M107=0,"",EsteeNew!M107-EsteeOld!M107)</f>
        <v/>
      </c>
      <c r="N107" s="83" t="str">
        <f>IF(EsteeNew!N107-EsteeOld!N107=0,"",EsteeNew!N107-EsteeOld!N107)</f>
        <v/>
      </c>
      <c r="O107" s="83" t="str">
        <f>IF(EsteeNew!O107-EsteeOld!O107=0,"",EsteeNew!O107-EsteeOld!O107)</f>
        <v/>
      </c>
      <c r="P107" s="83" t="str">
        <f>IF(EsteeNew!P107-EsteeOld!P107=0,"",EsteeNew!P107-EsteeOld!P107)</f>
        <v/>
      </c>
      <c r="Q107" s="83" t="str">
        <f>IF(EsteeNew!Q107-EsteeOld!Q107=0,"",EsteeNew!Q107-EsteeOld!Q107)</f>
        <v/>
      </c>
      <c r="R107" s="83" t="str">
        <f>IF(EsteeNew!R107-EsteeOld!R107=0,"",EsteeNew!R107-EsteeOld!R107)</f>
        <v/>
      </c>
      <c r="S107" s="83" t="str">
        <f>IF(EsteeNew!S107-EsteeOld!S107=0,"",EsteeNew!S107-EsteeOld!S107)</f>
        <v/>
      </c>
      <c r="T107" s="83" t="str">
        <f>IF(EsteeNew!T107-EsteeOld!T107=0,"",EsteeNew!T107-EsteeOld!T107)</f>
        <v/>
      </c>
      <c r="U107" s="83" t="str">
        <f>IF(EsteeNew!U107-EsteeOld!U107=0,"",EsteeNew!U107-EsteeOld!U107)</f>
        <v/>
      </c>
      <c r="V107" s="83" t="str">
        <f>IF(EsteeNew!V107-EsteeOld!V107=0,"",EsteeNew!V107-EsteeOld!V107)</f>
        <v/>
      </c>
      <c r="W107" s="83" t="str">
        <f>IF(EsteeNew!W107-EsteeOld!W107=0,"",EsteeNew!W107-EsteeOld!W107)</f>
        <v/>
      </c>
      <c r="X107" s="83" t="str">
        <f>IF(EsteeNew!X107-EsteeOld!X107=0,"",EsteeNew!X107-EsteeOld!X107)</f>
        <v/>
      </c>
      <c r="Y107" s="83">
        <f>IF(EsteeNew!Y107-EsteeOld!Y107=0,"",EsteeNew!Y107-EsteeOld!Y107)</f>
        <v>-0.65955955955956114</v>
      </c>
      <c r="Z107" s="83" t="str">
        <f>IF(EsteeNew!Z107-EsteeOld!Z107=0,"",EsteeNew!Z107-EsteeOld!Z107)</f>
        <v/>
      </c>
      <c r="AA107" s="83" t="str">
        <f>IF(EsteeNew!AA107-EsteeOld!AA107=0,"",EsteeNew!AA107-EsteeOld!AA107)</f>
        <v/>
      </c>
      <c r="AB107" s="83" t="str">
        <f>IF(EsteeNew!AB107-EsteeOld!AB107=0,"",EsteeNew!AB107-EsteeOld!AB107)</f>
        <v/>
      </c>
      <c r="AC107" s="83" t="str">
        <f>IF(EsteeNew!AC107-EsteeOld!AC107=0,"",EsteeNew!AC107-EsteeOld!AC107)</f>
        <v/>
      </c>
      <c r="AD107" s="83" t="str">
        <f>IF(EsteeNew!AD107-EsteeOld!AD107=0,"",EsteeNew!AD107-EsteeOld!AD107)</f>
        <v/>
      </c>
      <c r="AE107" s="83" t="str">
        <f>IF(EsteeNew!AE107-EsteeOld!AE107=0,"",EsteeNew!AE107-EsteeOld!AE107)</f>
        <v/>
      </c>
      <c r="AF107" s="83" t="str">
        <f>IF(EsteeNew!AF107-EsteeOld!AF107=0,"",EsteeNew!AF107-EsteeOld!AF107)</f>
        <v/>
      </c>
      <c r="AG107" s="83" t="str">
        <f>IF(EsteeNew!AG107-EsteeOld!AG107=0,"",EsteeNew!AG107-EsteeOld!AG107)</f>
        <v/>
      </c>
      <c r="AH107" s="83" t="str">
        <f>IF(EsteeNew!AH107-EsteeOld!AH107=0,"",EsteeNew!AH107-EsteeOld!AH107)</f>
        <v/>
      </c>
      <c r="AI107" s="83" t="str">
        <f>IF(EsteeNew!AI107-EsteeOld!AI107=0,"",EsteeNew!AI107-EsteeOld!AI107)</f>
        <v/>
      </c>
      <c r="AJ107" s="83" t="str">
        <f>IF(EsteeNew!AJ107-EsteeOld!AJ107=0,"",EsteeNew!AJ107-EsteeOld!AJ107)</f>
        <v/>
      </c>
      <c r="AK107" s="83" t="str">
        <f>IF(EsteeNew!AK107-EsteeOld!AK107=0,"",EsteeNew!AK107-EsteeOld!AK107)</f>
        <v/>
      </c>
      <c r="AL107" s="83" t="str">
        <f>IF(EsteeNew!AL107-EsteeOld!AL107=0,"",EsteeNew!AL107-EsteeOld!AL107)</f>
        <v/>
      </c>
      <c r="AM107" s="83" t="str">
        <f>IF(EsteeNew!AM107-EsteeOld!AM107=0,"",EsteeNew!AM107-EsteeOld!AM107)</f>
        <v/>
      </c>
      <c r="AN107" s="83" t="str">
        <f>IF(EsteeNew!AN107-EsteeOld!AN107=0,"",EsteeNew!AN107-EsteeOld!AN107)</f>
        <v/>
      </c>
      <c r="AO107" s="83" t="str">
        <f>IF(EsteeNew!AO107-EsteeOld!AO107=0,"",EsteeNew!AO107-EsteeOld!AO107)</f>
        <v/>
      </c>
      <c r="AP107" s="83" t="str">
        <f>IF(EsteeNew!AP107-EsteeOld!AP107=0,"",EsteeNew!AP107-EsteeOld!AP107)</f>
        <v/>
      </c>
      <c r="AQ107" s="83" t="str">
        <f>IF(EsteeNew!AQ107-EsteeOld!AQ107=0,"",EsteeNew!AQ107-EsteeOld!AQ107)</f>
        <v/>
      </c>
      <c r="AR107" s="83" t="str">
        <f>IF(EsteeNew!AR107-EsteeOld!AR107=0,"",EsteeNew!AR107-EsteeOld!AR107)</f>
        <v/>
      </c>
      <c r="AS107" s="83" t="str">
        <f>IF(EsteeNew!AS107-EsteeOld!AS107=0,"",EsteeNew!AS107-EsteeOld!AS107)</f>
        <v/>
      </c>
      <c r="AT107" s="83" t="str">
        <f>IF(EsteeNew!AT107-EsteeOld!AT107=0,"",EsteeNew!AT107-EsteeOld!AT107)</f>
        <v/>
      </c>
      <c r="AU107" s="83" t="str">
        <f>IF(EsteeNew!AU107-EsteeOld!AU107=0,"",EsteeNew!AU107-EsteeOld!AU107)</f>
        <v/>
      </c>
      <c r="AV107" s="83" t="str">
        <f>IF(EsteeNew!AV107-EsteeOld!AV107=0,"",EsteeNew!AV107-EsteeOld!AV107)</f>
        <v/>
      </c>
      <c r="AW107" s="83" t="str">
        <f>IF(EsteeNew!AW107-EsteeOld!AW107=0,"",EsteeNew!AW107-EsteeOld!AW107)</f>
        <v/>
      </c>
      <c r="AX107" s="83" t="str">
        <f>IF(EsteeNew!AX107-EsteeOld!AX107=0,"",EsteeNew!AX107-EsteeOld!AX107)</f>
        <v/>
      </c>
      <c r="AY107" s="83" t="str">
        <f>IF(EsteeNew!AY107-EsteeOld!AY107=0,"",EsteeNew!AY107-EsteeOld!AY107)</f>
        <v/>
      </c>
      <c r="AZ107" s="83" t="str">
        <f>IF(EsteeNew!AZ107-EsteeOld!AZ107=0,"",EsteeNew!AZ107-EsteeOld!AZ107)</f>
        <v/>
      </c>
      <c r="BA107" s="83" t="str">
        <f>IF(EsteeNew!BA107-EsteeOld!BA107=0,"",EsteeNew!BA107-EsteeOld!BA107)</f>
        <v/>
      </c>
      <c r="BB107" s="83" t="str">
        <f>IF(EsteeNew!BB107-EsteeOld!BB107=0,"",EsteeNew!BB107-EsteeOld!BB107)</f>
        <v/>
      </c>
      <c r="BC107" s="83" t="str">
        <f>IF(EsteeNew!BC107-EsteeOld!BC107=0,"",EsteeNew!BC107-EsteeOld!BC107)</f>
        <v/>
      </c>
      <c r="BD107" s="83" t="str">
        <f>IF(EsteeNew!BD107-EsteeOld!BD107=0,"",EsteeNew!BD107-EsteeOld!BD107)</f>
        <v/>
      </c>
    </row>
    <row r="108" spans="3:56" x14ac:dyDescent="0.25">
      <c r="C108" s="110"/>
      <c r="E108" s="45"/>
      <c r="F108" s="45"/>
      <c r="G108" s="45"/>
      <c r="H108" s="45"/>
      <c r="I108" s="45"/>
      <c r="J108" s="45"/>
      <c r="K108" s="45"/>
      <c r="L108" s="45"/>
      <c r="M108" s="45"/>
    </row>
    <row r="109" spans="3:56" x14ac:dyDescent="0.25">
      <c r="C109" s="110"/>
      <c r="D109" s="49" t="s">
        <v>34</v>
      </c>
      <c r="E109" s="65" t="str">
        <f>IF(EsteeNew!E109-EsteeOld!E109=0,"",EsteeNew!E109-EsteeOld!E109)</f>
        <v/>
      </c>
      <c r="F109" s="65" t="str">
        <f>IF(EsteeNew!F109-EsteeOld!F109=0,"",EsteeNew!F109-EsteeOld!F109)</f>
        <v/>
      </c>
      <c r="G109" s="65" t="str">
        <f>IF(EsteeNew!G109-EsteeOld!G109=0,"",EsteeNew!G109-EsteeOld!G109)</f>
        <v/>
      </c>
      <c r="H109" s="65" t="str">
        <f>IF(EsteeNew!H109-EsteeOld!H109=0,"",EsteeNew!H109-EsteeOld!H109)</f>
        <v/>
      </c>
      <c r="I109" s="65" t="str">
        <f>IF(EsteeNew!I109-EsteeOld!I109=0,"",EsteeNew!I109-EsteeOld!I109)</f>
        <v/>
      </c>
      <c r="J109" s="65" t="str">
        <f>IF(EsteeNew!J109-EsteeOld!J109=0,"",EsteeNew!J109-EsteeOld!J109)</f>
        <v/>
      </c>
      <c r="K109" s="65" t="str">
        <f>IF(EsteeNew!K109-EsteeOld!K109=0,"",EsteeNew!K109-EsteeOld!K109)</f>
        <v/>
      </c>
      <c r="L109" s="65" t="str">
        <f>IF(EsteeNew!L109-EsteeOld!L109=0,"",EsteeNew!L109-EsteeOld!L109)</f>
        <v/>
      </c>
      <c r="M109" s="65" t="str">
        <f>IF(EsteeNew!M109-EsteeOld!M109=0,"",EsteeNew!M109-EsteeOld!M109)</f>
        <v/>
      </c>
      <c r="N109" s="65" t="str">
        <f>IF(EsteeNew!N109-EsteeOld!N109=0,"",EsteeNew!N109-EsteeOld!N109)</f>
        <v/>
      </c>
      <c r="O109" s="65" t="str">
        <f>IF(EsteeNew!O109-EsteeOld!O109=0,"",EsteeNew!O109-EsteeOld!O109)</f>
        <v/>
      </c>
      <c r="P109" s="65" t="str">
        <f>IF(EsteeNew!P109-EsteeOld!P109=0,"",EsteeNew!P109-EsteeOld!P109)</f>
        <v/>
      </c>
      <c r="Q109" s="65" t="str">
        <f>IF(EsteeNew!Q109-EsteeOld!Q109=0,"",EsteeNew!Q109-EsteeOld!Q109)</f>
        <v/>
      </c>
      <c r="R109" s="65" t="str">
        <f>IF(EsteeNew!R109-EsteeOld!R109=0,"",EsteeNew!R109-EsteeOld!R109)</f>
        <v/>
      </c>
      <c r="S109" s="65" t="str">
        <f>IF(EsteeNew!S109-EsteeOld!S109=0,"",EsteeNew!S109-EsteeOld!S109)</f>
        <v/>
      </c>
      <c r="T109" s="65" t="str">
        <f>IF(EsteeNew!T109-EsteeOld!T109=0,"",EsteeNew!T109-EsteeOld!T109)</f>
        <v/>
      </c>
      <c r="U109" s="65" t="str">
        <f>IF(EsteeNew!U109-EsteeOld!U109=0,"",EsteeNew!U109-EsteeOld!U109)</f>
        <v/>
      </c>
      <c r="V109" s="65" t="str">
        <f>IF(EsteeNew!V109-EsteeOld!V109=0,"",EsteeNew!V109-EsteeOld!V109)</f>
        <v/>
      </c>
      <c r="W109" s="65" t="str">
        <f>IF(EsteeNew!W109-EsteeOld!W109=0,"",EsteeNew!W109-EsteeOld!W109)</f>
        <v/>
      </c>
      <c r="X109" s="65" t="str">
        <f>IF(EsteeNew!X109-EsteeOld!X109=0,"",EsteeNew!X109-EsteeOld!X109)</f>
        <v/>
      </c>
      <c r="Y109" s="65" t="str">
        <f>IF(EsteeNew!Y109-EsteeOld!Y109=0,"",EsteeNew!Y109-EsteeOld!Y109)</f>
        <v/>
      </c>
      <c r="Z109" s="65" t="str">
        <f>IF(EsteeNew!Z109-EsteeOld!Z109=0,"",EsteeNew!Z109-EsteeOld!Z109)</f>
        <v/>
      </c>
      <c r="AA109" s="65" t="str">
        <f>IF(EsteeNew!AA109-EsteeOld!AA109=0,"",EsteeNew!AA109-EsteeOld!AA109)</f>
        <v/>
      </c>
      <c r="AB109" s="65" t="str">
        <f>IF(EsteeNew!AB109-EsteeOld!AB109=0,"",EsteeNew!AB109-EsteeOld!AB109)</f>
        <v/>
      </c>
      <c r="AC109" s="65" t="str">
        <f>IF(EsteeNew!AC109-EsteeOld!AC109=0,"",EsteeNew!AC109-EsteeOld!AC109)</f>
        <v/>
      </c>
      <c r="AD109" s="65" t="str">
        <f>IF(EsteeNew!AD109-EsteeOld!AD109=0,"",EsteeNew!AD109-EsteeOld!AD109)</f>
        <v/>
      </c>
      <c r="AE109" s="65" t="str">
        <f>IF(EsteeNew!AE109-EsteeOld!AE109=0,"",EsteeNew!AE109-EsteeOld!AE109)</f>
        <v/>
      </c>
      <c r="AF109" s="65" t="str">
        <f>IF(EsteeNew!AF109-EsteeOld!AF109=0,"",EsteeNew!AF109-EsteeOld!AF109)</f>
        <v/>
      </c>
      <c r="AG109" s="65" t="str">
        <f>IF(EsteeNew!AG109-EsteeOld!AG109=0,"",EsteeNew!AG109-EsteeOld!AG109)</f>
        <v/>
      </c>
      <c r="AH109" s="65" t="str">
        <f>IF(EsteeNew!AH109-EsteeOld!AH109=0,"",EsteeNew!AH109-EsteeOld!AH109)</f>
        <v/>
      </c>
      <c r="AI109" s="65" t="str">
        <f>IF(EsteeNew!AI109-EsteeOld!AI109=0,"",EsteeNew!AI109-EsteeOld!AI109)</f>
        <v/>
      </c>
      <c r="AJ109" s="65" t="str">
        <f>IF(EsteeNew!AJ109-EsteeOld!AJ109=0,"",EsteeNew!AJ109-EsteeOld!AJ109)</f>
        <v/>
      </c>
      <c r="AK109" s="65" t="str">
        <f>IF(EsteeNew!AK109-EsteeOld!AK109=0,"",EsteeNew!AK109-EsteeOld!AK109)</f>
        <v/>
      </c>
      <c r="AL109" s="65" t="str">
        <f>IF(EsteeNew!AL109-EsteeOld!AL109=0,"",EsteeNew!AL109-EsteeOld!AL109)</f>
        <v/>
      </c>
      <c r="AM109" s="65" t="str">
        <f>IF(EsteeNew!AM109-EsteeOld!AM109=0,"",EsteeNew!AM109-EsteeOld!AM109)</f>
        <v/>
      </c>
      <c r="AN109" s="65" t="str">
        <f>IF(EsteeNew!AN109-EsteeOld!AN109=0,"",EsteeNew!AN109-EsteeOld!AN109)</f>
        <v/>
      </c>
      <c r="AO109" s="65" t="str">
        <f>IF(EsteeNew!AO109-EsteeOld!AO109=0,"",EsteeNew!AO109-EsteeOld!AO109)</f>
        <v/>
      </c>
      <c r="AP109" s="65" t="str">
        <f>IF(EsteeNew!AP109-EsteeOld!AP109=0,"",EsteeNew!AP109-EsteeOld!AP109)</f>
        <v/>
      </c>
      <c r="AQ109" s="65" t="str">
        <f>IF(EsteeNew!AQ109-EsteeOld!AQ109=0,"",EsteeNew!AQ109-EsteeOld!AQ109)</f>
        <v/>
      </c>
      <c r="AR109" s="65" t="str">
        <f>IF(EsteeNew!AR109-EsteeOld!AR109=0,"",EsteeNew!AR109-EsteeOld!AR109)</f>
        <v/>
      </c>
      <c r="AS109" s="65" t="str">
        <f>IF(EsteeNew!AS109-EsteeOld!AS109=0,"",EsteeNew!AS109-EsteeOld!AS109)</f>
        <v/>
      </c>
      <c r="AT109" s="65" t="str">
        <f>IF(EsteeNew!AT109-EsteeOld!AT109=0,"",EsteeNew!AT109-EsteeOld!AT109)</f>
        <v/>
      </c>
      <c r="AU109" s="65" t="str">
        <f>IF(EsteeNew!AU109-EsteeOld!AU109=0,"",EsteeNew!AU109-EsteeOld!AU109)</f>
        <v/>
      </c>
      <c r="AV109" s="65" t="str">
        <f>IF(EsteeNew!AV109-EsteeOld!AV109=0,"",EsteeNew!AV109-EsteeOld!AV109)</f>
        <v/>
      </c>
      <c r="AW109" s="65" t="str">
        <f>IF(EsteeNew!AW109-EsteeOld!AW109=0,"",EsteeNew!AW109-EsteeOld!AW109)</f>
        <v/>
      </c>
      <c r="AX109" s="65" t="str">
        <f>IF(EsteeNew!AX109-EsteeOld!AX109=0,"",EsteeNew!AX109-EsteeOld!AX109)</f>
        <v/>
      </c>
      <c r="AY109" s="65" t="str">
        <f>IF(EsteeNew!AY109-EsteeOld!AY109=0,"",EsteeNew!AY109-EsteeOld!AY109)</f>
        <v/>
      </c>
      <c r="AZ109" s="65" t="str">
        <f>IF(EsteeNew!AZ109-EsteeOld!AZ109=0,"",EsteeNew!AZ109-EsteeOld!AZ109)</f>
        <v/>
      </c>
      <c r="BA109" s="65" t="str">
        <f>IF(EsteeNew!BA109-EsteeOld!BA109=0,"",EsteeNew!BA109-EsteeOld!BA109)</f>
        <v/>
      </c>
      <c r="BB109" s="65" t="str">
        <f>IF(EsteeNew!BB109-EsteeOld!BB109=0,"",EsteeNew!BB109-EsteeOld!BB109)</f>
        <v/>
      </c>
      <c r="BC109" s="65" t="str">
        <f>IF(EsteeNew!BC109-EsteeOld!BC109=0,"",EsteeNew!BC109-EsteeOld!BC109)</f>
        <v/>
      </c>
      <c r="BD109" s="65" t="str">
        <f>IF(EsteeNew!BD109-EsteeOld!BD109=0,"",EsteeNew!BD109-EsteeOld!BD109)</f>
        <v/>
      </c>
    </row>
    <row r="110" spans="3:56" x14ac:dyDescent="0.25">
      <c r="C110" s="110"/>
      <c r="D110" s="49" t="s">
        <v>35</v>
      </c>
      <c r="E110" s="65" t="str">
        <f>IF(EsteeNew!E110-EsteeOld!E110=0,"",EsteeNew!E110-EsteeOld!E110)</f>
        <v/>
      </c>
      <c r="F110" s="65" t="str">
        <f>IF(EsteeNew!F110-EsteeOld!F110=0,"",EsteeNew!F110-EsteeOld!F110)</f>
        <v/>
      </c>
      <c r="G110" s="65" t="str">
        <f>IF(EsteeNew!G110-EsteeOld!G110=0,"",EsteeNew!G110-EsteeOld!G110)</f>
        <v/>
      </c>
      <c r="H110" s="65" t="str">
        <f>IF(EsteeNew!H110-EsteeOld!H110=0,"",EsteeNew!H110-EsteeOld!H110)</f>
        <v/>
      </c>
      <c r="I110" s="65" t="str">
        <f>IF(EsteeNew!I110-EsteeOld!I110=0,"",EsteeNew!I110-EsteeOld!I110)</f>
        <v/>
      </c>
      <c r="J110" s="65" t="str">
        <f>IF(EsteeNew!J110-EsteeOld!J110=0,"",EsteeNew!J110-EsteeOld!J110)</f>
        <v/>
      </c>
      <c r="K110" s="65" t="str">
        <f>IF(EsteeNew!K110-EsteeOld!K110=0,"",EsteeNew!K110-EsteeOld!K110)</f>
        <v/>
      </c>
      <c r="L110" s="65" t="str">
        <f>IF(EsteeNew!L110-EsteeOld!L110=0,"",EsteeNew!L110-EsteeOld!L110)</f>
        <v/>
      </c>
      <c r="M110" s="65" t="str">
        <f>IF(EsteeNew!M110-EsteeOld!M110=0,"",EsteeNew!M110-EsteeOld!M110)</f>
        <v/>
      </c>
      <c r="N110" s="65" t="str">
        <f>IF(EsteeNew!N110-EsteeOld!N110=0,"",EsteeNew!N110-EsteeOld!N110)</f>
        <v/>
      </c>
      <c r="O110" s="65" t="str">
        <f>IF(EsteeNew!O110-EsteeOld!O110=0,"",EsteeNew!O110-EsteeOld!O110)</f>
        <v/>
      </c>
      <c r="P110" s="65" t="str">
        <f>IF(EsteeNew!P110-EsteeOld!P110=0,"",EsteeNew!P110-EsteeOld!P110)</f>
        <v/>
      </c>
      <c r="Q110" s="65" t="str">
        <f>IF(EsteeNew!Q110-EsteeOld!Q110=0,"",EsteeNew!Q110-EsteeOld!Q110)</f>
        <v/>
      </c>
      <c r="R110" s="65" t="str">
        <f>IF(EsteeNew!R110-EsteeOld!R110=0,"",EsteeNew!R110-EsteeOld!R110)</f>
        <v/>
      </c>
      <c r="S110" s="65" t="str">
        <f>IF(EsteeNew!S110-EsteeOld!S110=0,"",EsteeNew!S110-EsteeOld!S110)</f>
        <v/>
      </c>
      <c r="T110" s="65" t="str">
        <f>IF(EsteeNew!T110-EsteeOld!T110=0,"",EsteeNew!T110-EsteeOld!T110)</f>
        <v/>
      </c>
      <c r="U110" s="65" t="str">
        <f>IF(EsteeNew!U110-EsteeOld!U110=0,"",EsteeNew!U110-EsteeOld!U110)</f>
        <v/>
      </c>
      <c r="V110" s="65" t="str">
        <f>IF(EsteeNew!V110-EsteeOld!V110=0,"",EsteeNew!V110-EsteeOld!V110)</f>
        <v/>
      </c>
      <c r="W110" s="65" t="str">
        <f>IF(EsteeNew!W110-EsteeOld!W110=0,"",EsteeNew!W110-EsteeOld!W110)</f>
        <v/>
      </c>
      <c r="X110" s="65" t="str">
        <f>IF(EsteeNew!X110-EsteeOld!X110=0,"",EsteeNew!X110-EsteeOld!X110)</f>
        <v/>
      </c>
      <c r="Y110" s="65" t="str">
        <f>IF(EsteeNew!Y110-EsteeOld!Y110=0,"",EsteeNew!Y110-EsteeOld!Y110)</f>
        <v/>
      </c>
      <c r="Z110" s="65" t="str">
        <f>IF(EsteeNew!Z110-EsteeOld!Z110=0,"",EsteeNew!Z110-EsteeOld!Z110)</f>
        <v/>
      </c>
      <c r="AA110" s="65" t="str">
        <f>IF(EsteeNew!AA110-EsteeOld!AA110=0,"",EsteeNew!AA110-EsteeOld!AA110)</f>
        <v/>
      </c>
      <c r="AB110" s="65" t="str">
        <f>IF(EsteeNew!AB110-EsteeOld!AB110=0,"",EsteeNew!AB110-EsteeOld!AB110)</f>
        <v/>
      </c>
      <c r="AC110" s="65" t="str">
        <f>IF(EsteeNew!AC110-EsteeOld!AC110=0,"",EsteeNew!AC110-EsteeOld!AC110)</f>
        <v/>
      </c>
      <c r="AD110" s="65" t="str">
        <f>IF(EsteeNew!AD110-EsteeOld!AD110=0,"",EsteeNew!AD110-EsteeOld!AD110)</f>
        <v/>
      </c>
      <c r="AE110" s="65" t="str">
        <f>IF(EsteeNew!AE110-EsteeOld!AE110=0,"",EsteeNew!AE110-EsteeOld!AE110)</f>
        <v/>
      </c>
      <c r="AF110" s="65" t="str">
        <f>IF(EsteeNew!AF110-EsteeOld!AF110=0,"",EsteeNew!AF110-EsteeOld!AF110)</f>
        <v/>
      </c>
      <c r="AG110" s="65" t="str">
        <f>IF(EsteeNew!AG110-EsteeOld!AG110=0,"",EsteeNew!AG110-EsteeOld!AG110)</f>
        <v/>
      </c>
      <c r="AH110" s="65" t="str">
        <f>IF(EsteeNew!AH110-EsteeOld!AH110=0,"",EsteeNew!AH110-EsteeOld!AH110)</f>
        <v/>
      </c>
      <c r="AI110" s="65" t="str">
        <f>IF(EsteeNew!AI110-EsteeOld!AI110=0,"",EsteeNew!AI110-EsteeOld!AI110)</f>
        <v/>
      </c>
      <c r="AJ110" s="65" t="str">
        <f>IF(EsteeNew!AJ110-EsteeOld!AJ110=0,"",EsteeNew!AJ110-EsteeOld!AJ110)</f>
        <v/>
      </c>
      <c r="AK110" s="65" t="str">
        <f>IF(EsteeNew!AK110-EsteeOld!AK110=0,"",EsteeNew!AK110-EsteeOld!AK110)</f>
        <v/>
      </c>
      <c r="AL110" s="65" t="str">
        <f>IF(EsteeNew!AL110-EsteeOld!AL110=0,"",EsteeNew!AL110-EsteeOld!AL110)</f>
        <v/>
      </c>
      <c r="AM110" s="65" t="str">
        <f>IF(EsteeNew!AM110-EsteeOld!AM110=0,"",EsteeNew!AM110-EsteeOld!AM110)</f>
        <v/>
      </c>
      <c r="AN110" s="65" t="str">
        <f>IF(EsteeNew!AN110-EsteeOld!AN110=0,"",EsteeNew!AN110-EsteeOld!AN110)</f>
        <v/>
      </c>
      <c r="AO110" s="65" t="str">
        <f>IF(EsteeNew!AO110-EsteeOld!AO110=0,"",EsteeNew!AO110-EsteeOld!AO110)</f>
        <v/>
      </c>
      <c r="AP110" s="65" t="str">
        <f>IF(EsteeNew!AP110-EsteeOld!AP110=0,"",EsteeNew!AP110-EsteeOld!AP110)</f>
        <v/>
      </c>
      <c r="AQ110" s="65" t="str">
        <f>IF(EsteeNew!AQ110-EsteeOld!AQ110=0,"",EsteeNew!AQ110-EsteeOld!AQ110)</f>
        <v/>
      </c>
      <c r="AR110" s="65" t="str">
        <f>IF(EsteeNew!AR110-EsteeOld!AR110=0,"",EsteeNew!AR110-EsteeOld!AR110)</f>
        <v/>
      </c>
      <c r="AS110" s="65" t="str">
        <f>IF(EsteeNew!AS110-EsteeOld!AS110=0,"",EsteeNew!AS110-EsteeOld!AS110)</f>
        <v/>
      </c>
      <c r="AT110" s="65" t="str">
        <f>IF(EsteeNew!AT110-EsteeOld!AT110=0,"",EsteeNew!AT110-EsteeOld!AT110)</f>
        <v/>
      </c>
      <c r="AU110" s="65" t="str">
        <f>IF(EsteeNew!AU110-EsteeOld!AU110=0,"",EsteeNew!AU110-EsteeOld!AU110)</f>
        <v/>
      </c>
      <c r="AV110" s="65" t="str">
        <f>IF(EsteeNew!AV110-EsteeOld!AV110=0,"",EsteeNew!AV110-EsteeOld!AV110)</f>
        <v/>
      </c>
      <c r="AW110" s="65" t="str">
        <f>IF(EsteeNew!AW110-EsteeOld!AW110=0,"",EsteeNew!AW110-EsteeOld!AW110)</f>
        <v/>
      </c>
      <c r="AX110" s="65" t="str">
        <f>IF(EsteeNew!AX110-EsteeOld!AX110=0,"",EsteeNew!AX110-EsteeOld!AX110)</f>
        <v/>
      </c>
      <c r="AY110" s="65" t="str">
        <f>IF(EsteeNew!AY110-EsteeOld!AY110=0,"",EsteeNew!AY110-EsteeOld!AY110)</f>
        <v/>
      </c>
      <c r="AZ110" s="65" t="str">
        <f>IF(EsteeNew!AZ110-EsteeOld!AZ110=0,"",EsteeNew!AZ110-EsteeOld!AZ110)</f>
        <v/>
      </c>
      <c r="BA110" s="65" t="str">
        <f>IF(EsteeNew!BA110-EsteeOld!BA110=0,"",EsteeNew!BA110-EsteeOld!BA110)</f>
        <v/>
      </c>
      <c r="BB110" s="65" t="str">
        <f>IF(EsteeNew!BB110-EsteeOld!BB110=0,"",EsteeNew!BB110-EsteeOld!BB110)</f>
        <v/>
      </c>
      <c r="BC110" s="65" t="str">
        <f>IF(EsteeNew!BC110-EsteeOld!BC110=0,"",EsteeNew!BC110-EsteeOld!BC110)</f>
        <v/>
      </c>
      <c r="BD110" s="65" t="str">
        <f>IF(EsteeNew!BD110-EsteeOld!BD110=0,"",EsteeNew!BD110-EsteeOld!BD110)</f>
        <v/>
      </c>
    </row>
    <row r="111" spans="3:56" x14ac:dyDescent="0.25">
      <c r="C111" s="110"/>
      <c r="D111" s="49" t="s">
        <v>36</v>
      </c>
      <c r="E111" s="65" t="str">
        <f>IF(EsteeNew!E111-EsteeOld!E111=0,"",EsteeNew!E111-EsteeOld!E111)</f>
        <v/>
      </c>
      <c r="F111" s="65" t="str">
        <f>IF(EsteeNew!F111-EsteeOld!F111=0,"",EsteeNew!F111-EsteeOld!F111)</f>
        <v/>
      </c>
      <c r="G111" s="65" t="str">
        <f>IF(EsteeNew!G111-EsteeOld!G111=0,"",EsteeNew!G111-EsteeOld!G111)</f>
        <v/>
      </c>
      <c r="H111" s="65" t="str">
        <f>IF(EsteeNew!H111-EsteeOld!H111=0,"",EsteeNew!H111-EsteeOld!H111)</f>
        <v/>
      </c>
      <c r="I111" s="65" t="str">
        <f>IF(EsteeNew!I111-EsteeOld!I111=0,"",EsteeNew!I111-EsteeOld!I111)</f>
        <v/>
      </c>
      <c r="J111" s="65" t="str">
        <f>IF(EsteeNew!J111-EsteeOld!J111=0,"",EsteeNew!J111-EsteeOld!J111)</f>
        <v/>
      </c>
      <c r="K111" s="65" t="str">
        <f>IF(EsteeNew!K111-EsteeOld!K111=0,"",EsteeNew!K111-EsteeOld!K111)</f>
        <v/>
      </c>
      <c r="L111" s="65" t="str">
        <f>IF(EsteeNew!L111-EsteeOld!L111=0,"",EsteeNew!L111-EsteeOld!L111)</f>
        <v/>
      </c>
      <c r="M111" s="65" t="str">
        <f>IF(EsteeNew!M111-EsteeOld!M111=0,"",EsteeNew!M111-EsteeOld!M111)</f>
        <v/>
      </c>
      <c r="N111" s="65" t="str">
        <f>IF(EsteeNew!N111-EsteeOld!N111=0,"",EsteeNew!N111-EsteeOld!N111)</f>
        <v/>
      </c>
      <c r="O111" s="65" t="str">
        <f>IF(EsteeNew!O111-EsteeOld!O111=0,"",EsteeNew!O111-EsteeOld!O111)</f>
        <v/>
      </c>
      <c r="P111" s="65" t="str">
        <f>IF(EsteeNew!P111-EsteeOld!P111=0,"",EsteeNew!P111-EsteeOld!P111)</f>
        <v/>
      </c>
      <c r="Q111" s="65" t="str">
        <f>IF(EsteeNew!Q111-EsteeOld!Q111=0,"",EsteeNew!Q111-EsteeOld!Q111)</f>
        <v/>
      </c>
      <c r="R111" s="65" t="str">
        <f>IF(EsteeNew!R111-EsteeOld!R111=0,"",EsteeNew!R111-EsteeOld!R111)</f>
        <v/>
      </c>
      <c r="S111" s="65" t="str">
        <f>IF(EsteeNew!S111-EsteeOld!S111=0,"",EsteeNew!S111-EsteeOld!S111)</f>
        <v/>
      </c>
      <c r="T111" s="65" t="str">
        <f>IF(EsteeNew!T111-EsteeOld!T111=0,"",EsteeNew!T111-EsteeOld!T111)</f>
        <v/>
      </c>
      <c r="U111" s="65" t="str">
        <f>IF(EsteeNew!U111-EsteeOld!U111=0,"",EsteeNew!U111-EsteeOld!U111)</f>
        <v/>
      </c>
      <c r="V111" s="65" t="str">
        <f>IF(EsteeNew!V111-EsteeOld!V111=0,"",EsteeNew!V111-EsteeOld!V111)</f>
        <v/>
      </c>
      <c r="W111" s="65" t="str">
        <f>IF(EsteeNew!W111-EsteeOld!W111=0,"",EsteeNew!W111-EsteeOld!W111)</f>
        <v/>
      </c>
      <c r="X111" s="65" t="str">
        <f>IF(EsteeNew!X111-EsteeOld!X111=0,"",EsteeNew!X111-EsteeOld!X111)</f>
        <v/>
      </c>
      <c r="Y111" s="65" t="str">
        <f>IF(EsteeNew!Y111-EsteeOld!Y111=0,"",EsteeNew!Y111-EsteeOld!Y111)</f>
        <v/>
      </c>
      <c r="Z111" s="65" t="str">
        <f>IF(EsteeNew!Z111-EsteeOld!Z111=0,"",EsteeNew!Z111-EsteeOld!Z111)</f>
        <v/>
      </c>
      <c r="AA111" s="65" t="str">
        <f>IF(EsteeNew!AA111-EsteeOld!AA111=0,"",EsteeNew!AA111-EsteeOld!AA111)</f>
        <v/>
      </c>
      <c r="AB111" s="65" t="str">
        <f>IF(EsteeNew!AB111-EsteeOld!AB111=0,"",EsteeNew!AB111-EsteeOld!AB111)</f>
        <v/>
      </c>
      <c r="AC111" s="65" t="str">
        <f>IF(EsteeNew!AC111-EsteeOld!AC111=0,"",EsteeNew!AC111-EsteeOld!AC111)</f>
        <v/>
      </c>
      <c r="AD111" s="65" t="str">
        <f>IF(EsteeNew!AD111-EsteeOld!AD111=0,"",EsteeNew!AD111-EsteeOld!AD111)</f>
        <v/>
      </c>
      <c r="AE111" s="65" t="str">
        <f>IF(EsteeNew!AE111-EsteeOld!AE111=0,"",EsteeNew!AE111-EsteeOld!AE111)</f>
        <v/>
      </c>
      <c r="AF111" s="65" t="str">
        <f>IF(EsteeNew!AF111-EsteeOld!AF111=0,"",EsteeNew!AF111-EsteeOld!AF111)</f>
        <v/>
      </c>
      <c r="AG111" s="65" t="str">
        <f>IF(EsteeNew!AG111-EsteeOld!AG111=0,"",EsteeNew!AG111-EsteeOld!AG111)</f>
        <v/>
      </c>
      <c r="AH111" s="65" t="str">
        <f>IF(EsteeNew!AH111-EsteeOld!AH111=0,"",EsteeNew!AH111-EsteeOld!AH111)</f>
        <v/>
      </c>
      <c r="AI111" s="65" t="str">
        <f>IF(EsteeNew!AI111-EsteeOld!AI111=0,"",EsteeNew!AI111-EsteeOld!AI111)</f>
        <v/>
      </c>
      <c r="AJ111" s="65" t="str">
        <f>IF(EsteeNew!AJ111-EsteeOld!AJ111=0,"",EsteeNew!AJ111-EsteeOld!AJ111)</f>
        <v/>
      </c>
      <c r="AK111" s="65" t="str">
        <f>IF(EsteeNew!AK111-EsteeOld!AK111=0,"",EsteeNew!AK111-EsteeOld!AK111)</f>
        <v/>
      </c>
      <c r="AL111" s="65" t="str">
        <f>IF(EsteeNew!AL111-EsteeOld!AL111=0,"",EsteeNew!AL111-EsteeOld!AL111)</f>
        <v/>
      </c>
      <c r="AM111" s="65" t="str">
        <f>IF(EsteeNew!AM111-EsteeOld!AM111=0,"",EsteeNew!AM111-EsteeOld!AM111)</f>
        <v/>
      </c>
      <c r="AN111" s="65" t="str">
        <f>IF(EsteeNew!AN111-EsteeOld!AN111=0,"",EsteeNew!AN111-EsteeOld!AN111)</f>
        <v/>
      </c>
      <c r="AO111" s="65" t="str">
        <f>IF(EsteeNew!AO111-EsteeOld!AO111=0,"",EsteeNew!AO111-EsteeOld!AO111)</f>
        <v/>
      </c>
      <c r="AP111" s="65" t="str">
        <f>IF(EsteeNew!AP111-EsteeOld!AP111=0,"",EsteeNew!AP111-EsteeOld!AP111)</f>
        <v/>
      </c>
      <c r="AQ111" s="65" t="str">
        <f>IF(EsteeNew!AQ111-EsteeOld!AQ111=0,"",EsteeNew!AQ111-EsteeOld!AQ111)</f>
        <v/>
      </c>
      <c r="AR111" s="65" t="str">
        <f>IF(EsteeNew!AR111-EsteeOld!AR111=0,"",EsteeNew!AR111-EsteeOld!AR111)</f>
        <v/>
      </c>
      <c r="AS111" s="65" t="str">
        <f>IF(EsteeNew!AS111-EsteeOld!AS111=0,"",EsteeNew!AS111-EsteeOld!AS111)</f>
        <v/>
      </c>
      <c r="AT111" s="65" t="str">
        <f>IF(EsteeNew!AT111-EsteeOld!AT111=0,"",EsteeNew!AT111-EsteeOld!AT111)</f>
        <v/>
      </c>
      <c r="AU111" s="65" t="str">
        <f>IF(EsteeNew!AU111-EsteeOld!AU111=0,"",EsteeNew!AU111-EsteeOld!AU111)</f>
        <v/>
      </c>
      <c r="AV111" s="65" t="str">
        <f>IF(EsteeNew!AV111-EsteeOld!AV111=0,"",EsteeNew!AV111-EsteeOld!AV111)</f>
        <v/>
      </c>
      <c r="AW111" s="65" t="str">
        <f>IF(EsteeNew!AW111-EsteeOld!AW111=0,"",EsteeNew!AW111-EsteeOld!AW111)</f>
        <v/>
      </c>
      <c r="AX111" s="65" t="str">
        <f>IF(EsteeNew!AX111-EsteeOld!AX111=0,"",EsteeNew!AX111-EsteeOld!AX111)</f>
        <v/>
      </c>
      <c r="AY111" s="65" t="str">
        <f>IF(EsteeNew!AY111-EsteeOld!AY111=0,"",EsteeNew!AY111-EsteeOld!AY111)</f>
        <v/>
      </c>
      <c r="AZ111" s="65" t="str">
        <f>IF(EsteeNew!AZ111-EsteeOld!AZ111=0,"",EsteeNew!AZ111-EsteeOld!AZ111)</f>
        <v/>
      </c>
      <c r="BA111" s="65" t="str">
        <f>IF(EsteeNew!BA111-EsteeOld!BA111=0,"",EsteeNew!BA111-EsteeOld!BA111)</f>
        <v/>
      </c>
      <c r="BB111" s="65" t="str">
        <f>IF(EsteeNew!BB111-EsteeOld!BB111=0,"",EsteeNew!BB111-EsteeOld!BB111)</f>
        <v/>
      </c>
      <c r="BC111" s="65" t="str">
        <f>IF(EsteeNew!BC111-EsteeOld!BC111=0,"",EsteeNew!BC111-EsteeOld!BC111)</f>
        <v/>
      </c>
      <c r="BD111" s="65" t="str">
        <f>IF(EsteeNew!BD111-EsteeOld!BD111=0,"",EsteeNew!BD111-EsteeOld!BD111)</f>
        <v/>
      </c>
    </row>
    <row r="112" spans="3:56" x14ac:dyDescent="0.25">
      <c r="C112" s="110"/>
      <c r="D112" s="49" t="s">
        <v>37</v>
      </c>
      <c r="E112" s="65" t="str">
        <f>IF(EsteeNew!E112-EsteeOld!E112=0,"",EsteeNew!E112-EsteeOld!E112)</f>
        <v/>
      </c>
      <c r="F112" s="65" t="str">
        <f>IF(EsteeNew!F112-EsteeOld!F112=0,"",EsteeNew!F112-EsteeOld!F112)</f>
        <v/>
      </c>
      <c r="G112" s="65" t="str">
        <f>IF(EsteeNew!G112-EsteeOld!G112=0,"",EsteeNew!G112-EsteeOld!G112)</f>
        <v/>
      </c>
      <c r="H112" s="65" t="str">
        <f>IF(EsteeNew!H112-EsteeOld!H112=0,"",EsteeNew!H112-EsteeOld!H112)</f>
        <v/>
      </c>
      <c r="I112" s="65" t="str">
        <f>IF(EsteeNew!I112-EsteeOld!I112=0,"",EsteeNew!I112-EsteeOld!I112)</f>
        <v/>
      </c>
      <c r="J112" s="65" t="str">
        <f>IF(EsteeNew!J112-EsteeOld!J112=0,"",EsteeNew!J112-EsteeOld!J112)</f>
        <v/>
      </c>
      <c r="K112" s="65" t="str">
        <f>IF(EsteeNew!K112-EsteeOld!K112=0,"",EsteeNew!K112-EsteeOld!K112)</f>
        <v/>
      </c>
      <c r="L112" s="65" t="str">
        <f>IF(EsteeNew!L112-EsteeOld!L112=0,"",EsteeNew!L112-EsteeOld!L112)</f>
        <v/>
      </c>
      <c r="M112" s="65" t="str">
        <f>IF(EsteeNew!M112-EsteeOld!M112=0,"",EsteeNew!M112-EsteeOld!M112)</f>
        <v/>
      </c>
      <c r="N112" s="65" t="str">
        <f>IF(EsteeNew!N112-EsteeOld!N112=0,"",EsteeNew!N112-EsteeOld!N112)</f>
        <v/>
      </c>
      <c r="O112" s="65" t="str">
        <f>IF(EsteeNew!O112-EsteeOld!O112=0,"",EsteeNew!O112-EsteeOld!O112)</f>
        <v/>
      </c>
      <c r="P112" s="65" t="str">
        <f>IF(EsteeNew!P112-EsteeOld!P112=0,"",EsteeNew!P112-EsteeOld!P112)</f>
        <v/>
      </c>
      <c r="Q112" s="65" t="str">
        <f>IF(EsteeNew!Q112-EsteeOld!Q112=0,"",EsteeNew!Q112-EsteeOld!Q112)</f>
        <v/>
      </c>
      <c r="R112" s="65" t="str">
        <f>IF(EsteeNew!R112-EsteeOld!R112=0,"",EsteeNew!R112-EsteeOld!R112)</f>
        <v/>
      </c>
      <c r="S112" s="65" t="str">
        <f>IF(EsteeNew!S112-EsteeOld!S112=0,"",EsteeNew!S112-EsteeOld!S112)</f>
        <v/>
      </c>
      <c r="T112" s="65" t="str">
        <f>IF(EsteeNew!T112-EsteeOld!T112=0,"",EsteeNew!T112-EsteeOld!T112)</f>
        <v/>
      </c>
      <c r="U112" s="65" t="str">
        <f>IF(EsteeNew!U112-EsteeOld!U112=0,"",EsteeNew!U112-EsteeOld!U112)</f>
        <v/>
      </c>
      <c r="V112" s="65" t="str">
        <f>IF(EsteeNew!V112-EsteeOld!V112=0,"",EsteeNew!V112-EsteeOld!V112)</f>
        <v/>
      </c>
      <c r="W112" s="65" t="str">
        <f>IF(EsteeNew!W112-EsteeOld!W112=0,"",EsteeNew!W112-EsteeOld!W112)</f>
        <v/>
      </c>
      <c r="X112" s="65" t="str">
        <f>IF(EsteeNew!X112-EsteeOld!X112=0,"",EsteeNew!X112-EsteeOld!X112)</f>
        <v/>
      </c>
      <c r="Y112" s="65" t="str">
        <f>IF(EsteeNew!Y112-EsteeOld!Y112=0,"",EsteeNew!Y112-EsteeOld!Y112)</f>
        <v/>
      </c>
      <c r="Z112" s="65" t="str">
        <f>IF(EsteeNew!Z112-EsteeOld!Z112=0,"",EsteeNew!Z112-EsteeOld!Z112)</f>
        <v/>
      </c>
      <c r="AA112" s="65" t="str">
        <f>IF(EsteeNew!AA112-EsteeOld!AA112=0,"",EsteeNew!AA112-EsteeOld!AA112)</f>
        <v/>
      </c>
      <c r="AB112" s="65" t="str">
        <f>IF(EsteeNew!AB112-EsteeOld!AB112=0,"",EsteeNew!AB112-EsteeOld!AB112)</f>
        <v/>
      </c>
      <c r="AC112" s="65" t="str">
        <f>IF(EsteeNew!AC112-EsteeOld!AC112=0,"",EsteeNew!AC112-EsteeOld!AC112)</f>
        <v/>
      </c>
      <c r="AD112" s="65" t="str">
        <f>IF(EsteeNew!AD112-EsteeOld!AD112=0,"",EsteeNew!AD112-EsteeOld!AD112)</f>
        <v/>
      </c>
      <c r="AE112" s="65" t="str">
        <f>IF(EsteeNew!AE112-EsteeOld!AE112=0,"",EsteeNew!AE112-EsteeOld!AE112)</f>
        <v/>
      </c>
      <c r="AF112" s="65" t="str">
        <f>IF(EsteeNew!AF112-EsteeOld!AF112=0,"",EsteeNew!AF112-EsteeOld!AF112)</f>
        <v/>
      </c>
      <c r="AG112" s="65" t="str">
        <f>IF(EsteeNew!AG112-EsteeOld!AG112=0,"",EsteeNew!AG112-EsteeOld!AG112)</f>
        <v/>
      </c>
      <c r="AH112" s="65" t="str">
        <f>IF(EsteeNew!AH112-EsteeOld!AH112=0,"",EsteeNew!AH112-EsteeOld!AH112)</f>
        <v/>
      </c>
      <c r="AI112" s="65" t="str">
        <f>IF(EsteeNew!AI112-EsteeOld!AI112=0,"",EsteeNew!AI112-EsteeOld!AI112)</f>
        <v/>
      </c>
      <c r="AJ112" s="65" t="str">
        <f>IF(EsteeNew!AJ112-EsteeOld!AJ112=0,"",EsteeNew!AJ112-EsteeOld!AJ112)</f>
        <v/>
      </c>
      <c r="AK112" s="65" t="str">
        <f>IF(EsteeNew!AK112-EsteeOld!AK112=0,"",EsteeNew!AK112-EsteeOld!AK112)</f>
        <v/>
      </c>
      <c r="AL112" s="65" t="str">
        <f>IF(EsteeNew!AL112-EsteeOld!AL112=0,"",EsteeNew!AL112-EsteeOld!AL112)</f>
        <v/>
      </c>
      <c r="AM112" s="65" t="str">
        <f>IF(EsteeNew!AM112-EsteeOld!AM112=0,"",EsteeNew!AM112-EsteeOld!AM112)</f>
        <v/>
      </c>
      <c r="AN112" s="65" t="str">
        <f>IF(EsteeNew!AN112-EsteeOld!AN112=0,"",EsteeNew!AN112-EsteeOld!AN112)</f>
        <v/>
      </c>
      <c r="AO112" s="65" t="str">
        <f>IF(EsteeNew!AO112-EsteeOld!AO112=0,"",EsteeNew!AO112-EsteeOld!AO112)</f>
        <v/>
      </c>
      <c r="AP112" s="65" t="str">
        <f>IF(EsteeNew!AP112-EsteeOld!AP112=0,"",EsteeNew!AP112-EsteeOld!AP112)</f>
        <v/>
      </c>
      <c r="AQ112" s="65" t="str">
        <f>IF(EsteeNew!AQ112-EsteeOld!AQ112=0,"",EsteeNew!AQ112-EsteeOld!AQ112)</f>
        <v/>
      </c>
      <c r="AR112" s="65" t="str">
        <f>IF(EsteeNew!AR112-EsteeOld!AR112=0,"",EsteeNew!AR112-EsteeOld!AR112)</f>
        <v/>
      </c>
      <c r="AS112" s="65" t="str">
        <f>IF(EsteeNew!AS112-EsteeOld!AS112=0,"",EsteeNew!AS112-EsteeOld!AS112)</f>
        <v/>
      </c>
      <c r="AT112" s="65" t="str">
        <f>IF(EsteeNew!AT112-EsteeOld!AT112=0,"",EsteeNew!AT112-EsteeOld!AT112)</f>
        <v/>
      </c>
      <c r="AU112" s="65" t="str">
        <f>IF(EsteeNew!AU112-EsteeOld!AU112=0,"",EsteeNew!AU112-EsteeOld!AU112)</f>
        <v/>
      </c>
      <c r="AV112" s="65" t="str">
        <f>IF(EsteeNew!AV112-EsteeOld!AV112=0,"",EsteeNew!AV112-EsteeOld!AV112)</f>
        <v/>
      </c>
      <c r="AW112" s="65" t="str">
        <f>IF(EsteeNew!AW112-EsteeOld!AW112=0,"",EsteeNew!AW112-EsteeOld!AW112)</f>
        <v/>
      </c>
      <c r="AX112" s="65" t="str">
        <f>IF(EsteeNew!AX112-EsteeOld!AX112=0,"",EsteeNew!AX112-EsteeOld!AX112)</f>
        <v/>
      </c>
      <c r="AY112" s="65" t="str">
        <f>IF(EsteeNew!AY112-EsteeOld!AY112=0,"",EsteeNew!AY112-EsteeOld!AY112)</f>
        <v/>
      </c>
      <c r="AZ112" s="65" t="str">
        <f>IF(EsteeNew!AZ112-EsteeOld!AZ112=0,"",EsteeNew!AZ112-EsteeOld!AZ112)</f>
        <v/>
      </c>
      <c r="BA112" s="65" t="str">
        <f>IF(EsteeNew!BA112-EsteeOld!BA112=0,"",EsteeNew!BA112-EsteeOld!BA112)</f>
        <v/>
      </c>
      <c r="BB112" s="65" t="str">
        <f>IF(EsteeNew!BB112-EsteeOld!BB112=0,"",EsteeNew!BB112-EsteeOld!BB112)</f>
        <v/>
      </c>
      <c r="BC112" s="65" t="str">
        <f>IF(EsteeNew!BC112-EsteeOld!BC112=0,"",EsteeNew!BC112-EsteeOld!BC112)</f>
        <v/>
      </c>
      <c r="BD112" s="65" t="str">
        <f>IF(EsteeNew!BD112-EsteeOld!BD112=0,"",EsteeNew!BD112-EsteeOld!BD112)</f>
        <v/>
      </c>
    </row>
    <row r="113" spans="2:56" x14ac:dyDescent="0.25">
      <c r="C113" s="110"/>
      <c r="D113" s="49" t="s">
        <v>38</v>
      </c>
      <c r="E113" s="65" t="str">
        <f>IF(EsteeNew!E113-EsteeOld!E113=0,"",EsteeNew!E113-EsteeOld!E113)</f>
        <v/>
      </c>
      <c r="F113" s="65" t="str">
        <f>IF(EsteeNew!F113-EsteeOld!F113=0,"",EsteeNew!F113-EsteeOld!F113)</f>
        <v/>
      </c>
      <c r="G113" s="65" t="str">
        <f>IF(EsteeNew!G113-EsteeOld!G113=0,"",EsteeNew!G113-EsteeOld!G113)</f>
        <v/>
      </c>
      <c r="H113" s="65" t="str">
        <f>IF(EsteeNew!H113-EsteeOld!H113=0,"",EsteeNew!H113-EsteeOld!H113)</f>
        <v/>
      </c>
      <c r="I113" s="65" t="str">
        <f>IF(EsteeNew!I113-EsteeOld!I113=0,"",EsteeNew!I113-EsteeOld!I113)</f>
        <v/>
      </c>
      <c r="J113" s="65" t="str">
        <f>IF(EsteeNew!J113-EsteeOld!J113=0,"",EsteeNew!J113-EsteeOld!J113)</f>
        <v/>
      </c>
      <c r="K113" s="65" t="str">
        <f>IF(EsteeNew!K113-EsteeOld!K113=0,"",EsteeNew!K113-EsteeOld!K113)</f>
        <v/>
      </c>
      <c r="L113" s="65" t="str">
        <f>IF(EsteeNew!L113-EsteeOld!L113=0,"",EsteeNew!L113-EsteeOld!L113)</f>
        <v/>
      </c>
      <c r="M113" s="65" t="str">
        <f>IF(EsteeNew!M113-EsteeOld!M113=0,"",EsteeNew!M113-EsteeOld!M113)</f>
        <v/>
      </c>
      <c r="N113" s="65" t="str">
        <f>IF(EsteeNew!N113-EsteeOld!N113=0,"",EsteeNew!N113-EsteeOld!N113)</f>
        <v/>
      </c>
      <c r="O113" s="65" t="str">
        <f>IF(EsteeNew!O113-EsteeOld!O113=0,"",EsteeNew!O113-EsteeOld!O113)</f>
        <v/>
      </c>
      <c r="P113" s="65" t="str">
        <f>IF(EsteeNew!P113-EsteeOld!P113=0,"",EsteeNew!P113-EsteeOld!P113)</f>
        <v/>
      </c>
      <c r="Q113" s="65" t="str">
        <f>IF(EsteeNew!Q113-EsteeOld!Q113=0,"",EsteeNew!Q113-EsteeOld!Q113)</f>
        <v/>
      </c>
      <c r="R113" s="65" t="str">
        <f>IF(EsteeNew!R113-EsteeOld!R113=0,"",EsteeNew!R113-EsteeOld!R113)</f>
        <v/>
      </c>
      <c r="S113" s="65" t="str">
        <f>IF(EsteeNew!S113-EsteeOld!S113=0,"",EsteeNew!S113-EsteeOld!S113)</f>
        <v/>
      </c>
      <c r="T113" s="65" t="str">
        <f>IF(EsteeNew!T113-EsteeOld!T113=0,"",EsteeNew!T113-EsteeOld!T113)</f>
        <v/>
      </c>
      <c r="U113" s="65" t="str">
        <f>IF(EsteeNew!U113-EsteeOld!U113=0,"",EsteeNew!U113-EsteeOld!U113)</f>
        <v/>
      </c>
      <c r="V113" s="65" t="str">
        <f>IF(EsteeNew!V113-EsteeOld!V113=0,"",EsteeNew!V113-EsteeOld!V113)</f>
        <v/>
      </c>
      <c r="W113" s="65" t="str">
        <f>IF(EsteeNew!W113-EsteeOld!W113=0,"",EsteeNew!W113-EsteeOld!W113)</f>
        <v/>
      </c>
      <c r="X113" s="65" t="str">
        <f>IF(EsteeNew!X113-EsteeOld!X113=0,"",EsteeNew!X113-EsteeOld!X113)</f>
        <v/>
      </c>
      <c r="Y113" s="65" t="str">
        <f>IF(EsteeNew!Y113-EsteeOld!Y113=0,"",EsteeNew!Y113-EsteeOld!Y113)</f>
        <v/>
      </c>
      <c r="Z113" s="65" t="str">
        <f>IF(EsteeNew!Z113-EsteeOld!Z113=0,"",EsteeNew!Z113-EsteeOld!Z113)</f>
        <v/>
      </c>
      <c r="AA113" s="65" t="str">
        <f>IF(EsteeNew!AA113-EsteeOld!AA113=0,"",EsteeNew!AA113-EsteeOld!AA113)</f>
        <v/>
      </c>
      <c r="AB113" s="65" t="str">
        <f>IF(EsteeNew!AB113-EsteeOld!AB113=0,"",EsteeNew!AB113-EsteeOld!AB113)</f>
        <v/>
      </c>
      <c r="AC113" s="65" t="str">
        <f>IF(EsteeNew!AC113-EsteeOld!AC113=0,"",EsteeNew!AC113-EsteeOld!AC113)</f>
        <v/>
      </c>
      <c r="AD113" s="65" t="str">
        <f>IF(EsteeNew!AD113-EsteeOld!AD113=0,"",EsteeNew!AD113-EsteeOld!AD113)</f>
        <v/>
      </c>
      <c r="AE113" s="65" t="str">
        <f>IF(EsteeNew!AE113-EsteeOld!AE113=0,"",EsteeNew!AE113-EsteeOld!AE113)</f>
        <v/>
      </c>
      <c r="AF113" s="65" t="str">
        <f>IF(EsteeNew!AF113-EsteeOld!AF113=0,"",EsteeNew!AF113-EsteeOld!AF113)</f>
        <v/>
      </c>
      <c r="AG113" s="65" t="str">
        <f>IF(EsteeNew!AG113-EsteeOld!AG113=0,"",EsteeNew!AG113-EsteeOld!AG113)</f>
        <v/>
      </c>
      <c r="AH113" s="65" t="str">
        <f>IF(EsteeNew!AH113-EsteeOld!AH113=0,"",EsteeNew!AH113-EsteeOld!AH113)</f>
        <v/>
      </c>
      <c r="AI113" s="65" t="str">
        <f>IF(EsteeNew!AI113-EsteeOld!AI113=0,"",EsteeNew!AI113-EsteeOld!AI113)</f>
        <v/>
      </c>
      <c r="AJ113" s="65" t="str">
        <f>IF(EsteeNew!AJ113-EsteeOld!AJ113=0,"",EsteeNew!AJ113-EsteeOld!AJ113)</f>
        <v/>
      </c>
      <c r="AK113" s="65" t="str">
        <f>IF(EsteeNew!AK113-EsteeOld!AK113=0,"",EsteeNew!AK113-EsteeOld!AK113)</f>
        <v/>
      </c>
      <c r="AL113" s="65" t="str">
        <f>IF(EsteeNew!AL113-EsteeOld!AL113=0,"",EsteeNew!AL113-EsteeOld!AL113)</f>
        <v/>
      </c>
      <c r="AM113" s="65" t="str">
        <f>IF(EsteeNew!AM113-EsteeOld!AM113=0,"",EsteeNew!AM113-EsteeOld!AM113)</f>
        <v/>
      </c>
      <c r="AN113" s="65" t="str">
        <f>IF(EsteeNew!AN113-EsteeOld!AN113=0,"",EsteeNew!AN113-EsteeOld!AN113)</f>
        <v/>
      </c>
      <c r="AO113" s="65" t="str">
        <f>IF(EsteeNew!AO113-EsteeOld!AO113=0,"",EsteeNew!AO113-EsteeOld!AO113)</f>
        <v/>
      </c>
      <c r="AP113" s="65" t="str">
        <f>IF(EsteeNew!AP113-EsteeOld!AP113=0,"",EsteeNew!AP113-EsteeOld!AP113)</f>
        <v/>
      </c>
      <c r="AQ113" s="65" t="str">
        <f>IF(EsteeNew!AQ113-EsteeOld!AQ113=0,"",EsteeNew!AQ113-EsteeOld!AQ113)</f>
        <v/>
      </c>
      <c r="AR113" s="65" t="str">
        <f>IF(EsteeNew!AR113-EsteeOld!AR113=0,"",EsteeNew!AR113-EsteeOld!AR113)</f>
        <v/>
      </c>
      <c r="AS113" s="65" t="str">
        <f>IF(EsteeNew!AS113-EsteeOld!AS113=0,"",EsteeNew!AS113-EsteeOld!AS113)</f>
        <v/>
      </c>
      <c r="AT113" s="65" t="str">
        <f>IF(EsteeNew!AT113-EsteeOld!AT113=0,"",EsteeNew!AT113-EsteeOld!AT113)</f>
        <v/>
      </c>
      <c r="AU113" s="65" t="str">
        <f>IF(EsteeNew!AU113-EsteeOld!AU113=0,"",EsteeNew!AU113-EsteeOld!AU113)</f>
        <v/>
      </c>
      <c r="AV113" s="65" t="str">
        <f>IF(EsteeNew!AV113-EsteeOld!AV113=0,"",EsteeNew!AV113-EsteeOld!AV113)</f>
        <v/>
      </c>
      <c r="AW113" s="65" t="str">
        <f>IF(EsteeNew!AW113-EsteeOld!AW113=0,"",EsteeNew!AW113-EsteeOld!AW113)</f>
        <v/>
      </c>
      <c r="AX113" s="65" t="str">
        <f>IF(EsteeNew!AX113-EsteeOld!AX113=0,"",EsteeNew!AX113-EsteeOld!AX113)</f>
        <v/>
      </c>
      <c r="AY113" s="65" t="str">
        <f>IF(EsteeNew!AY113-EsteeOld!AY113=0,"",EsteeNew!AY113-EsteeOld!AY113)</f>
        <v/>
      </c>
      <c r="AZ113" s="65" t="str">
        <f>IF(EsteeNew!AZ113-EsteeOld!AZ113=0,"",EsteeNew!AZ113-EsteeOld!AZ113)</f>
        <v/>
      </c>
      <c r="BA113" s="65" t="str">
        <f>IF(EsteeNew!BA113-EsteeOld!BA113=0,"",EsteeNew!BA113-EsteeOld!BA113)</f>
        <v/>
      </c>
      <c r="BB113" s="65" t="str">
        <f>IF(EsteeNew!BB113-EsteeOld!BB113=0,"",EsteeNew!BB113-EsteeOld!BB113)</f>
        <v/>
      </c>
      <c r="BC113" s="65" t="str">
        <f>IF(EsteeNew!BC113-EsteeOld!BC113=0,"",EsteeNew!BC113-EsteeOld!BC113)</f>
        <v/>
      </c>
      <c r="BD113" s="65" t="str">
        <f>IF(EsteeNew!BD113-EsteeOld!BD113=0,"",EsteeNew!BD113-EsteeOld!BD113)</f>
        <v/>
      </c>
    </row>
    <row r="114" spans="2:56" x14ac:dyDescent="0.25">
      <c r="C114" s="110"/>
      <c r="D114" s="49" t="s">
        <v>39</v>
      </c>
      <c r="E114" s="65" t="str">
        <f>IF(EsteeNew!E114-EsteeOld!E114=0,"",EsteeNew!E114-EsteeOld!E114)</f>
        <v/>
      </c>
      <c r="F114" s="65" t="str">
        <f>IF(EsteeNew!F114-EsteeOld!F114=0,"",EsteeNew!F114-EsteeOld!F114)</f>
        <v/>
      </c>
      <c r="G114" s="65" t="str">
        <f>IF(EsteeNew!G114-EsteeOld!G114=0,"",EsteeNew!G114-EsteeOld!G114)</f>
        <v/>
      </c>
      <c r="H114" s="65" t="str">
        <f>IF(EsteeNew!H114-EsteeOld!H114=0,"",EsteeNew!H114-EsteeOld!H114)</f>
        <v/>
      </c>
      <c r="I114" s="65" t="str">
        <f>IF(EsteeNew!I114-EsteeOld!I114=0,"",EsteeNew!I114-EsteeOld!I114)</f>
        <v/>
      </c>
      <c r="J114" s="65" t="str">
        <f>IF(EsteeNew!J114-EsteeOld!J114=0,"",EsteeNew!J114-EsteeOld!J114)</f>
        <v/>
      </c>
      <c r="K114" s="65" t="str">
        <f>IF(EsteeNew!K114-EsteeOld!K114=0,"",EsteeNew!K114-EsteeOld!K114)</f>
        <v/>
      </c>
      <c r="L114" s="65" t="str">
        <f>IF(EsteeNew!L114-EsteeOld!L114=0,"",EsteeNew!L114-EsteeOld!L114)</f>
        <v/>
      </c>
      <c r="M114" s="65" t="str">
        <f>IF(EsteeNew!M114-EsteeOld!M114=0,"",EsteeNew!M114-EsteeOld!M114)</f>
        <v/>
      </c>
      <c r="N114" s="65" t="str">
        <f>IF(EsteeNew!N114-EsteeOld!N114=0,"",EsteeNew!N114-EsteeOld!N114)</f>
        <v/>
      </c>
      <c r="O114" s="65" t="str">
        <f>IF(EsteeNew!O114-EsteeOld!O114=0,"",EsteeNew!O114-EsteeOld!O114)</f>
        <v/>
      </c>
      <c r="P114" s="65" t="str">
        <f>IF(EsteeNew!P114-EsteeOld!P114=0,"",EsteeNew!P114-EsteeOld!P114)</f>
        <v/>
      </c>
      <c r="Q114" s="65" t="str">
        <f>IF(EsteeNew!Q114-EsteeOld!Q114=0,"",EsteeNew!Q114-EsteeOld!Q114)</f>
        <v/>
      </c>
      <c r="R114" s="65" t="str">
        <f>IF(EsteeNew!R114-EsteeOld!R114=0,"",EsteeNew!R114-EsteeOld!R114)</f>
        <v/>
      </c>
      <c r="S114" s="65" t="str">
        <f>IF(EsteeNew!S114-EsteeOld!S114=0,"",EsteeNew!S114-EsteeOld!S114)</f>
        <v/>
      </c>
      <c r="T114" s="65" t="str">
        <f>IF(EsteeNew!T114-EsteeOld!T114=0,"",EsteeNew!T114-EsteeOld!T114)</f>
        <v/>
      </c>
      <c r="U114" s="65" t="str">
        <f>IF(EsteeNew!U114-EsteeOld!U114=0,"",EsteeNew!U114-EsteeOld!U114)</f>
        <v/>
      </c>
      <c r="V114" s="65" t="str">
        <f>IF(EsteeNew!V114-EsteeOld!V114=0,"",EsteeNew!V114-EsteeOld!V114)</f>
        <v/>
      </c>
      <c r="W114" s="65" t="str">
        <f>IF(EsteeNew!W114-EsteeOld!W114=0,"",EsteeNew!W114-EsteeOld!W114)</f>
        <v/>
      </c>
      <c r="X114" s="65" t="str">
        <f>IF(EsteeNew!X114-EsteeOld!X114=0,"",EsteeNew!X114-EsteeOld!X114)</f>
        <v/>
      </c>
      <c r="Y114" s="65" t="str">
        <f>IF(EsteeNew!Y114-EsteeOld!Y114=0,"",EsteeNew!Y114-EsteeOld!Y114)</f>
        <v/>
      </c>
      <c r="Z114" s="65" t="str">
        <f>IF(EsteeNew!Z114-EsteeOld!Z114=0,"",EsteeNew!Z114-EsteeOld!Z114)</f>
        <v/>
      </c>
      <c r="AA114" s="65" t="str">
        <f>IF(EsteeNew!AA114-EsteeOld!AA114=0,"",EsteeNew!AA114-EsteeOld!AA114)</f>
        <v/>
      </c>
      <c r="AB114" s="65" t="str">
        <f>IF(EsteeNew!AB114-EsteeOld!AB114=0,"",EsteeNew!AB114-EsteeOld!AB114)</f>
        <v/>
      </c>
      <c r="AC114" s="65" t="str">
        <f>IF(EsteeNew!AC114-EsteeOld!AC114=0,"",EsteeNew!AC114-EsteeOld!AC114)</f>
        <v/>
      </c>
      <c r="AD114" s="65" t="str">
        <f>IF(EsteeNew!AD114-EsteeOld!AD114=0,"",EsteeNew!AD114-EsteeOld!AD114)</f>
        <v/>
      </c>
      <c r="AE114" s="65" t="str">
        <f>IF(EsteeNew!AE114-EsteeOld!AE114=0,"",EsteeNew!AE114-EsteeOld!AE114)</f>
        <v/>
      </c>
      <c r="AF114" s="65" t="str">
        <f>IF(EsteeNew!AF114-EsteeOld!AF114=0,"",EsteeNew!AF114-EsteeOld!AF114)</f>
        <v/>
      </c>
      <c r="AG114" s="65" t="str">
        <f>IF(EsteeNew!AG114-EsteeOld!AG114=0,"",EsteeNew!AG114-EsteeOld!AG114)</f>
        <v/>
      </c>
      <c r="AH114" s="65" t="str">
        <f>IF(EsteeNew!AH114-EsteeOld!AH114=0,"",EsteeNew!AH114-EsteeOld!AH114)</f>
        <v/>
      </c>
      <c r="AI114" s="65" t="str">
        <f>IF(EsteeNew!AI114-EsteeOld!AI114=0,"",EsteeNew!AI114-EsteeOld!AI114)</f>
        <v/>
      </c>
      <c r="AJ114" s="65" t="str">
        <f>IF(EsteeNew!AJ114-EsteeOld!AJ114=0,"",EsteeNew!AJ114-EsteeOld!AJ114)</f>
        <v/>
      </c>
      <c r="AK114" s="65" t="str">
        <f>IF(EsteeNew!AK114-EsteeOld!AK114=0,"",EsteeNew!AK114-EsteeOld!AK114)</f>
        <v/>
      </c>
      <c r="AL114" s="65" t="str">
        <f>IF(EsteeNew!AL114-EsteeOld!AL114=0,"",EsteeNew!AL114-EsteeOld!AL114)</f>
        <v/>
      </c>
      <c r="AM114" s="65" t="str">
        <f>IF(EsteeNew!AM114-EsteeOld!AM114=0,"",EsteeNew!AM114-EsteeOld!AM114)</f>
        <v/>
      </c>
      <c r="AN114" s="65" t="str">
        <f>IF(EsteeNew!AN114-EsteeOld!AN114=0,"",EsteeNew!AN114-EsteeOld!AN114)</f>
        <v/>
      </c>
      <c r="AO114" s="65" t="str">
        <f>IF(EsteeNew!AO114-EsteeOld!AO114=0,"",EsteeNew!AO114-EsteeOld!AO114)</f>
        <v/>
      </c>
      <c r="AP114" s="65" t="str">
        <f>IF(EsteeNew!AP114-EsteeOld!AP114=0,"",EsteeNew!AP114-EsteeOld!AP114)</f>
        <v/>
      </c>
      <c r="AQ114" s="65" t="str">
        <f>IF(EsteeNew!AQ114-EsteeOld!AQ114=0,"",EsteeNew!AQ114-EsteeOld!AQ114)</f>
        <v/>
      </c>
      <c r="AR114" s="65" t="str">
        <f>IF(EsteeNew!AR114-EsteeOld!AR114=0,"",EsteeNew!AR114-EsteeOld!AR114)</f>
        <v/>
      </c>
      <c r="AS114" s="65" t="str">
        <f>IF(EsteeNew!AS114-EsteeOld!AS114=0,"",EsteeNew!AS114-EsteeOld!AS114)</f>
        <v/>
      </c>
      <c r="AT114" s="65" t="str">
        <f>IF(EsteeNew!AT114-EsteeOld!AT114=0,"",EsteeNew!AT114-EsteeOld!AT114)</f>
        <v/>
      </c>
      <c r="AU114" s="65" t="str">
        <f>IF(EsteeNew!AU114-EsteeOld!AU114=0,"",EsteeNew!AU114-EsteeOld!AU114)</f>
        <v/>
      </c>
      <c r="AV114" s="65" t="str">
        <f>IF(EsteeNew!AV114-EsteeOld!AV114=0,"",EsteeNew!AV114-EsteeOld!AV114)</f>
        <v/>
      </c>
      <c r="AW114" s="65" t="str">
        <f>IF(EsteeNew!AW114-EsteeOld!AW114=0,"",EsteeNew!AW114-EsteeOld!AW114)</f>
        <v/>
      </c>
      <c r="AX114" s="65" t="str">
        <f>IF(EsteeNew!AX114-EsteeOld!AX114=0,"",EsteeNew!AX114-EsteeOld!AX114)</f>
        <v/>
      </c>
      <c r="AY114" s="65" t="str">
        <f>IF(EsteeNew!AY114-EsteeOld!AY114=0,"",EsteeNew!AY114-EsteeOld!AY114)</f>
        <v/>
      </c>
      <c r="AZ114" s="65" t="str">
        <f>IF(EsteeNew!AZ114-EsteeOld!AZ114=0,"",EsteeNew!AZ114-EsteeOld!AZ114)</f>
        <v/>
      </c>
      <c r="BA114" s="65" t="str">
        <f>IF(EsteeNew!BA114-EsteeOld!BA114=0,"",EsteeNew!BA114-EsteeOld!BA114)</f>
        <v/>
      </c>
      <c r="BB114" s="65" t="str">
        <f>IF(EsteeNew!BB114-EsteeOld!BB114=0,"",EsteeNew!BB114-EsteeOld!BB114)</f>
        <v/>
      </c>
      <c r="BC114" s="65" t="str">
        <f>IF(EsteeNew!BC114-EsteeOld!BC114=0,"",EsteeNew!BC114-EsteeOld!BC114)</f>
        <v/>
      </c>
      <c r="BD114" s="65" t="str">
        <f>IF(EsteeNew!BD114-EsteeOld!BD114=0,"",EsteeNew!BD114-EsteeOld!BD114)</f>
        <v/>
      </c>
    </row>
    <row r="115" spans="2:56" x14ac:dyDescent="0.25">
      <c r="C115" s="110"/>
      <c r="D115" s="49" t="s">
        <v>40</v>
      </c>
      <c r="E115" s="65" t="str">
        <f>IF(EsteeNew!E115-EsteeOld!E115=0,"",EsteeNew!E115-EsteeOld!E115)</f>
        <v/>
      </c>
      <c r="F115" s="65" t="str">
        <f>IF(EsteeNew!F115-EsteeOld!F115=0,"",EsteeNew!F115-EsteeOld!F115)</f>
        <v/>
      </c>
      <c r="G115" s="65" t="str">
        <f>IF(EsteeNew!G115-EsteeOld!G115=0,"",EsteeNew!G115-EsteeOld!G115)</f>
        <v/>
      </c>
      <c r="H115" s="65" t="str">
        <f>IF(EsteeNew!H115-EsteeOld!H115=0,"",EsteeNew!H115-EsteeOld!H115)</f>
        <v/>
      </c>
      <c r="I115" s="65" t="str">
        <f>IF(EsteeNew!I115-EsteeOld!I115=0,"",EsteeNew!I115-EsteeOld!I115)</f>
        <v/>
      </c>
      <c r="J115" s="65" t="str">
        <f>IF(EsteeNew!J115-EsteeOld!J115=0,"",EsteeNew!J115-EsteeOld!J115)</f>
        <v/>
      </c>
      <c r="K115" s="65" t="str">
        <f>IF(EsteeNew!K115-EsteeOld!K115=0,"",EsteeNew!K115-EsteeOld!K115)</f>
        <v/>
      </c>
      <c r="L115" s="65" t="str">
        <f>IF(EsteeNew!L115-EsteeOld!L115=0,"",EsteeNew!L115-EsteeOld!L115)</f>
        <v/>
      </c>
      <c r="M115" s="65" t="str">
        <f>IF(EsteeNew!M115-EsteeOld!M115=0,"",EsteeNew!M115-EsteeOld!M115)</f>
        <v/>
      </c>
      <c r="N115" s="65" t="str">
        <f>IF(EsteeNew!N115-EsteeOld!N115=0,"",EsteeNew!N115-EsteeOld!N115)</f>
        <v/>
      </c>
      <c r="O115" s="65" t="str">
        <f>IF(EsteeNew!O115-EsteeOld!O115=0,"",EsteeNew!O115-EsteeOld!O115)</f>
        <v/>
      </c>
      <c r="P115" s="65" t="str">
        <f>IF(EsteeNew!P115-EsteeOld!P115=0,"",EsteeNew!P115-EsteeOld!P115)</f>
        <v/>
      </c>
      <c r="Q115" s="65" t="str">
        <f>IF(EsteeNew!Q115-EsteeOld!Q115=0,"",EsteeNew!Q115-EsteeOld!Q115)</f>
        <v/>
      </c>
      <c r="R115" s="65" t="str">
        <f>IF(EsteeNew!R115-EsteeOld!R115=0,"",EsteeNew!R115-EsteeOld!R115)</f>
        <v/>
      </c>
      <c r="S115" s="65" t="str">
        <f>IF(EsteeNew!S115-EsteeOld!S115=0,"",EsteeNew!S115-EsteeOld!S115)</f>
        <v/>
      </c>
      <c r="T115" s="65" t="str">
        <f>IF(EsteeNew!T115-EsteeOld!T115=0,"",EsteeNew!T115-EsteeOld!T115)</f>
        <v/>
      </c>
      <c r="U115" s="65" t="str">
        <f>IF(EsteeNew!U115-EsteeOld!U115=0,"",EsteeNew!U115-EsteeOld!U115)</f>
        <v/>
      </c>
      <c r="V115" s="65" t="str">
        <f>IF(EsteeNew!V115-EsteeOld!V115=0,"",EsteeNew!V115-EsteeOld!V115)</f>
        <v/>
      </c>
      <c r="W115" s="65" t="str">
        <f>IF(EsteeNew!W115-EsteeOld!W115=0,"",EsteeNew!W115-EsteeOld!W115)</f>
        <v/>
      </c>
      <c r="X115" s="65" t="str">
        <f>IF(EsteeNew!X115-EsteeOld!X115=0,"",EsteeNew!X115-EsteeOld!X115)</f>
        <v/>
      </c>
      <c r="Y115" s="65" t="str">
        <f>IF(EsteeNew!Y115-EsteeOld!Y115=0,"",EsteeNew!Y115-EsteeOld!Y115)</f>
        <v/>
      </c>
      <c r="Z115" s="65" t="str">
        <f>IF(EsteeNew!Z115-EsteeOld!Z115=0,"",EsteeNew!Z115-EsteeOld!Z115)</f>
        <v/>
      </c>
      <c r="AA115" s="65" t="str">
        <f>IF(EsteeNew!AA115-EsteeOld!AA115=0,"",EsteeNew!AA115-EsteeOld!AA115)</f>
        <v/>
      </c>
      <c r="AB115" s="65" t="str">
        <f>IF(EsteeNew!AB115-EsteeOld!AB115=0,"",EsteeNew!AB115-EsteeOld!AB115)</f>
        <v/>
      </c>
      <c r="AC115" s="65" t="str">
        <f>IF(EsteeNew!AC115-EsteeOld!AC115=0,"",EsteeNew!AC115-EsteeOld!AC115)</f>
        <v/>
      </c>
      <c r="AD115" s="65" t="str">
        <f>IF(EsteeNew!AD115-EsteeOld!AD115=0,"",EsteeNew!AD115-EsteeOld!AD115)</f>
        <v/>
      </c>
      <c r="AE115" s="65" t="str">
        <f>IF(EsteeNew!AE115-EsteeOld!AE115=0,"",EsteeNew!AE115-EsteeOld!AE115)</f>
        <v/>
      </c>
      <c r="AF115" s="65" t="str">
        <f>IF(EsteeNew!AF115-EsteeOld!AF115=0,"",EsteeNew!AF115-EsteeOld!AF115)</f>
        <v/>
      </c>
      <c r="AG115" s="65" t="str">
        <f>IF(EsteeNew!AG115-EsteeOld!AG115=0,"",EsteeNew!AG115-EsteeOld!AG115)</f>
        <v/>
      </c>
      <c r="AH115" s="65" t="str">
        <f>IF(EsteeNew!AH115-EsteeOld!AH115=0,"",EsteeNew!AH115-EsteeOld!AH115)</f>
        <v/>
      </c>
      <c r="AI115" s="65" t="str">
        <f>IF(EsteeNew!AI115-EsteeOld!AI115=0,"",EsteeNew!AI115-EsteeOld!AI115)</f>
        <v/>
      </c>
      <c r="AJ115" s="65" t="str">
        <f>IF(EsteeNew!AJ115-EsteeOld!AJ115=0,"",EsteeNew!AJ115-EsteeOld!AJ115)</f>
        <v/>
      </c>
      <c r="AK115" s="65" t="str">
        <f>IF(EsteeNew!AK115-EsteeOld!AK115=0,"",EsteeNew!AK115-EsteeOld!AK115)</f>
        <v/>
      </c>
      <c r="AL115" s="65" t="str">
        <f>IF(EsteeNew!AL115-EsteeOld!AL115=0,"",EsteeNew!AL115-EsteeOld!AL115)</f>
        <v/>
      </c>
      <c r="AM115" s="65" t="str">
        <f>IF(EsteeNew!AM115-EsteeOld!AM115=0,"",EsteeNew!AM115-EsteeOld!AM115)</f>
        <v/>
      </c>
      <c r="AN115" s="65" t="str">
        <f>IF(EsteeNew!AN115-EsteeOld!AN115=0,"",EsteeNew!AN115-EsteeOld!AN115)</f>
        <v/>
      </c>
      <c r="AO115" s="65" t="str">
        <f>IF(EsteeNew!AO115-EsteeOld!AO115=0,"",EsteeNew!AO115-EsteeOld!AO115)</f>
        <v/>
      </c>
      <c r="AP115" s="65" t="str">
        <f>IF(EsteeNew!AP115-EsteeOld!AP115=0,"",EsteeNew!AP115-EsteeOld!AP115)</f>
        <v/>
      </c>
      <c r="AQ115" s="65" t="str">
        <f>IF(EsteeNew!AQ115-EsteeOld!AQ115=0,"",EsteeNew!AQ115-EsteeOld!AQ115)</f>
        <v/>
      </c>
      <c r="AR115" s="65" t="str">
        <f>IF(EsteeNew!AR115-EsteeOld!AR115=0,"",EsteeNew!AR115-EsteeOld!AR115)</f>
        <v/>
      </c>
      <c r="AS115" s="65" t="str">
        <f>IF(EsteeNew!AS115-EsteeOld!AS115=0,"",EsteeNew!AS115-EsteeOld!AS115)</f>
        <v/>
      </c>
      <c r="AT115" s="65" t="str">
        <f>IF(EsteeNew!AT115-EsteeOld!AT115=0,"",EsteeNew!AT115-EsteeOld!AT115)</f>
        <v/>
      </c>
      <c r="AU115" s="65" t="str">
        <f>IF(EsteeNew!AU115-EsteeOld!AU115=0,"",EsteeNew!AU115-EsteeOld!AU115)</f>
        <v/>
      </c>
      <c r="AV115" s="65" t="str">
        <f>IF(EsteeNew!AV115-EsteeOld!AV115=0,"",EsteeNew!AV115-EsteeOld!AV115)</f>
        <v/>
      </c>
      <c r="AW115" s="65" t="str">
        <f>IF(EsteeNew!AW115-EsteeOld!AW115=0,"",EsteeNew!AW115-EsteeOld!AW115)</f>
        <v/>
      </c>
      <c r="AX115" s="65" t="str">
        <f>IF(EsteeNew!AX115-EsteeOld!AX115=0,"",EsteeNew!AX115-EsteeOld!AX115)</f>
        <v/>
      </c>
      <c r="AY115" s="65" t="str">
        <f>IF(EsteeNew!AY115-EsteeOld!AY115=0,"",EsteeNew!AY115-EsteeOld!AY115)</f>
        <v/>
      </c>
      <c r="AZ115" s="65" t="str">
        <f>IF(EsteeNew!AZ115-EsteeOld!AZ115=0,"",EsteeNew!AZ115-EsteeOld!AZ115)</f>
        <v/>
      </c>
      <c r="BA115" s="65" t="str">
        <f>IF(EsteeNew!BA115-EsteeOld!BA115=0,"",EsteeNew!BA115-EsteeOld!BA115)</f>
        <v/>
      </c>
      <c r="BB115" s="65" t="str">
        <f>IF(EsteeNew!BB115-EsteeOld!BB115=0,"",EsteeNew!BB115-EsteeOld!BB115)</f>
        <v/>
      </c>
      <c r="BC115" s="65" t="str">
        <f>IF(EsteeNew!BC115-EsteeOld!BC115=0,"",EsteeNew!BC115-EsteeOld!BC115)</f>
        <v/>
      </c>
      <c r="BD115" s="65" t="str">
        <f>IF(EsteeNew!BD115-EsteeOld!BD115=0,"",EsteeNew!BD115-EsteeOld!BD115)</f>
        <v/>
      </c>
    </row>
    <row r="116" spans="2:56" x14ac:dyDescent="0.25">
      <c r="C116" s="110"/>
      <c r="D116" s="50" t="s">
        <v>41</v>
      </c>
      <c r="E116" s="54" t="str">
        <f>IFERROR((SUM(E109:E115)*E118)/((40*(1-E117)+40)),"")</f>
        <v/>
      </c>
      <c r="F116" s="54" t="str">
        <f t="shared" ref="F116:BD116" si="22">IFERROR((SUM(F109:F115)*F118)/((40*(1-F117)+40)),"")</f>
        <v/>
      </c>
      <c r="G116" s="54" t="str">
        <f t="shared" si="22"/>
        <v/>
      </c>
      <c r="H116" s="54" t="str">
        <f t="shared" si="22"/>
        <v/>
      </c>
      <c r="I116" s="54" t="str">
        <f t="shared" si="22"/>
        <v/>
      </c>
      <c r="J116" s="54" t="str">
        <f t="shared" si="22"/>
        <v/>
      </c>
      <c r="K116" s="54" t="str">
        <f t="shared" si="22"/>
        <v/>
      </c>
      <c r="L116" s="54" t="str">
        <f t="shared" si="22"/>
        <v/>
      </c>
      <c r="M116" s="54" t="str">
        <f t="shared" si="22"/>
        <v/>
      </c>
      <c r="N116" s="54" t="str">
        <f t="shared" si="22"/>
        <v/>
      </c>
      <c r="O116" s="54" t="str">
        <f t="shared" si="22"/>
        <v/>
      </c>
      <c r="P116" s="54" t="str">
        <f t="shared" si="22"/>
        <v/>
      </c>
      <c r="Q116" s="54" t="str">
        <f t="shared" si="22"/>
        <v/>
      </c>
      <c r="R116" s="54" t="str">
        <f t="shared" si="22"/>
        <v/>
      </c>
      <c r="S116" s="54" t="str">
        <f t="shared" si="22"/>
        <v/>
      </c>
      <c r="T116" s="54" t="str">
        <f t="shared" si="22"/>
        <v/>
      </c>
      <c r="U116" s="54" t="str">
        <f t="shared" si="22"/>
        <v/>
      </c>
      <c r="V116" s="54" t="str">
        <f t="shared" si="22"/>
        <v/>
      </c>
      <c r="W116" s="54" t="str">
        <f t="shared" si="22"/>
        <v/>
      </c>
      <c r="X116" s="54" t="str">
        <f t="shared" si="22"/>
        <v/>
      </c>
      <c r="Y116" s="54" t="str">
        <f t="shared" si="22"/>
        <v/>
      </c>
      <c r="Z116" s="54" t="str">
        <f t="shared" si="22"/>
        <v/>
      </c>
      <c r="AA116" s="54" t="str">
        <f t="shared" si="22"/>
        <v/>
      </c>
      <c r="AB116" s="54" t="str">
        <f t="shared" si="22"/>
        <v/>
      </c>
      <c r="AC116" s="54" t="str">
        <f t="shared" si="22"/>
        <v/>
      </c>
      <c r="AD116" s="54" t="str">
        <f t="shared" si="22"/>
        <v/>
      </c>
      <c r="AE116" s="54" t="str">
        <f t="shared" si="22"/>
        <v/>
      </c>
      <c r="AF116" s="54" t="str">
        <f t="shared" si="22"/>
        <v/>
      </c>
      <c r="AG116" s="54" t="str">
        <f t="shared" si="22"/>
        <v/>
      </c>
      <c r="AH116" s="54" t="str">
        <f t="shared" si="22"/>
        <v/>
      </c>
      <c r="AI116" s="54" t="str">
        <f t="shared" si="22"/>
        <v/>
      </c>
      <c r="AJ116" s="54" t="str">
        <f t="shared" si="22"/>
        <v/>
      </c>
      <c r="AK116" s="54" t="str">
        <f t="shared" si="22"/>
        <v/>
      </c>
      <c r="AL116" s="54" t="str">
        <f t="shared" si="22"/>
        <v/>
      </c>
      <c r="AM116" s="54" t="str">
        <f t="shared" si="22"/>
        <v/>
      </c>
      <c r="AN116" s="54" t="str">
        <f t="shared" si="22"/>
        <v/>
      </c>
      <c r="AO116" s="54" t="str">
        <f t="shared" si="22"/>
        <v/>
      </c>
      <c r="AP116" s="54" t="str">
        <f t="shared" si="22"/>
        <v/>
      </c>
      <c r="AQ116" s="54" t="str">
        <f t="shared" si="22"/>
        <v/>
      </c>
      <c r="AR116" s="54" t="str">
        <f t="shared" si="22"/>
        <v/>
      </c>
      <c r="AS116" s="54" t="str">
        <f t="shared" si="22"/>
        <v/>
      </c>
      <c r="AT116" s="54" t="str">
        <f t="shared" si="22"/>
        <v/>
      </c>
      <c r="AU116" s="54" t="str">
        <f t="shared" si="22"/>
        <v/>
      </c>
      <c r="AV116" s="54" t="str">
        <f t="shared" si="22"/>
        <v/>
      </c>
      <c r="AW116" s="54" t="str">
        <f t="shared" si="22"/>
        <v/>
      </c>
      <c r="AX116" s="54" t="str">
        <f t="shared" si="22"/>
        <v/>
      </c>
      <c r="AY116" s="54" t="str">
        <f t="shared" si="22"/>
        <v/>
      </c>
      <c r="AZ116" s="54" t="str">
        <f t="shared" si="22"/>
        <v/>
      </c>
      <c r="BA116" s="54" t="str">
        <f t="shared" si="22"/>
        <v/>
      </c>
      <c r="BB116" s="54" t="str">
        <f t="shared" si="22"/>
        <v/>
      </c>
      <c r="BC116" s="54" t="str">
        <f t="shared" si="22"/>
        <v/>
      </c>
      <c r="BD116" s="54" t="str">
        <f t="shared" si="22"/>
        <v/>
      </c>
    </row>
    <row r="117" spans="2:56" x14ac:dyDescent="0.25">
      <c r="C117" s="110"/>
      <c r="D117" s="50" t="s">
        <v>42</v>
      </c>
      <c r="E117" s="67" t="str">
        <f>IF(EsteeNew!E117-EsteeOld!E117=0,"",EsteeNew!E117-EsteeOld!E117)</f>
        <v/>
      </c>
      <c r="F117" s="67" t="str">
        <f>IF(EsteeNew!F117-EsteeOld!F117=0,"",EsteeNew!F117-EsteeOld!F117)</f>
        <v/>
      </c>
      <c r="G117" s="67" t="str">
        <f>IF(EsteeNew!G117-EsteeOld!G117=0,"",EsteeNew!G117-EsteeOld!G117)</f>
        <v/>
      </c>
      <c r="H117" s="67" t="str">
        <f>IF(EsteeNew!H117-EsteeOld!H117=0,"",EsteeNew!H117-EsteeOld!H117)</f>
        <v/>
      </c>
      <c r="I117" s="67" t="str">
        <f>IF(EsteeNew!I117-EsteeOld!I117=0,"",EsteeNew!I117-EsteeOld!I117)</f>
        <v/>
      </c>
      <c r="J117" s="67" t="str">
        <f>IF(EsteeNew!J117-EsteeOld!J117=0,"",EsteeNew!J117-EsteeOld!J117)</f>
        <v/>
      </c>
      <c r="K117" s="67" t="str">
        <f>IF(EsteeNew!K117-EsteeOld!K117=0,"",EsteeNew!K117-EsteeOld!K117)</f>
        <v/>
      </c>
      <c r="L117" s="67" t="str">
        <f>IF(EsteeNew!L117-EsteeOld!L117=0,"",EsteeNew!L117-EsteeOld!L117)</f>
        <v/>
      </c>
      <c r="M117" s="67" t="str">
        <f>IF(EsteeNew!M117-EsteeOld!M117=0,"",EsteeNew!M117-EsteeOld!M117)</f>
        <v/>
      </c>
      <c r="N117" s="67" t="str">
        <f>IF(EsteeNew!N117-EsteeOld!N117=0,"",EsteeNew!N117-EsteeOld!N117)</f>
        <v/>
      </c>
      <c r="O117" s="67" t="str">
        <f>IF(EsteeNew!O117-EsteeOld!O117=0,"",EsteeNew!O117-EsteeOld!O117)</f>
        <v/>
      </c>
      <c r="P117" s="67" t="str">
        <f>IF(EsteeNew!P117-EsteeOld!P117=0,"",EsteeNew!P117-EsteeOld!P117)</f>
        <v/>
      </c>
      <c r="Q117" s="67" t="str">
        <f>IF(EsteeNew!Q117-EsteeOld!Q117=0,"",EsteeNew!Q117-EsteeOld!Q117)</f>
        <v/>
      </c>
      <c r="R117" s="67" t="str">
        <f>IF(EsteeNew!R117-EsteeOld!R117=0,"",EsteeNew!R117-EsteeOld!R117)</f>
        <v/>
      </c>
      <c r="S117" s="67" t="str">
        <f>IF(EsteeNew!S117-EsteeOld!S117=0,"",EsteeNew!S117-EsteeOld!S117)</f>
        <v/>
      </c>
      <c r="T117" s="67" t="str">
        <f>IF(EsteeNew!T117-EsteeOld!T117=0,"",EsteeNew!T117-EsteeOld!T117)</f>
        <v/>
      </c>
      <c r="U117" s="67" t="str">
        <f>IF(EsteeNew!U117-EsteeOld!U117=0,"",EsteeNew!U117-EsteeOld!U117)</f>
        <v/>
      </c>
      <c r="V117" s="67" t="str">
        <f>IF(EsteeNew!V117-EsteeOld!V117=0,"",EsteeNew!V117-EsteeOld!V117)</f>
        <v/>
      </c>
      <c r="W117" s="67" t="str">
        <f>IF(EsteeNew!W117-EsteeOld!W117=0,"",EsteeNew!W117-EsteeOld!W117)</f>
        <v/>
      </c>
      <c r="X117" s="67" t="str">
        <f>IF(EsteeNew!X117-EsteeOld!X117=0,"",EsteeNew!X117-EsteeOld!X117)</f>
        <v/>
      </c>
      <c r="Y117" s="67" t="str">
        <f>IF(EsteeNew!Y117-EsteeOld!Y117=0,"",EsteeNew!Y117-EsteeOld!Y117)</f>
        <v/>
      </c>
      <c r="Z117" s="67" t="str">
        <f>IF(EsteeNew!Z117-EsteeOld!Z117=0,"",EsteeNew!Z117-EsteeOld!Z117)</f>
        <v/>
      </c>
      <c r="AA117" s="67" t="str">
        <f>IF(EsteeNew!AA117-EsteeOld!AA117=0,"",EsteeNew!AA117-EsteeOld!AA117)</f>
        <v/>
      </c>
      <c r="AB117" s="67" t="str">
        <f>IF(EsteeNew!AB117-EsteeOld!AB117=0,"",EsteeNew!AB117-EsteeOld!AB117)</f>
        <v/>
      </c>
      <c r="AC117" s="67" t="str">
        <f>IF(EsteeNew!AC117-EsteeOld!AC117=0,"",EsteeNew!AC117-EsteeOld!AC117)</f>
        <v/>
      </c>
      <c r="AD117" s="67" t="str">
        <f>IF(EsteeNew!AD117-EsteeOld!AD117=0,"",EsteeNew!AD117-EsteeOld!AD117)</f>
        <v/>
      </c>
      <c r="AE117" s="67" t="str">
        <f>IF(EsteeNew!AE117-EsteeOld!AE117=0,"",EsteeNew!AE117-EsteeOld!AE117)</f>
        <v/>
      </c>
      <c r="AF117" s="67" t="str">
        <f>IF(EsteeNew!AF117-EsteeOld!AF117=0,"",EsteeNew!AF117-EsteeOld!AF117)</f>
        <v/>
      </c>
      <c r="AG117" s="67" t="str">
        <f>IF(EsteeNew!AG117-EsteeOld!AG117=0,"",EsteeNew!AG117-EsteeOld!AG117)</f>
        <v/>
      </c>
      <c r="AH117" s="67" t="str">
        <f>IF(EsteeNew!AH117-EsteeOld!AH117=0,"",EsteeNew!AH117-EsteeOld!AH117)</f>
        <v/>
      </c>
      <c r="AI117" s="67" t="str">
        <f>IF(EsteeNew!AI117-EsteeOld!AI117=0,"",EsteeNew!AI117-EsteeOld!AI117)</f>
        <v/>
      </c>
      <c r="AJ117" s="67" t="str">
        <f>IF(EsteeNew!AJ117-EsteeOld!AJ117=0,"",EsteeNew!AJ117-EsteeOld!AJ117)</f>
        <v/>
      </c>
      <c r="AK117" s="67" t="str">
        <f>IF(EsteeNew!AK117-EsteeOld!AK117=0,"",EsteeNew!AK117-EsteeOld!AK117)</f>
        <v/>
      </c>
      <c r="AL117" s="67" t="str">
        <f>IF(EsteeNew!AL117-EsteeOld!AL117=0,"",EsteeNew!AL117-EsteeOld!AL117)</f>
        <v/>
      </c>
      <c r="AM117" s="67" t="str">
        <f>IF(EsteeNew!AM117-EsteeOld!AM117=0,"",EsteeNew!AM117-EsteeOld!AM117)</f>
        <v/>
      </c>
      <c r="AN117" s="67" t="str">
        <f>IF(EsteeNew!AN117-EsteeOld!AN117=0,"",EsteeNew!AN117-EsteeOld!AN117)</f>
        <v/>
      </c>
      <c r="AO117" s="67" t="str">
        <f>IF(EsteeNew!AO117-EsteeOld!AO117=0,"",EsteeNew!AO117-EsteeOld!AO117)</f>
        <v/>
      </c>
      <c r="AP117" s="67" t="str">
        <f>IF(EsteeNew!AP117-EsteeOld!AP117=0,"",EsteeNew!AP117-EsteeOld!AP117)</f>
        <v/>
      </c>
      <c r="AQ117" s="67" t="str">
        <f>IF(EsteeNew!AQ117-EsteeOld!AQ117=0,"",EsteeNew!AQ117-EsteeOld!AQ117)</f>
        <v/>
      </c>
      <c r="AR117" s="67" t="str">
        <f>IF(EsteeNew!AR117-EsteeOld!AR117=0,"",EsteeNew!AR117-EsteeOld!AR117)</f>
        <v/>
      </c>
      <c r="AS117" s="67" t="str">
        <f>IF(EsteeNew!AS117-EsteeOld!AS117=0,"",EsteeNew!AS117-EsteeOld!AS117)</f>
        <v/>
      </c>
      <c r="AT117" s="67" t="str">
        <f>IF(EsteeNew!AT117-EsteeOld!AT117=0,"",EsteeNew!AT117-EsteeOld!AT117)</f>
        <v/>
      </c>
      <c r="AU117" s="67" t="str">
        <f>IF(EsteeNew!AU117-EsteeOld!AU117=0,"",EsteeNew!AU117-EsteeOld!AU117)</f>
        <v/>
      </c>
      <c r="AV117" s="67" t="str">
        <f>IF(EsteeNew!AV117-EsteeOld!AV117=0,"",EsteeNew!AV117-EsteeOld!AV117)</f>
        <v/>
      </c>
      <c r="AW117" s="67" t="str">
        <f>IF(EsteeNew!AW117-EsteeOld!AW117=0,"",EsteeNew!AW117-EsteeOld!AW117)</f>
        <v/>
      </c>
      <c r="AX117" s="67" t="str">
        <f>IF(EsteeNew!AX117-EsteeOld!AX117=0,"",EsteeNew!AX117-EsteeOld!AX117)</f>
        <v/>
      </c>
      <c r="AY117" s="67" t="str">
        <f>IF(EsteeNew!AY117-EsteeOld!AY117=0,"",EsteeNew!AY117-EsteeOld!AY117)</f>
        <v/>
      </c>
      <c r="AZ117" s="67" t="str">
        <f>IF(EsteeNew!AZ117-EsteeOld!AZ117=0,"",EsteeNew!AZ117-EsteeOld!AZ117)</f>
        <v/>
      </c>
      <c r="BA117" s="67" t="str">
        <f>IF(EsteeNew!BA117-EsteeOld!BA117=0,"",EsteeNew!BA117-EsteeOld!BA117)</f>
        <v/>
      </c>
      <c r="BB117" s="67" t="str">
        <f>IF(EsteeNew!BB117-EsteeOld!BB117=0,"",EsteeNew!BB117-EsteeOld!BB117)</f>
        <v/>
      </c>
      <c r="BC117" s="67" t="str">
        <f>IF(EsteeNew!BC117-EsteeOld!BC117=0,"",EsteeNew!BC117-EsteeOld!BC117)</f>
        <v/>
      </c>
      <c r="BD117" s="67" t="str">
        <f>IF(EsteeNew!BD117-EsteeOld!BD117=0,"",EsteeNew!BD117-EsteeOld!BD117)</f>
        <v/>
      </c>
    </row>
    <row r="118" spans="2:56" x14ac:dyDescent="0.25">
      <c r="C118" s="110"/>
      <c r="D118" s="50" t="s">
        <v>43</v>
      </c>
      <c r="E118" s="65" t="str">
        <f>IF(EsteeNew!E118-EsteeOld!E118=0,"",EsteeNew!E118-EsteeOld!E118)</f>
        <v/>
      </c>
      <c r="F118" s="65" t="str">
        <f>IF(EsteeNew!F118-EsteeOld!F118=0,"",EsteeNew!F118-EsteeOld!F118)</f>
        <v/>
      </c>
      <c r="G118" s="65" t="str">
        <f>IF(EsteeNew!G118-EsteeOld!G118=0,"",EsteeNew!G118-EsteeOld!G118)</f>
        <v/>
      </c>
      <c r="H118" s="65" t="str">
        <f>IF(EsteeNew!H118-EsteeOld!H118=0,"",EsteeNew!H118-EsteeOld!H118)</f>
        <v/>
      </c>
      <c r="I118" s="65" t="str">
        <f>IF(EsteeNew!I118-EsteeOld!I118=0,"",EsteeNew!I118-EsteeOld!I118)</f>
        <v/>
      </c>
      <c r="J118" s="65" t="str">
        <f>IF(EsteeNew!J118-EsteeOld!J118=0,"",EsteeNew!J118-EsteeOld!J118)</f>
        <v/>
      </c>
      <c r="K118" s="65" t="str">
        <f>IF(EsteeNew!K118-EsteeOld!K118=0,"",EsteeNew!K118-EsteeOld!K118)</f>
        <v/>
      </c>
      <c r="L118" s="65" t="str">
        <f>IF(EsteeNew!L118-EsteeOld!L118=0,"",EsteeNew!L118-EsteeOld!L118)</f>
        <v/>
      </c>
      <c r="M118" s="65" t="str">
        <f>IF(EsteeNew!M118-EsteeOld!M118=0,"",EsteeNew!M118-EsteeOld!M118)</f>
        <v/>
      </c>
      <c r="N118" s="65" t="str">
        <f>IF(EsteeNew!N118-EsteeOld!N118=0,"",EsteeNew!N118-EsteeOld!N118)</f>
        <v/>
      </c>
      <c r="O118" s="65" t="str">
        <f>IF(EsteeNew!O118-EsteeOld!O118=0,"",EsteeNew!O118-EsteeOld!O118)</f>
        <v/>
      </c>
      <c r="P118" s="65" t="str">
        <f>IF(EsteeNew!P118-EsteeOld!P118=0,"",EsteeNew!P118-EsteeOld!P118)</f>
        <v/>
      </c>
      <c r="Q118" s="65" t="str">
        <f>IF(EsteeNew!Q118-EsteeOld!Q118=0,"",EsteeNew!Q118-EsteeOld!Q118)</f>
        <v/>
      </c>
      <c r="R118" s="65" t="str">
        <f>IF(EsteeNew!R118-EsteeOld!R118=0,"",EsteeNew!R118-EsteeOld!R118)</f>
        <v/>
      </c>
      <c r="S118" s="65" t="str">
        <f>IF(EsteeNew!S118-EsteeOld!S118=0,"",EsteeNew!S118-EsteeOld!S118)</f>
        <v/>
      </c>
      <c r="T118" s="65" t="str">
        <f>IF(EsteeNew!T118-EsteeOld!T118=0,"",EsteeNew!T118-EsteeOld!T118)</f>
        <v/>
      </c>
      <c r="U118" s="65" t="str">
        <f>IF(EsteeNew!U118-EsteeOld!U118=0,"",EsteeNew!U118-EsteeOld!U118)</f>
        <v/>
      </c>
      <c r="V118" s="65" t="str">
        <f>IF(EsteeNew!V118-EsteeOld!V118=0,"",EsteeNew!V118-EsteeOld!V118)</f>
        <v/>
      </c>
      <c r="W118" s="65" t="str">
        <f>IF(EsteeNew!W118-EsteeOld!W118=0,"",EsteeNew!W118-EsteeOld!W118)</f>
        <v/>
      </c>
      <c r="X118" s="65" t="str">
        <f>IF(EsteeNew!X118-EsteeOld!X118=0,"",EsteeNew!X118-EsteeOld!X118)</f>
        <v/>
      </c>
      <c r="Y118" s="65" t="str">
        <f>IF(EsteeNew!Y118-EsteeOld!Y118=0,"",EsteeNew!Y118-EsteeOld!Y118)</f>
        <v/>
      </c>
      <c r="Z118" s="65" t="str">
        <f>IF(EsteeNew!Z118-EsteeOld!Z118=0,"",EsteeNew!Z118-EsteeOld!Z118)</f>
        <v/>
      </c>
      <c r="AA118" s="65" t="str">
        <f>IF(EsteeNew!AA118-EsteeOld!AA118=0,"",EsteeNew!AA118-EsteeOld!AA118)</f>
        <v/>
      </c>
      <c r="AB118" s="65" t="str">
        <f>IF(EsteeNew!AB118-EsteeOld!AB118=0,"",EsteeNew!AB118-EsteeOld!AB118)</f>
        <v/>
      </c>
      <c r="AC118" s="65" t="str">
        <f>IF(EsteeNew!AC118-EsteeOld!AC118=0,"",EsteeNew!AC118-EsteeOld!AC118)</f>
        <v/>
      </c>
      <c r="AD118" s="65" t="str">
        <f>IF(EsteeNew!AD118-EsteeOld!AD118=0,"",EsteeNew!AD118-EsteeOld!AD118)</f>
        <v/>
      </c>
      <c r="AE118" s="65" t="str">
        <f>IF(EsteeNew!AE118-EsteeOld!AE118=0,"",EsteeNew!AE118-EsteeOld!AE118)</f>
        <v/>
      </c>
      <c r="AF118" s="65" t="str">
        <f>IF(EsteeNew!AF118-EsteeOld!AF118=0,"",EsteeNew!AF118-EsteeOld!AF118)</f>
        <v/>
      </c>
      <c r="AG118" s="65" t="str">
        <f>IF(EsteeNew!AG118-EsteeOld!AG118=0,"",EsteeNew!AG118-EsteeOld!AG118)</f>
        <v/>
      </c>
      <c r="AH118" s="65" t="str">
        <f>IF(EsteeNew!AH118-EsteeOld!AH118=0,"",EsteeNew!AH118-EsteeOld!AH118)</f>
        <v/>
      </c>
      <c r="AI118" s="65" t="str">
        <f>IF(EsteeNew!AI118-EsteeOld!AI118=0,"",EsteeNew!AI118-EsteeOld!AI118)</f>
        <v/>
      </c>
      <c r="AJ118" s="65" t="str">
        <f>IF(EsteeNew!AJ118-EsteeOld!AJ118=0,"",EsteeNew!AJ118-EsteeOld!AJ118)</f>
        <v/>
      </c>
      <c r="AK118" s="65" t="str">
        <f>IF(EsteeNew!AK118-EsteeOld!AK118=0,"",EsteeNew!AK118-EsteeOld!AK118)</f>
        <v/>
      </c>
      <c r="AL118" s="65" t="str">
        <f>IF(EsteeNew!AL118-EsteeOld!AL118=0,"",EsteeNew!AL118-EsteeOld!AL118)</f>
        <v/>
      </c>
      <c r="AM118" s="65" t="str">
        <f>IF(EsteeNew!AM118-EsteeOld!AM118=0,"",EsteeNew!AM118-EsteeOld!AM118)</f>
        <v/>
      </c>
      <c r="AN118" s="65" t="str">
        <f>IF(EsteeNew!AN118-EsteeOld!AN118=0,"",EsteeNew!AN118-EsteeOld!AN118)</f>
        <v/>
      </c>
      <c r="AO118" s="65" t="str">
        <f>IF(EsteeNew!AO118-EsteeOld!AO118=0,"",EsteeNew!AO118-EsteeOld!AO118)</f>
        <v/>
      </c>
      <c r="AP118" s="65" t="str">
        <f>IF(EsteeNew!AP118-EsteeOld!AP118=0,"",EsteeNew!AP118-EsteeOld!AP118)</f>
        <v/>
      </c>
      <c r="AQ118" s="65" t="str">
        <f>IF(EsteeNew!AQ118-EsteeOld!AQ118=0,"",EsteeNew!AQ118-EsteeOld!AQ118)</f>
        <v/>
      </c>
      <c r="AR118" s="65" t="str">
        <f>IF(EsteeNew!AR118-EsteeOld!AR118=0,"",EsteeNew!AR118-EsteeOld!AR118)</f>
        <v/>
      </c>
      <c r="AS118" s="65" t="str">
        <f>IF(EsteeNew!AS118-EsteeOld!AS118=0,"",EsteeNew!AS118-EsteeOld!AS118)</f>
        <v/>
      </c>
      <c r="AT118" s="65" t="str">
        <f>IF(EsteeNew!AT118-EsteeOld!AT118=0,"",EsteeNew!AT118-EsteeOld!AT118)</f>
        <v/>
      </c>
      <c r="AU118" s="65" t="str">
        <f>IF(EsteeNew!AU118-EsteeOld!AU118=0,"",EsteeNew!AU118-EsteeOld!AU118)</f>
        <v/>
      </c>
      <c r="AV118" s="65" t="str">
        <f>IF(EsteeNew!AV118-EsteeOld!AV118=0,"",EsteeNew!AV118-EsteeOld!AV118)</f>
        <v/>
      </c>
      <c r="AW118" s="65" t="str">
        <f>IF(EsteeNew!AW118-EsteeOld!AW118=0,"",EsteeNew!AW118-EsteeOld!AW118)</f>
        <v/>
      </c>
      <c r="AX118" s="65" t="str">
        <f>IF(EsteeNew!AX118-EsteeOld!AX118=0,"",EsteeNew!AX118-EsteeOld!AX118)</f>
        <v/>
      </c>
      <c r="AY118" s="65" t="str">
        <f>IF(EsteeNew!AY118-EsteeOld!AY118=0,"",EsteeNew!AY118-EsteeOld!AY118)</f>
        <v/>
      </c>
      <c r="AZ118" s="65" t="str">
        <f>IF(EsteeNew!AZ118-EsteeOld!AZ118=0,"",EsteeNew!AZ118-EsteeOld!AZ118)</f>
        <v/>
      </c>
      <c r="BA118" s="65" t="str">
        <f>IF(EsteeNew!BA118-EsteeOld!BA118=0,"",EsteeNew!BA118-EsteeOld!BA118)</f>
        <v/>
      </c>
      <c r="BB118" s="65" t="str">
        <f>IF(EsteeNew!BB118-EsteeOld!BB118=0,"",EsteeNew!BB118-EsteeOld!BB118)</f>
        <v/>
      </c>
      <c r="BC118" s="65" t="str">
        <f>IF(EsteeNew!BC118-EsteeOld!BC118=0,"",EsteeNew!BC118-EsteeOld!BC118)</f>
        <v/>
      </c>
      <c r="BD118" s="65" t="str">
        <f>IF(EsteeNew!BD118-EsteeOld!BD118=0,"",EsteeNew!BD118-EsteeOld!BD118)</f>
        <v/>
      </c>
    </row>
    <row r="119" spans="2:56" x14ac:dyDescent="0.25">
      <c r="C119" s="110"/>
      <c r="D119" s="51" t="s">
        <v>44</v>
      </c>
      <c r="E119" s="61">
        <f t="shared" ref="E119" si="23">SUM(E109:E116)</f>
        <v>0</v>
      </c>
      <c r="F119" s="61">
        <f t="shared" ref="F119:BD119" si="24">SUM(F109:F116)</f>
        <v>0</v>
      </c>
      <c r="G119" s="61">
        <f t="shared" si="24"/>
        <v>0</v>
      </c>
      <c r="H119" s="61">
        <f t="shared" si="24"/>
        <v>0</v>
      </c>
      <c r="I119" s="61">
        <f t="shared" si="24"/>
        <v>0</v>
      </c>
      <c r="J119" s="61">
        <f t="shared" si="24"/>
        <v>0</v>
      </c>
      <c r="K119" s="61">
        <f t="shared" si="24"/>
        <v>0</v>
      </c>
      <c r="L119" s="61">
        <f t="shared" si="24"/>
        <v>0</v>
      </c>
      <c r="M119" s="61">
        <f t="shared" si="24"/>
        <v>0</v>
      </c>
      <c r="N119" s="61">
        <f t="shared" si="24"/>
        <v>0</v>
      </c>
      <c r="O119" s="61">
        <f t="shared" si="24"/>
        <v>0</v>
      </c>
      <c r="P119" s="61">
        <f t="shared" si="24"/>
        <v>0</v>
      </c>
      <c r="Q119" s="61">
        <f t="shared" si="24"/>
        <v>0</v>
      </c>
      <c r="R119" s="61">
        <f t="shared" si="24"/>
        <v>0</v>
      </c>
      <c r="S119" s="61">
        <f t="shared" si="24"/>
        <v>0</v>
      </c>
      <c r="T119" s="61">
        <f t="shared" si="24"/>
        <v>0</v>
      </c>
      <c r="U119" s="61">
        <f t="shared" si="24"/>
        <v>0</v>
      </c>
      <c r="V119" s="61">
        <f t="shared" si="24"/>
        <v>0</v>
      </c>
      <c r="W119" s="61">
        <f t="shared" si="24"/>
        <v>0</v>
      </c>
      <c r="X119" s="61">
        <f t="shared" si="24"/>
        <v>0</v>
      </c>
      <c r="Y119" s="61">
        <f t="shared" si="24"/>
        <v>0</v>
      </c>
      <c r="Z119" s="61">
        <f t="shared" si="24"/>
        <v>0</v>
      </c>
      <c r="AA119" s="61">
        <f t="shared" si="24"/>
        <v>0</v>
      </c>
      <c r="AB119" s="61">
        <f t="shared" si="24"/>
        <v>0</v>
      </c>
      <c r="AC119" s="61">
        <f t="shared" si="24"/>
        <v>0</v>
      </c>
      <c r="AD119" s="61">
        <f t="shared" si="24"/>
        <v>0</v>
      </c>
      <c r="AE119" s="61">
        <f t="shared" si="24"/>
        <v>0</v>
      </c>
      <c r="AF119" s="61">
        <f t="shared" si="24"/>
        <v>0</v>
      </c>
      <c r="AG119" s="61">
        <f t="shared" si="24"/>
        <v>0</v>
      </c>
      <c r="AH119" s="61">
        <f t="shared" si="24"/>
        <v>0</v>
      </c>
      <c r="AI119" s="61">
        <f t="shared" si="24"/>
        <v>0</v>
      </c>
      <c r="AJ119" s="61">
        <f t="shared" si="24"/>
        <v>0</v>
      </c>
      <c r="AK119" s="61">
        <f t="shared" si="24"/>
        <v>0</v>
      </c>
      <c r="AL119" s="61">
        <f t="shared" si="24"/>
        <v>0</v>
      </c>
      <c r="AM119" s="61">
        <f t="shared" si="24"/>
        <v>0</v>
      </c>
      <c r="AN119" s="61">
        <f t="shared" si="24"/>
        <v>0</v>
      </c>
      <c r="AO119" s="61">
        <f t="shared" si="24"/>
        <v>0</v>
      </c>
      <c r="AP119" s="61">
        <f t="shared" si="24"/>
        <v>0</v>
      </c>
      <c r="AQ119" s="61">
        <f t="shared" si="24"/>
        <v>0</v>
      </c>
      <c r="AR119" s="61">
        <f t="shared" si="24"/>
        <v>0</v>
      </c>
      <c r="AS119" s="61">
        <f t="shared" si="24"/>
        <v>0</v>
      </c>
      <c r="AT119" s="61">
        <f t="shared" si="24"/>
        <v>0</v>
      </c>
      <c r="AU119" s="61">
        <f t="shared" si="24"/>
        <v>0</v>
      </c>
      <c r="AV119" s="61">
        <f t="shared" si="24"/>
        <v>0</v>
      </c>
      <c r="AW119" s="61">
        <f t="shared" si="24"/>
        <v>0</v>
      </c>
      <c r="AX119" s="61">
        <f t="shared" si="24"/>
        <v>0</v>
      </c>
      <c r="AY119" s="61">
        <f t="shared" si="24"/>
        <v>0</v>
      </c>
      <c r="AZ119" s="61">
        <f t="shared" si="24"/>
        <v>0</v>
      </c>
      <c r="BA119" s="61">
        <f t="shared" si="24"/>
        <v>0</v>
      </c>
      <c r="BB119" s="61">
        <f t="shared" si="24"/>
        <v>0</v>
      </c>
      <c r="BC119" s="61">
        <f t="shared" si="24"/>
        <v>0</v>
      </c>
      <c r="BD119" s="61">
        <f t="shared" si="24"/>
        <v>0</v>
      </c>
    </row>
    <row r="120" spans="2:56" x14ac:dyDescent="0.25">
      <c r="C120" s="110"/>
      <c r="D120" s="52" t="s">
        <v>45</v>
      </c>
      <c r="E120" s="56" t="str">
        <f>IFERROR(E119-E107,"")</f>
        <v/>
      </c>
      <c r="F120" s="56" t="str">
        <f t="shared" ref="F120:BD120" si="25">IFERROR(F119-F107,"")</f>
        <v/>
      </c>
      <c r="G120" s="56" t="str">
        <f t="shared" si="25"/>
        <v/>
      </c>
      <c r="H120" s="56" t="str">
        <f t="shared" si="25"/>
        <v/>
      </c>
      <c r="I120" s="56" t="str">
        <f t="shared" si="25"/>
        <v/>
      </c>
      <c r="J120" s="56" t="str">
        <f t="shared" si="25"/>
        <v/>
      </c>
      <c r="K120" s="56" t="str">
        <f t="shared" si="25"/>
        <v/>
      </c>
      <c r="L120" s="56" t="str">
        <f t="shared" si="25"/>
        <v/>
      </c>
      <c r="M120" s="56" t="str">
        <f t="shared" si="25"/>
        <v/>
      </c>
      <c r="N120" s="56" t="str">
        <f t="shared" si="25"/>
        <v/>
      </c>
      <c r="O120" s="56" t="str">
        <f t="shared" si="25"/>
        <v/>
      </c>
      <c r="P120" s="56" t="str">
        <f t="shared" si="25"/>
        <v/>
      </c>
      <c r="Q120" s="56" t="str">
        <f t="shared" si="25"/>
        <v/>
      </c>
      <c r="R120" s="56" t="str">
        <f t="shared" si="25"/>
        <v/>
      </c>
      <c r="S120" s="56" t="str">
        <f t="shared" si="25"/>
        <v/>
      </c>
      <c r="T120" s="56" t="str">
        <f t="shared" si="25"/>
        <v/>
      </c>
      <c r="U120" s="56" t="str">
        <f t="shared" si="25"/>
        <v/>
      </c>
      <c r="V120" s="56" t="str">
        <f t="shared" si="25"/>
        <v/>
      </c>
      <c r="W120" s="56" t="str">
        <f t="shared" si="25"/>
        <v/>
      </c>
      <c r="X120" s="56" t="str">
        <f t="shared" si="25"/>
        <v/>
      </c>
      <c r="Y120" s="56">
        <f t="shared" si="25"/>
        <v>0.65955955955956114</v>
      </c>
      <c r="Z120" s="56" t="str">
        <f t="shared" si="25"/>
        <v/>
      </c>
      <c r="AA120" s="56" t="str">
        <f t="shared" si="25"/>
        <v/>
      </c>
      <c r="AB120" s="56" t="str">
        <f t="shared" si="25"/>
        <v/>
      </c>
      <c r="AC120" s="56" t="str">
        <f t="shared" si="25"/>
        <v/>
      </c>
      <c r="AD120" s="56" t="str">
        <f t="shared" si="25"/>
        <v/>
      </c>
      <c r="AE120" s="56" t="str">
        <f t="shared" si="25"/>
        <v/>
      </c>
      <c r="AF120" s="56" t="str">
        <f t="shared" si="25"/>
        <v/>
      </c>
      <c r="AG120" s="56" t="str">
        <f t="shared" si="25"/>
        <v/>
      </c>
      <c r="AH120" s="56" t="str">
        <f t="shared" si="25"/>
        <v/>
      </c>
      <c r="AI120" s="56" t="str">
        <f t="shared" si="25"/>
        <v/>
      </c>
      <c r="AJ120" s="56" t="str">
        <f t="shared" si="25"/>
        <v/>
      </c>
      <c r="AK120" s="56" t="str">
        <f t="shared" si="25"/>
        <v/>
      </c>
      <c r="AL120" s="56" t="str">
        <f t="shared" si="25"/>
        <v/>
      </c>
      <c r="AM120" s="56" t="str">
        <f t="shared" si="25"/>
        <v/>
      </c>
      <c r="AN120" s="56" t="str">
        <f t="shared" si="25"/>
        <v/>
      </c>
      <c r="AO120" s="56" t="str">
        <f t="shared" si="25"/>
        <v/>
      </c>
      <c r="AP120" s="56" t="str">
        <f t="shared" si="25"/>
        <v/>
      </c>
      <c r="AQ120" s="56" t="str">
        <f t="shared" si="25"/>
        <v/>
      </c>
      <c r="AR120" s="56" t="str">
        <f t="shared" si="25"/>
        <v/>
      </c>
      <c r="AS120" s="56" t="str">
        <f t="shared" si="25"/>
        <v/>
      </c>
      <c r="AT120" s="56" t="str">
        <f t="shared" si="25"/>
        <v/>
      </c>
      <c r="AU120" s="56" t="str">
        <f t="shared" si="25"/>
        <v/>
      </c>
      <c r="AV120" s="56" t="str">
        <f t="shared" si="25"/>
        <v/>
      </c>
      <c r="AW120" s="56" t="str">
        <f t="shared" si="25"/>
        <v/>
      </c>
      <c r="AX120" s="56" t="str">
        <f t="shared" si="25"/>
        <v/>
      </c>
      <c r="AY120" s="56" t="str">
        <f t="shared" si="25"/>
        <v/>
      </c>
      <c r="AZ120" s="56" t="str">
        <f t="shared" si="25"/>
        <v/>
      </c>
      <c r="BA120" s="56" t="str">
        <f t="shared" si="25"/>
        <v/>
      </c>
      <c r="BB120" s="56" t="str">
        <f t="shared" si="25"/>
        <v/>
      </c>
      <c r="BC120" s="56" t="str">
        <f t="shared" si="25"/>
        <v/>
      </c>
      <c r="BD120" s="56" t="str">
        <f t="shared" si="25"/>
        <v/>
      </c>
    </row>
    <row r="121" spans="2:56" x14ac:dyDescent="0.25">
      <c r="C121" s="48"/>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row>
    <row r="122" spans="2:56" x14ac:dyDescent="0.25">
      <c r="C122" s="48"/>
      <c r="E122" s="56"/>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row>
    <row r="123" spans="2:56" x14ac:dyDescent="0.25">
      <c r="E123" s="82">
        <f t="shared" ref="E123:BD123" si="26">E2</f>
        <v>44569</v>
      </c>
      <c r="F123" s="82">
        <f t="shared" si="26"/>
        <v>44576</v>
      </c>
      <c r="G123" s="82">
        <f t="shared" si="26"/>
        <v>44583</v>
      </c>
      <c r="H123" s="82">
        <f t="shared" si="26"/>
        <v>44590</v>
      </c>
      <c r="I123" s="82">
        <f t="shared" si="26"/>
        <v>44597</v>
      </c>
      <c r="J123" s="82">
        <f t="shared" si="26"/>
        <v>44604</v>
      </c>
      <c r="K123" s="82">
        <f t="shared" si="26"/>
        <v>44611</v>
      </c>
      <c r="L123" s="82">
        <f t="shared" si="26"/>
        <v>44618</v>
      </c>
      <c r="M123" s="82">
        <f t="shared" si="26"/>
        <v>44625</v>
      </c>
      <c r="N123" s="82">
        <f t="shared" si="26"/>
        <v>44632</v>
      </c>
      <c r="O123" s="82">
        <f t="shared" si="26"/>
        <v>44639</v>
      </c>
      <c r="P123" s="82">
        <f t="shared" si="26"/>
        <v>44646</v>
      </c>
      <c r="Q123" s="82">
        <f t="shared" si="26"/>
        <v>44653</v>
      </c>
      <c r="R123" s="82">
        <f t="shared" si="26"/>
        <v>44660</v>
      </c>
      <c r="S123" s="82">
        <f t="shared" si="26"/>
        <v>44667</v>
      </c>
      <c r="T123" s="82">
        <f t="shared" si="26"/>
        <v>44674</v>
      </c>
      <c r="U123" s="82">
        <f t="shared" si="26"/>
        <v>44681</v>
      </c>
      <c r="V123" s="82">
        <f t="shared" si="26"/>
        <v>44688</v>
      </c>
      <c r="W123" s="82">
        <f t="shared" si="26"/>
        <v>44695</v>
      </c>
      <c r="X123" s="82">
        <f t="shared" si="26"/>
        <v>44702</v>
      </c>
      <c r="Y123" s="82">
        <f t="shared" si="26"/>
        <v>44709</v>
      </c>
      <c r="Z123" s="82">
        <f t="shared" si="26"/>
        <v>44716</v>
      </c>
      <c r="AA123" s="82">
        <f t="shared" si="26"/>
        <v>44723</v>
      </c>
      <c r="AB123" s="82">
        <f t="shared" si="26"/>
        <v>44730</v>
      </c>
      <c r="AC123" s="82">
        <f t="shared" si="26"/>
        <v>44737</v>
      </c>
      <c r="AD123" s="82">
        <f t="shared" si="26"/>
        <v>44744</v>
      </c>
      <c r="AE123" s="82">
        <f t="shared" si="26"/>
        <v>44751</v>
      </c>
      <c r="AF123" s="82">
        <f t="shared" si="26"/>
        <v>44758</v>
      </c>
      <c r="AG123" s="82">
        <f t="shared" si="26"/>
        <v>44765</v>
      </c>
      <c r="AH123" s="82">
        <f t="shared" si="26"/>
        <v>44772</v>
      </c>
      <c r="AI123" s="82">
        <f t="shared" si="26"/>
        <v>44779</v>
      </c>
      <c r="AJ123" s="82">
        <f t="shared" si="26"/>
        <v>44786</v>
      </c>
      <c r="AK123" s="82">
        <f t="shared" si="26"/>
        <v>44793</v>
      </c>
      <c r="AL123" s="82">
        <f t="shared" si="26"/>
        <v>44800</v>
      </c>
      <c r="AM123" s="82">
        <f t="shared" si="26"/>
        <v>44807</v>
      </c>
      <c r="AN123" s="82">
        <f t="shared" si="26"/>
        <v>44814</v>
      </c>
      <c r="AO123" s="82">
        <f t="shared" si="26"/>
        <v>44821</v>
      </c>
      <c r="AP123" s="82">
        <f t="shared" si="26"/>
        <v>44828</v>
      </c>
      <c r="AQ123" s="82">
        <f t="shared" si="26"/>
        <v>44835</v>
      </c>
      <c r="AR123" s="82">
        <f t="shared" si="26"/>
        <v>44842</v>
      </c>
      <c r="AS123" s="82">
        <f t="shared" si="26"/>
        <v>44849</v>
      </c>
      <c r="AT123" s="82">
        <f t="shared" si="26"/>
        <v>44856</v>
      </c>
      <c r="AU123" s="82">
        <f t="shared" si="26"/>
        <v>44863</v>
      </c>
      <c r="AV123" s="82">
        <f t="shared" si="26"/>
        <v>44870</v>
      </c>
      <c r="AW123" s="82">
        <f t="shared" si="26"/>
        <v>44877</v>
      </c>
      <c r="AX123" s="82">
        <f t="shared" si="26"/>
        <v>44884</v>
      </c>
      <c r="AY123" s="82">
        <f t="shared" si="26"/>
        <v>44891</v>
      </c>
      <c r="AZ123" s="82">
        <f t="shared" si="26"/>
        <v>44898</v>
      </c>
      <c r="BA123" s="82">
        <f t="shared" si="26"/>
        <v>44905</v>
      </c>
      <c r="BB123" s="82">
        <f t="shared" si="26"/>
        <v>44912</v>
      </c>
      <c r="BC123" s="82">
        <f t="shared" si="26"/>
        <v>44919</v>
      </c>
      <c r="BD123" s="82">
        <f t="shared" si="26"/>
        <v>44926</v>
      </c>
    </row>
    <row r="124" spans="2:56" x14ac:dyDescent="0.25">
      <c r="C124" s="43"/>
      <c r="D124" s="79" t="s">
        <v>33</v>
      </c>
      <c r="E124" s="44" t="str">
        <f>IF(SUM(E7,E40,E62,E85,E107)=0,"",SUM(E7,E40,E62,E85,E107))</f>
        <v/>
      </c>
      <c r="F124" s="44" t="str">
        <f t="shared" ref="F124:BD124" si="27">IF(SUM(F7,F40,F62,F85,F107)=0,"",SUM(F7,F40,F62,F85,F107))</f>
        <v/>
      </c>
      <c r="G124" s="44" t="str">
        <f t="shared" si="27"/>
        <v/>
      </c>
      <c r="H124" s="44" t="str">
        <f t="shared" si="27"/>
        <v/>
      </c>
      <c r="I124" s="44" t="str">
        <f t="shared" si="27"/>
        <v/>
      </c>
      <c r="J124" s="44" t="str">
        <f t="shared" si="27"/>
        <v/>
      </c>
      <c r="K124" s="44" t="str">
        <f t="shared" si="27"/>
        <v/>
      </c>
      <c r="L124" s="44" t="str">
        <f t="shared" si="27"/>
        <v/>
      </c>
      <c r="M124" s="44" t="str">
        <f t="shared" si="27"/>
        <v/>
      </c>
      <c r="N124" s="44" t="str">
        <f t="shared" si="27"/>
        <v/>
      </c>
      <c r="O124" s="44" t="str">
        <f t="shared" si="27"/>
        <v/>
      </c>
      <c r="P124" s="44" t="str">
        <f t="shared" si="27"/>
        <v/>
      </c>
      <c r="Q124" s="44" t="str">
        <f t="shared" si="27"/>
        <v/>
      </c>
      <c r="R124" s="44" t="str">
        <f t="shared" si="27"/>
        <v/>
      </c>
      <c r="S124" s="44" t="str">
        <f t="shared" si="27"/>
        <v/>
      </c>
      <c r="T124" s="44" t="str">
        <f t="shared" si="27"/>
        <v/>
      </c>
      <c r="U124" s="44" t="str">
        <f t="shared" si="27"/>
        <v/>
      </c>
      <c r="V124" s="44" t="str">
        <f t="shared" si="27"/>
        <v/>
      </c>
      <c r="W124" s="44" t="str">
        <f t="shared" si="27"/>
        <v/>
      </c>
      <c r="X124" s="44" t="str">
        <f t="shared" si="27"/>
        <v/>
      </c>
      <c r="Y124" s="44">
        <f t="shared" si="27"/>
        <v>-4.0157798824465551</v>
      </c>
      <c r="Z124" s="44" t="str">
        <f t="shared" si="27"/>
        <v/>
      </c>
      <c r="AA124" s="44" t="str">
        <f t="shared" si="27"/>
        <v/>
      </c>
      <c r="AB124" s="44" t="str">
        <f t="shared" si="27"/>
        <v/>
      </c>
      <c r="AC124" s="44" t="str">
        <f t="shared" si="27"/>
        <v/>
      </c>
      <c r="AD124" s="44" t="str">
        <f t="shared" si="27"/>
        <v/>
      </c>
      <c r="AE124" s="44" t="str">
        <f t="shared" si="27"/>
        <v/>
      </c>
      <c r="AF124" s="44" t="str">
        <f t="shared" si="27"/>
        <v/>
      </c>
      <c r="AG124" s="44" t="str">
        <f t="shared" si="27"/>
        <v/>
      </c>
      <c r="AH124" s="44" t="str">
        <f t="shared" si="27"/>
        <v/>
      </c>
      <c r="AI124" s="44" t="str">
        <f t="shared" si="27"/>
        <v/>
      </c>
      <c r="AJ124" s="44" t="str">
        <f t="shared" si="27"/>
        <v/>
      </c>
      <c r="AK124" s="44" t="str">
        <f t="shared" si="27"/>
        <v/>
      </c>
      <c r="AL124" s="44" t="str">
        <f t="shared" si="27"/>
        <v/>
      </c>
      <c r="AM124" s="44" t="str">
        <f t="shared" si="27"/>
        <v/>
      </c>
      <c r="AN124" s="44" t="str">
        <f t="shared" si="27"/>
        <v/>
      </c>
      <c r="AO124" s="44" t="str">
        <f t="shared" si="27"/>
        <v/>
      </c>
      <c r="AP124" s="44" t="str">
        <f t="shared" si="27"/>
        <v/>
      </c>
      <c r="AQ124" s="44" t="str">
        <f t="shared" si="27"/>
        <v/>
      </c>
      <c r="AR124" s="44" t="str">
        <f t="shared" si="27"/>
        <v/>
      </c>
      <c r="AS124" s="44" t="str">
        <f t="shared" si="27"/>
        <v/>
      </c>
      <c r="AT124" s="44" t="str">
        <f t="shared" si="27"/>
        <v/>
      </c>
      <c r="AU124" s="44" t="str">
        <f t="shared" si="27"/>
        <v/>
      </c>
      <c r="AV124" s="44" t="str">
        <f t="shared" si="27"/>
        <v/>
      </c>
      <c r="AW124" s="44" t="str">
        <f t="shared" si="27"/>
        <v/>
      </c>
      <c r="AX124" s="44" t="str">
        <f t="shared" si="27"/>
        <v/>
      </c>
      <c r="AY124" s="44" t="str">
        <f t="shared" si="27"/>
        <v/>
      </c>
      <c r="AZ124" s="44" t="str">
        <f t="shared" si="27"/>
        <v/>
      </c>
      <c r="BA124" s="44" t="str">
        <f t="shared" si="27"/>
        <v/>
      </c>
      <c r="BB124" s="44" t="str">
        <f t="shared" si="27"/>
        <v/>
      </c>
      <c r="BC124" s="44" t="str">
        <f t="shared" si="27"/>
        <v/>
      </c>
      <c r="BD124" s="44" t="str">
        <f t="shared" si="27"/>
        <v/>
      </c>
    </row>
    <row r="125" spans="2:56" x14ac:dyDescent="0.25">
      <c r="B125" s="73"/>
      <c r="C125" s="103" t="s">
        <v>33</v>
      </c>
      <c r="D125" s="73" t="str">
        <f t="shared" ref="D125:D131" si="28">D18&amp;" VERTICAL REQ"</f>
        <v>Melbourne VERTICAL REQ</v>
      </c>
      <c r="E125" s="76">
        <f>IFERROR(E$124*SUM(E136/SUM(E$136:E$142)),0)</f>
        <v>0</v>
      </c>
      <c r="F125" s="76">
        <f t="shared" ref="F125:BD126" si="29">IFERROR(F$124*SUM(F136/SUM(F$136:F$142)),0)</f>
        <v>0</v>
      </c>
      <c r="G125" s="76">
        <f t="shared" si="29"/>
        <v>0</v>
      </c>
      <c r="H125" s="76">
        <f t="shared" si="29"/>
        <v>0</v>
      </c>
      <c r="I125" s="76">
        <f t="shared" si="29"/>
        <v>0</v>
      </c>
      <c r="J125" s="76">
        <f t="shared" si="29"/>
        <v>0</v>
      </c>
      <c r="K125" s="76">
        <f t="shared" si="29"/>
        <v>0</v>
      </c>
      <c r="L125" s="76">
        <f t="shared" si="29"/>
        <v>0</v>
      </c>
      <c r="M125" s="76">
        <f t="shared" si="29"/>
        <v>0</v>
      </c>
      <c r="N125" s="76">
        <f t="shared" si="29"/>
        <v>0</v>
      </c>
      <c r="O125" s="76">
        <f t="shared" si="29"/>
        <v>0</v>
      </c>
      <c r="P125" s="76">
        <f t="shared" si="29"/>
        <v>0</v>
      </c>
      <c r="Q125" s="76">
        <f t="shared" si="29"/>
        <v>0</v>
      </c>
      <c r="R125" s="76">
        <f t="shared" si="29"/>
        <v>0</v>
      </c>
      <c r="S125" s="76">
        <f t="shared" si="29"/>
        <v>0</v>
      </c>
      <c r="T125" s="76">
        <f t="shared" si="29"/>
        <v>0</v>
      </c>
      <c r="U125" s="76">
        <f t="shared" si="29"/>
        <v>0</v>
      </c>
      <c r="V125" s="76">
        <f t="shared" si="29"/>
        <v>0</v>
      </c>
      <c r="W125" s="76">
        <f t="shared" si="29"/>
        <v>0</v>
      </c>
      <c r="X125" s="76">
        <f t="shared" si="29"/>
        <v>0</v>
      </c>
      <c r="Y125" s="76">
        <f t="shared" si="29"/>
        <v>0</v>
      </c>
      <c r="Z125" s="76">
        <f t="shared" si="29"/>
        <v>0</v>
      </c>
      <c r="AA125" s="76">
        <f t="shared" si="29"/>
        <v>0</v>
      </c>
      <c r="AB125" s="76">
        <f t="shared" si="29"/>
        <v>0</v>
      </c>
      <c r="AC125" s="76">
        <f t="shared" si="29"/>
        <v>0</v>
      </c>
      <c r="AD125" s="76">
        <f t="shared" si="29"/>
        <v>0</v>
      </c>
      <c r="AE125" s="76">
        <f t="shared" si="29"/>
        <v>0</v>
      </c>
      <c r="AF125" s="76">
        <f t="shared" si="29"/>
        <v>0</v>
      </c>
      <c r="AG125" s="76">
        <f t="shared" si="29"/>
        <v>0</v>
      </c>
      <c r="AH125" s="76">
        <f t="shared" si="29"/>
        <v>0</v>
      </c>
      <c r="AI125" s="76">
        <f t="shared" si="29"/>
        <v>0</v>
      </c>
      <c r="AJ125" s="76">
        <f t="shared" si="29"/>
        <v>0</v>
      </c>
      <c r="AK125" s="76">
        <f t="shared" si="29"/>
        <v>0</v>
      </c>
      <c r="AL125" s="76">
        <f t="shared" si="29"/>
        <v>0</v>
      </c>
      <c r="AM125" s="76">
        <f t="shared" si="29"/>
        <v>0</v>
      </c>
      <c r="AN125" s="76">
        <f t="shared" si="29"/>
        <v>0</v>
      </c>
      <c r="AO125" s="76">
        <f t="shared" si="29"/>
        <v>0</v>
      </c>
      <c r="AP125" s="76">
        <f t="shared" si="29"/>
        <v>0</v>
      </c>
      <c r="AQ125" s="76">
        <f t="shared" si="29"/>
        <v>0</v>
      </c>
      <c r="AR125" s="76">
        <f t="shared" si="29"/>
        <v>0</v>
      </c>
      <c r="AS125" s="76">
        <f t="shared" si="29"/>
        <v>0</v>
      </c>
      <c r="AT125" s="76">
        <f t="shared" si="29"/>
        <v>0</v>
      </c>
      <c r="AU125" s="76">
        <f t="shared" si="29"/>
        <v>0</v>
      </c>
      <c r="AV125" s="76">
        <f t="shared" si="29"/>
        <v>0</v>
      </c>
      <c r="AW125" s="76">
        <f t="shared" si="29"/>
        <v>0</v>
      </c>
      <c r="AX125" s="76">
        <f t="shared" si="29"/>
        <v>0</v>
      </c>
      <c r="AY125" s="76">
        <f t="shared" si="29"/>
        <v>0</v>
      </c>
      <c r="AZ125" s="76">
        <f t="shared" si="29"/>
        <v>0</v>
      </c>
      <c r="BA125" s="76">
        <f t="shared" si="29"/>
        <v>0</v>
      </c>
      <c r="BB125" s="76">
        <f t="shared" si="29"/>
        <v>0</v>
      </c>
      <c r="BC125" s="76">
        <f t="shared" si="29"/>
        <v>0</v>
      </c>
      <c r="BD125" s="76">
        <f t="shared" si="29"/>
        <v>0</v>
      </c>
    </row>
    <row r="126" spans="2:56" x14ac:dyDescent="0.25">
      <c r="B126" s="73"/>
      <c r="C126" s="103"/>
      <c r="D126" s="73" t="str">
        <f t="shared" si="28"/>
        <v>Virtual VERTICAL REQ</v>
      </c>
      <c r="E126" s="76">
        <f>IFERROR(E$124*SUM(E137/SUM(E$136:E$142)),0)</f>
        <v>0</v>
      </c>
      <c r="F126" s="76">
        <f t="shared" si="29"/>
        <v>0</v>
      </c>
      <c r="G126" s="76">
        <f t="shared" si="29"/>
        <v>0</v>
      </c>
      <c r="H126" s="76">
        <f t="shared" si="29"/>
        <v>0</v>
      </c>
      <c r="I126" s="76">
        <f t="shared" si="29"/>
        <v>0</v>
      </c>
      <c r="J126" s="76">
        <f t="shared" si="29"/>
        <v>0</v>
      </c>
      <c r="K126" s="76">
        <f t="shared" si="29"/>
        <v>0</v>
      </c>
      <c r="L126" s="76">
        <f t="shared" si="29"/>
        <v>0</v>
      </c>
      <c r="M126" s="76">
        <f t="shared" si="29"/>
        <v>0</v>
      </c>
      <c r="N126" s="76">
        <f t="shared" si="29"/>
        <v>0</v>
      </c>
      <c r="O126" s="76">
        <f t="shared" si="29"/>
        <v>0</v>
      </c>
      <c r="P126" s="76">
        <f t="shared" si="29"/>
        <v>0</v>
      </c>
      <c r="Q126" s="76">
        <f t="shared" si="29"/>
        <v>0</v>
      </c>
      <c r="R126" s="76">
        <f t="shared" si="29"/>
        <v>0</v>
      </c>
      <c r="S126" s="76">
        <f t="shared" si="29"/>
        <v>0</v>
      </c>
      <c r="T126" s="76">
        <f t="shared" si="29"/>
        <v>0</v>
      </c>
      <c r="U126" s="76">
        <f t="shared" si="29"/>
        <v>0</v>
      </c>
      <c r="V126" s="76">
        <f t="shared" si="29"/>
        <v>0</v>
      </c>
      <c r="W126" s="76">
        <f t="shared" si="29"/>
        <v>0</v>
      </c>
      <c r="X126" s="76">
        <f t="shared" si="29"/>
        <v>0</v>
      </c>
      <c r="Y126" s="76">
        <f t="shared" si="29"/>
        <v>0</v>
      </c>
      <c r="Z126" s="76">
        <f t="shared" si="29"/>
        <v>0</v>
      </c>
      <c r="AA126" s="76">
        <f t="shared" si="29"/>
        <v>0</v>
      </c>
      <c r="AB126" s="76">
        <f t="shared" si="29"/>
        <v>0</v>
      </c>
      <c r="AC126" s="76">
        <f t="shared" si="29"/>
        <v>0</v>
      </c>
      <c r="AD126" s="76">
        <f t="shared" si="29"/>
        <v>0</v>
      </c>
      <c r="AE126" s="76">
        <f t="shared" si="29"/>
        <v>0</v>
      </c>
      <c r="AF126" s="76">
        <f t="shared" si="29"/>
        <v>0</v>
      </c>
      <c r="AG126" s="76">
        <f t="shared" si="29"/>
        <v>0</v>
      </c>
      <c r="AH126" s="76">
        <f t="shared" si="29"/>
        <v>0</v>
      </c>
      <c r="AI126" s="76">
        <f t="shared" si="29"/>
        <v>0</v>
      </c>
      <c r="AJ126" s="76">
        <f t="shared" si="29"/>
        <v>0</v>
      </c>
      <c r="AK126" s="76">
        <f t="shared" si="29"/>
        <v>0</v>
      </c>
      <c r="AL126" s="76">
        <f t="shared" si="29"/>
        <v>0</v>
      </c>
      <c r="AM126" s="76">
        <f t="shared" si="29"/>
        <v>0</v>
      </c>
      <c r="AN126" s="76">
        <f t="shared" si="29"/>
        <v>0</v>
      </c>
      <c r="AO126" s="76">
        <f t="shared" si="29"/>
        <v>0</v>
      </c>
      <c r="AP126" s="76">
        <f t="shared" si="29"/>
        <v>0</v>
      </c>
      <c r="AQ126" s="76">
        <f t="shared" si="29"/>
        <v>0</v>
      </c>
      <c r="AR126" s="76">
        <f t="shared" si="29"/>
        <v>0</v>
      </c>
      <c r="AS126" s="76">
        <f t="shared" si="29"/>
        <v>0</v>
      </c>
      <c r="AT126" s="76">
        <f t="shared" si="29"/>
        <v>0</v>
      </c>
      <c r="AU126" s="76">
        <f t="shared" si="29"/>
        <v>0</v>
      </c>
      <c r="AV126" s="76">
        <f t="shared" si="29"/>
        <v>0</v>
      </c>
      <c r="AW126" s="76">
        <f t="shared" si="29"/>
        <v>0</v>
      </c>
      <c r="AX126" s="76">
        <f t="shared" si="29"/>
        <v>0</v>
      </c>
      <c r="AY126" s="76">
        <f t="shared" si="29"/>
        <v>0</v>
      </c>
      <c r="AZ126" s="76">
        <f t="shared" si="29"/>
        <v>0</v>
      </c>
      <c r="BA126" s="76">
        <f t="shared" si="29"/>
        <v>0</v>
      </c>
      <c r="BB126" s="76">
        <f t="shared" si="29"/>
        <v>0</v>
      </c>
      <c r="BC126" s="76">
        <f t="shared" si="29"/>
        <v>0</v>
      </c>
      <c r="BD126" s="76">
        <f t="shared" si="29"/>
        <v>0</v>
      </c>
    </row>
    <row r="127" spans="2:56" x14ac:dyDescent="0.25">
      <c r="B127" s="73"/>
      <c r="C127" s="103"/>
      <c r="D127" s="73" t="str">
        <f t="shared" si="28"/>
        <v>Brunswick VERTICAL REQ</v>
      </c>
      <c r="E127" s="76">
        <f t="shared" ref="E127:BD131" si="30">IFERROR(E$124*SUM(E138/SUM(E$136:E$142)),0)</f>
        <v>0</v>
      </c>
      <c r="F127" s="76">
        <f t="shared" si="30"/>
        <v>0</v>
      </c>
      <c r="G127" s="76">
        <f t="shared" si="30"/>
        <v>0</v>
      </c>
      <c r="H127" s="76">
        <f t="shared" si="30"/>
        <v>0</v>
      </c>
      <c r="I127" s="76">
        <f t="shared" si="30"/>
        <v>0</v>
      </c>
      <c r="J127" s="76">
        <f t="shared" si="30"/>
        <v>0</v>
      </c>
      <c r="K127" s="76">
        <f t="shared" si="30"/>
        <v>0</v>
      </c>
      <c r="L127" s="76">
        <f t="shared" si="30"/>
        <v>0</v>
      </c>
      <c r="M127" s="76">
        <f t="shared" si="30"/>
        <v>0</v>
      </c>
      <c r="N127" s="76">
        <f t="shared" si="30"/>
        <v>0</v>
      </c>
      <c r="O127" s="76">
        <f t="shared" si="30"/>
        <v>0</v>
      </c>
      <c r="P127" s="76">
        <f t="shared" si="30"/>
        <v>0</v>
      </c>
      <c r="Q127" s="76">
        <f t="shared" si="30"/>
        <v>0</v>
      </c>
      <c r="R127" s="76">
        <f t="shared" si="30"/>
        <v>0</v>
      </c>
      <c r="S127" s="76">
        <f t="shared" si="30"/>
        <v>0</v>
      </c>
      <c r="T127" s="76">
        <f t="shared" si="30"/>
        <v>0</v>
      </c>
      <c r="U127" s="76">
        <f t="shared" si="30"/>
        <v>0</v>
      </c>
      <c r="V127" s="76">
        <f t="shared" si="30"/>
        <v>0</v>
      </c>
      <c r="W127" s="76">
        <f t="shared" si="30"/>
        <v>0</v>
      </c>
      <c r="X127" s="76">
        <f t="shared" si="30"/>
        <v>0</v>
      </c>
      <c r="Y127" s="76">
        <f t="shared" si="30"/>
        <v>0</v>
      </c>
      <c r="Z127" s="76">
        <f t="shared" si="30"/>
        <v>0</v>
      </c>
      <c r="AA127" s="76">
        <f t="shared" si="30"/>
        <v>0</v>
      </c>
      <c r="AB127" s="76">
        <f t="shared" si="30"/>
        <v>0</v>
      </c>
      <c r="AC127" s="76">
        <f t="shared" si="30"/>
        <v>0</v>
      </c>
      <c r="AD127" s="76">
        <f t="shared" si="30"/>
        <v>0</v>
      </c>
      <c r="AE127" s="76">
        <f t="shared" si="30"/>
        <v>0</v>
      </c>
      <c r="AF127" s="76">
        <f t="shared" si="30"/>
        <v>0</v>
      </c>
      <c r="AG127" s="76">
        <f t="shared" si="30"/>
        <v>0</v>
      </c>
      <c r="AH127" s="76">
        <f t="shared" si="30"/>
        <v>0</v>
      </c>
      <c r="AI127" s="76">
        <f t="shared" si="30"/>
        <v>0</v>
      </c>
      <c r="AJ127" s="76">
        <f t="shared" si="30"/>
        <v>0</v>
      </c>
      <c r="AK127" s="76">
        <f t="shared" si="30"/>
        <v>0</v>
      </c>
      <c r="AL127" s="76">
        <f t="shared" si="30"/>
        <v>0</v>
      </c>
      <c r="AM127" s="76">
        <f t="shared" si="30"/>
        <v>0</v>
      </c>
      <c r="AN127" s="76">
        <f t="shared" si="30"/>
        <v>0</v>
      </c>
      <c r="AO127" s="76">
        <f t="shared" si="30"/>
        <v>0</v>
      </c>
      <c r="AP127" s="76">
        <f t="shared" si="30"/>
        <v>0</v>
      </c>
      <c r="AQ127" s="76">
        <f t="shared" si="30"/>
        <v>0</v>
      </c>
      <c r="AR127" s="76">
        <f t="shared" si="30"/>
        <v>0</v>
      </c>
      <c r="AS127" s="76">
        <f t="shared" si="30"/>
        <v>0</v>
      </c>
      <c r="AT127" s="76">
        <f t="shared" si="30"/>
        <v>0</v>
      </c>
      <c r="AU127" s="76">
        <f t="shared" si="30"/>
        <v>0</v>
      </c>
      <c r="AV127" s="76">
        <f t="shared" si="30"/>
        <v>0</v>
      </c>
      <c r="AW127" s="76">
        <f t="shared" si="30"/>
        <v>0</v>
      </c>
      <c r="AX127" s="76">
        <f t="shared" si="30"/>
        <v>0</v>
      </c>
      <c r="AY127" s="76">
        <f t="shared" si="30"/>
        <v>0</v>
      </c>
      <c r="AZ127" s="76">
        <f t="shared" si="30"/>
        <v>0</v>
      </c>
      <c r="BA127" s="76">
        <f t="shared" si="30"/>
        <v>0</v>
      </c>
      <c r="BB127" s="76">
        <f t="shared" si="30"/>
        <v>0</v>
      </c>
      <c r="BC127" s="76">
        <f t="shared" si="30"/>
        <v>0</v>
      </c>
      <c r="BD127" s="76">
        <f t="shared" si="30"/>
        <v>0</v>
      </c>
    </row>
    <row r="128" spans="2:56" x14ac:dyDescent="0.25">
      <c r="B128" s="73"/>
      <c r="C128" s="103"/>
      <c r="D128" s="73" t="str">
        <f t="shared" si="28"/>
        <v>Melbourne North VERTICAL REQ</v>
      </c>
      <c r="E128" s="76">
        <f t="shared" si="30"/>
        <v>0</v>
      </c>
      <c r="F128" s="76">
        <f t="shared" si="30"/>
        <v>0</v>
      </c>
      <c r="G128" s="76">
        <f t="shared" si="30"/>
        <v>0</v>
      </c>
      <c r="H128" s="76">
        <f t="shared" si="30"/>
        <v>0</v>
      </c>
      <c r="I128" s="76">
        <f t="shared" si="30"/>
        <v>0</v>
      </c>
      <c r="J128" s="76">
        <f t="shared" si="30"/>
        <v>0</v>
      </c>
      <c r="K128" s="76">
        <f t="shared" si="30"/>
        <v>0</v>
      </c>
      <c r="L128" s="76">
        <f t="shared" si="30"/>
        <v>0</v>
      </c>
      <c r="M128" s="76">
        <f t="shared" si="30"/>
        <v>0</v>
      </c>
      <c r="N128" s="76">
        <f t="shared" si="30"/>
        <v>0</v>
      </c>
      <c r="O128" s="76">
        <f t="shared" si="30"/>
        <v>0</v>
      </c>
      <c r="P128" s="76">
        <f t="shared" si="30"/>
        <v>0</v>
      </c>
      <c r="Q128" s="76">
        <f t="shared" si="30"/>
        <v>0</v>
      </c>
      <c r="R128" s="76">
        <f t="shared" si="30"/>
        <v>0</v>
      </c>
      <c r="S128" s="76">
        <f t="shared" si="30"/>
        <v>0</v>
      </c>
      <c r="T128" s="76">
        <f t="shared" si="30"/>
        <v>0</v>
      </c>
      <c r="U128" s="76">
        <f t="shared" si="30"/>
        <v>0</v>
      </c>
      <c r="V128" s="76">
        <f t="shared" si="30"/>
        <v>0</v>
      </c>
      <c r="W128" s="76">
        <f t="shared" si="30"/>
        <v>0</v>
      </c>
      <c r="X128" s="76">
        <f t="shared" si="30"/>
        <v>0</v>
      </c>
      <c r="Y128" s="76">
        <f t="shared" si="30"/>
        <v>0</v>
      </c>
      <c r="Z128" s="76">
        <f t="shared" si="30"/>
        <v>0</v>
      </c>
      <c r="AA128" s="76">
        <f t="shared" si="30"/>
        <v>0</v>
      </c>
      <c r="AB128" s="76">
        <f t="shared" si="30"/>
        <v>0</v>
      </c>
      <c r="AC128" s="76">
        <f t="shared" si="30"/>
        <v>0</v>
      </c>
      <c r="AD128" s="76">
        <f t="shared" si="30"/>
        <v>0</v>
      </c>
      <c r="AE128" s="76">
        <f t="shared" si="30"/>
        <v>0</v>
      </c>
      <c r="AF128" s="76">
        <f t="shared" si="30"/>
        <v>0</v>
      </c>
      <c r="AG128" s="76">
        <f t="shared" si="30"/>
        <v>0</v>
      </c>
      <c r="AH128" s="76">
        <f t="shared" si="30"/>
        <v>0</v>
      </c>
      <c r="AI128" s="76">
        <f t="shared" si="30"/>
        <v>0</v>
      </c>
      <c r="AJ128" s="76">
        <f t="shared" si="30"/>
        <v>0</v>
      </c>
      <c r="AK128" s="76">
        <f t="shared" si="30"/>
        <v>0</v>
      </c>
      <c r="AL128" s="76">
        <f t="shared" si="30"/>
        <v>0</v>
      </c>
      <c r="AM128" s="76">
        <f t="shared" si="30"/>
        <v>0</v>
      </c>
      <c r="AN128" s="76">
        <f t="shared" si="30"/>
        <v>0</v>
      </c>
      <c r="AO128" s="76">
        <f t="shared" si="30"/>
        <v>0</v>
      </c>
      <c r="AP128" s="76">
        <f t="shared" si="30"/>
        <v>0</v>
      </c>
      <c r="AQ128" s="76">
        <f t="shared" si="30"/>
        <v>0</v>
      </c>
      <c r="AR128" s="76">
        <f t="shared" si="30"/>
        <v>0</v>
      </c>
      <c r="AS128" s="76">
        <f t="shared" si="30"/>
        <v>0</v>
      </c>
      <c r="AT128" s="76">
        <f t="shared" si="30"/>
        <v>0</v>
      </c>
      <c r="AU128" s="76">
        <f t="shared" si="30"/>
        <v>0</v>
      </c>
      <c r="AV128" s="76">
        <f t="shared" si="30"/>
        <v>0</v>
      </c>
      <c r="AW128" s="76">
        <f t="shared" si="30"/>
        <v>0</v>
      </c>
      <c r="AX128" s="76">
        <f t="shared" si="30"/>
        <v>0</v>
      </c>
      <c r="AY128" s="76">
        <f t="shared" si="30"/>
        <v>0</v>
      </c>
      <c r="AZ128" s="76">
        <f t="shared" si="30"/>
        <v>0</v>
      </c>
      <c r="BA128" s="76">
        <f t="shared" si="30"/>
        <v>0</v>
      </c>
      <c r="BB128" s="76">
        <f t="shared" si="30"/>
        <v>0</v>
      </c>
      <c r="BC128" s="76">
        <f t="shared" si="30"/>
        <v>0</v>
      </c>
      <c r="BD128" s="76">
        <f t="shared" si="30"/>
        <v>0</v>
      </c>
    </row>
    <row r="129" spans="2:56" x14ac:dyDescent="0.25">
      <c r="B129" s="73"/>
      <c r="C129" s="103"/>
      <c r="D129" s="73" t="str">
        <f t="shared" si="28"/>
        <v>Pueblo VERTICAL REQ</v>
      </c>
      <c r="E129" s="76">
        <f t="shared" si="30"/>
        <v>0</v>
      </c>
      <c r="F129" s="76">
        <f t="shared" si="30"/>
        <v>0</v>
      </c>
      <c r="G129" s="76">
        <f t="shared" si="30"/>
        <v>0</v>
      </c>
      <c r="H129" s="76">
        <f t="shared" si="30"/>
        <v>0</v>
      </c>
      <c r="I129" s="76">
        <f t="shared" si="30"/>
        <v>0</v>
      </c>
      <c r="J129" s="76">
        <f t="shared" si="30"/>
        <v>0</v>
      </c>
      <c r="K129" s="76">
        <f t="shared" si="30"/>
        <v>0</v>
      </c>
      <c r="L129" s="76">
        <f t="shared" si="30"/>
        <v>0</v>
      </c>
      <c r="M129" s="76">
        <f t="shared" si="30"/>
        <v>0</v>
      </c>
      <c r="N129" s="76">
        <f t="shared" si="30"/>
        <v>0</v>
      </c>
      <c r="O129" s="76">
        <f t="shared" si="30"/>
        <v>0</v>
      </c>
      <c r="P129" s="76">
        <f t="shared" si="30"/>
        <v>0</v>
      </c>
      <c r="Q129" s="76">
        <f t="shared" si="30"/>
        <v>0</v>
      </c>
      <c r="R129" s="76">
        <f t="shared" si="30"/>
        <v>0</v>
      </c>
      <c r="S129" s="76">
        <f t="shared" si="30"/>
        <v>0</v>
      </c>
      <c r="T129" s="76">
        <f t="shared" si="30"/>
        <v>0</v>
      </c>
      <c r="U129" s="76">
        <f t="shared" si="30"/>
        <v>0</v>
      </c>
      <c r="V129" s="76">
        <f t="shared" si="30"/>
        <v>0</v>
      </c>
      <c r="W129" s="76">
        <f t="shared" si="30"/>
        <v>0</v>
      </c>
      <c r="X129" s="76">
        <f t="shared" si="30"/>
        <v>0</v>
      </c>
      <c r="Y129" s="76">
        <f t="shared" si="30"/>
        <v>0</v>
      </c>
      <c r="Z129" s="76">
        <f t="shared" si="30"/>
        <v>0</v>
      </c>
      <c r="AA129" s="76">
        <f t="shared" si="30"/>
        <v>0</v>
      </c>
      <c r="AB129" s="76">
        <f t="shared" si="30"/>
        <v>0</v>
      </c>
      <c r="AC129" s="76">
        <f t="shared" si="30"/>
        <v>0</v>
      </c>
      <c r="AD129" s="76">
        <f t="shared" si="30"/>
        <v>0</v>
      </c>
      <c r="AE129" s="76">
        <f t="shared" si="30"/>
        <v>0</v>
      </c>
      <c r="AF129" s="76">
        <f t="shared" si="30"/>
        <v>0</v>
      </c>
      <c r="AG129" s="76">
        <f t="shared" si="30"/>
        <v>0</v>
      </c>
      <c r="AH129" s="76">
        <f t="shared" si="30"/>
        <v>0</v>
      </c>
      <c r="AI129" s="76">
        <f t="shared" si="30"/>
        <v>0</v>
      </c>
      <c r="AJ129" s="76">
        <f t="shared" si="30"/>
        <v>0</v>
      </c>
      <c r="AK129" s="76">
        <f t="shared" si="30"/>
        <v>0</v>
      </c>
      <c r="AL129" s="76">
        <f t="shared" si="30"/>
        <v>0</v>
      </c>
      <c r="AM129" s="76">
        <f t="shared" si="30"/>
        <v>0</v>
      </c>
      <c r="AN129" s="76">
        <f t="shared" si="30"/>
        <v>0</v>
      </c>
      <c r="AO129" s="76">
        <f t="shared" si="30"/>
        <v>0</v>
      </c>
      <c r="AP129" s="76">
        <f t="shared" si="30"/>
        <v>0</v>
      </c>
      <c r="AQ129" s="76">
        <f t="shared" si="30"/>
        <v>0</v>
      </c>
      <c r="AR129" s="76">
        <f t="shared" si="30"/>
        <v>0</v>
      </c>
      <c r="AS129" s="76">
        <f t="shared" si="30"/>
        <v>0</v>
      </c>
      <c r="AT129" s="76">
        <f t="shared" si="30"/>
        <v>0</v>
      </c>
      <c r="AU129" s="76">
        <f t="shared" si="30"/>
        <v>0</v>
      </c>
      <c r="AV129" s="76">
        <f t="shared" si="30"/>
        <v>0</v>
      </c>
      <c r="AW129" s="76">
        <f t="shared" si="30"/>
        <v>0</v>
      </c>
      <c r="AX129" s="76">
        <f t="shared" si="30"/>
        <v>0</v>
      </c>
      <c r="AY129" s="76">
        <f t="shared" si="30"/>
        <v>0</v>
      </c>
      <c r="AZ129" s="76">
        <f t="shared" si="30"/>
        <v>0</v>
      </c>
      <c r="BA129" s="76">
        <f t="shared" si="30"/>
        <v>0</v>
      </c>
      <c r="BB129" s="76">
        <f t="shared" si="30"/>
        <v>0</v>
      </c>
      <c r="BC129" s="76">
        <f t="shared" si="30"/>
        <v>0</v>
      </c>
      <c r="BD129" s="76">
        <f t="shared" si="30"/>
        <v>0</v>
      </c>
    </row>
    <row r="130" spans="2:56" x14ac:dyDescent="0.25">
      <c r="B130" s="73"/>
      <c r="C130" s="103"/>
      <c r="D130" s="73" t="str">
        <f t="shared" si="28"/>
        <v>Iloilo VERTICAL REQ</v>
      </c>
      <c r="E130" s="76">
        <f t="shared" si="30"/>
        <v>0</v>
      </c>
      <c r="F130" s="76">
        <f t="shared" si="30"/>
        <v>0</v>
      </c>
      <c r="G130" s="76">
        <f t="shared" si="30"/>
        <v>0</v>
      </c>
      <c r="H130" s="76">
        <f t="shared" si="30"/>
        <v>0</v>
      </c>
      <c r="I130" s="76">
        <f t="shared" si="30"/>
        <v>0</v>
      </c>
      <c r="J130" s="76">
        <f t="shared" si="30"/>
        <v>0</v>
      </c>
      <c r="K130" s="76">
        <f t="shared" si="30"/>
        <v>0</v>
      </c>
      <c r="L130" s="76">
        <f t="shared" si="30"/>
        <v>0</v>
      </c>
      <c r="M130" s="76">
        <f t="shared" si="30"/>
        <v>0</v>
      </c>
      <c r="N130" s="76">
        <f t="shared" si="30"/>
        <v>0</v>
      </c>
      <c r="O130" s="76">
        <f t="shared" si="30"/>
        <v>0</v>
      </c>
      <c r="P130" s="76">
        <f t="shared" si="30"/>
        <v>0</v>
      </c>
      <c r="Q130" s="76">
        <f t="shared" si="30"/>
        <v>0</v>
      </c>
      <c r="R130" s="76">
        <f t="shared" si="30"/>
        <v>0</v>
      </c>
      <c r="S130" s="76">
        <f t="shared" si="30"/>
        <v>0</v>
      </c>
      <c r="T130" s="76">
        <f t="shared" si="30"/>
        <v>0</v>
      </c>
      <c r="U130" s="76">
        <f t="shared" si="30"/>
        <v>0</v>
      </c>
      <c r="V130" s="76">
        <f t="shared" si="30"/>
        <v>0</v>
      </c>
      <c r="W130" s="76">
        <f t="shared" si="30"/>
        <v>0</v>
      </c>
      <c r="X130" s="76">
        <f t="shared" si="30"/>
        <v>0</v>
      </c>
      <c r="Y130" s="76">
        <f t="shared" si="30"/>
        <v>0</v>
      </c>
      <c r="Z130" s="76">
        <f t="shared" si="30"/>
        <v>0</v>
      </c>
      <c r="AA130" s="76">
        <f t="shared" si="30"/>
        <v>0</v>
      </c>
      <c r="AB130" s="76">
        <f t="shared" si="30"/>
        <v>0</v>
      </c>
      <c r="AC130" s="76">
        <f t="shared" si="30"/>
        <v>0</v>
      </c>
      <c r="AD130" s="76">
        <f t="shared" si="30"/>
        <v>0</v>
      </c>
      <c r="AE130" s="76">
        <f t="shared" si="30"/>
        <v>0</v>
      </c>
      <c r="AF130" s="76">
        <f t="shared" si="30"/>
        <v>0</v>
      </c>
      <c r="AG130" s="76">
        <f t="shared" si="30"/>
        <v>0</v>
      </c>
      <c r="AH130" s="76">
        <f t="shared" si="30"/>
        <v>0</v>
      </c>
      <c r="AI130" s="76">
        <f t="shared" si="30"/>
        <v>0</v>
      </c>
      <c r="AJ130" s="76">
        <f t="shared" si="30"/>
        <v>0</v>
      </c>
      <c r="AK130" s="76">
        <f t="shared" si="30"/>
        <v>0</v>
      </c>
      <c r="AL130" s="76">
        <f t="shared" si="30"/>
        <v>0</v>
      </c>
      <c r="AM130" s="76">
        <f t="shared" si="30"/>
        <v>0</v>
      </c>
      <c r="AN130" s="76">
        <f t="shared" si="30"/>
        <v>0</v>
      </c>
      <c r="AO130" s="76">
        <f t="shared" si="30"/>
        <v>0</v>
      </c>
      <c r="AP130" s="76">
        <f t="shared" si="30"/>
        <v>0</v>
      </c>
      <c r="AQ130" s="76">
        <f t="shared" si="30"/>
        <v>0</v>
      </c>
      <c r="AR130" s="76">
        <f t="shared" si="30"/>
        <v>0</v>
      </c>
      <c r="AS130" s="76">
        <f t="shared" si="30"/>
        <v>0</v>
      </c>
      <c r="AT130" s="76">
        <f t="shared" si="30"/>
        <v>0</v>
      </c>
      <c r="AU130" s="76">
        <f t="shared" si="30"/>
        <v>0</v>
      </c>
      <c r="AV130" s="76">
        <f t="shared" si="30"/>
        <v>0</v>
      </c>
      <c r="AW130" s="76">
        <f t="shared" si="30"/>
        <v>0</v>
      </c>
      <c r="AX130" s="76">
        <f t="shared" si="30"/>
        <v>0</v>
      </c>
      <c r="AY130" s="76">
        <f t="shared" si="30"/>
        <v>0</v>
      </c>
      <c r="AZ130" s="76">
        <f t="shared" si="30"/>
        <v>0</v>
      </c>
      <c r="BA130" s="76">
        <f t="shared" si="30"/>
        <v>0</v>
      </c>
      <c r="BB130" s="76">
        <f t="shared" si="30"/>
        <v>0</v>
      </c>
      <c r="BC130" s="76">
        <f t="shared" si="30"/>
        <v>0</v>
      </c>
      <c r="BD130" s="76">
        <f t="shared" si="30"/>
        <v>0</v>
      </c>
    </row>
    <row r="131" spans="2:56" x14ac:dyDescent="0.25">
      <c r="B131" s="73"/>
      <c r="C131" s="103"/>
      <c r="D131" s="73" t="str">
        <f t="shared" si="28"/>
        <v>Belize VERTICAL REQ</v>
      </c>
      <c r="E131" s="76">
        <f t="shared" si="30"/>
        <v>0</v>
      </c>
      <c r="F131" s="76">
        <f t="shared" si="30"/>
        <v>0</v>
      </c>
      <c r="G131" s="76">
        <f t="shared" si="30"/>
        <v>0</v>
      </c>
      <c r="H131" s="76">
        <f t="shared" si="30"/>
        <v>0</v>
      </c>
      <c r="I131" s="76">
        <f t="shared" si="30"/>
        <v>0</v>
      </c>
      <c r="J131" s="76">
        <f t="shared" si="30"/>
        <v>0</v>
      </c>
      <c r="K131" s="76">
        <f t="shared" si="30"/>
        <v>0</v>
      </c>
      <c r="L131" s="76">
        <f t="shared" si="30"/>
        <v>0</v>
      </c>
      <c r="M131" s="76">
        <f t="shared" si="30"/>
        <v>0</v>
      </c>
      <c r="N131" s="76">
        <f t="shared" si="30"/>
        <v>0</v>
      </c>
      <c r="O131" s="76">
        <f t="shared" si="30"/>
        <v>0</v>
      </c>
      <c r="P131" s="76">
        <f t="shared" si="30"/>
        <v>0</v>
      </c>
      <c r="Q131" s="76">
        <f t="shared" si="30"/>
        <v>0</v>
      </c>
      <c r="R131" s="76">
        <f t="shared" si="30"/>
        <v>0</v>
      </c>
      <c r="S131" s="76">
        <f t="shared" si="30"/>
        <v>0</v>
      </c>
      <c r="T131" s="76">
        <f t="shared" si="30"/>
        <v>0</v>
      </c>
      <c r="U131" s="76">
        <f t="shared" si="30"/>
        <v>0</v>
      </c>
      <c r="V131" s="76">
        <f t="shared" si="30"/>
        <v>0</v>
      </c>
      <c r="W131" s="76">
        <f t="shared" si="30"/>
        <v>0</v>
      </c>
      <c r="X131" s="76">
        <f t="shared" si="30"/>
        <v>0</v>
      </c>
      <c r="Y131" s="76">
        <f t="shared" si="30"/>
        <v>0</v>
      </c>
      <c r="Z131" s="76">
        <f t="shared" si="30"/>
        <v>0</v>
      </c>
      <c r="AA131" s="76">
        <f t="shared" si="30"/>
        <v>0</v>
      </c>
      <c r="AB131" s="76">
        <f t="shared" si="30"/>
        <v>0</v>
      </c>
      <c r="AC131" s="76">
        <f t="shared" si="30"/>
        <v>0</v>
      </c>
      <c r="AD131" s="76">
        <f t="shared" si="30"/>
        <v>0</v>
      </c>
      <c r="AE131" s="76">
        <f t="shared" si="30"/>
        <v>0</v>
      </c>
      <c r="AF131" s="76">
        <f t="shared" si="30"/>
        <v>0</v>
      </c>
      <c r="AG131" s="76">
        <f t="shared" si="30"/>
        <v>0</v>
      </c>
      <c r="AH131" s="76">
        <f t="shared" si="30"/>
        <v>0</v>
      </c>
      <c r="AI131" s="76">
        <f t="shared" si="30"/>
        <v>0</v>
      </c>
      <c r="AJ131" s="76">
        <f t="shared" si="30"/>
        <v>0</v>
      </c>
      <c r="AK131" s="76">
        <f t="shared" si="30"/>
        <v>0</v>
      </c>
      <c r="AL131" s="76">
        <f t="shared" si="30"/>
        <v>0</v>
      </c>
      <c r="AM131" s="76">
        <f t="shared" si="30"/>
        <v>0</v>
      </c>
      <c r="AN131" s="76">
        <f t="shared" si="30"/>
        <v>0</v>
      </c>
      <c r="AO131" s="76">
        <f t="shared" si="30"/>
        <v>0</v>
      </c>
      <c r="AP131" s="76">
        <f t="shared" si="30"/>
        <v>0</v>
      </c>
      <c r="AQ131" s="76">
        <f t="shared" si="30"/>
        <v>0</v>
      </c>
      <c r="AR131" s="76">
        <f t="shared" si="30"/>
        <v>0</v>
      </c>
      <c r="AS131" s="76">
        <f t="shared" si="30"/>
        <v>0</v>
      </c>
      <c r="AT131" s="76">
        <f t="shared" si="30"/>
        <v>0</v>
      </c>
      <c r="AU131" s="76">
        <f t="shared" si="30"/>
        <v>0</v>
      </c>
      <c r="AV131" s="76">
        <f t="shared" si="30"/>
        <v>0</v>
      </c>
      <c r="AW131" s="76">
        <f t="shared" si="30"/>
        <v>0</v>
      </c>
      <c r="AX131" s="76">
        <f t="shared" si="30"/>
        <v>0</v>
      </c>
      <c r="AY131" s="76">
        <f t="shared" si="30"/>
        <v>0</v>
      </c>
      <c r="AZ131" s="76">
        <f t="shared" ref="AZ131:BD131" si="31">IFERROR(AZ$124*SUM(AZ142/SUM(AZ$136:AZ$142)),0)</f>
        <v>0</v>
      </c>
      <c r="BA131" s="76">
        <f t="shared" si="31"/>
        <v>0</v>
      </c>
      <c r="BB131" s="76">
        <f t="shared" si="31"/>
        <v>0</v>
      </c>
      <c r="BC131" s="76">
        <f t="shared" si="31"/>
        <v>0</v>
      </c>
      <c r="BD131" s="76">
        <f t="shared" si="31"/>
        <v>0</v>
      </c>
    </row>
    <row r="136" spans="2:56" ht="15" customHeight="1" x14ac:dyDescent="0.25">
      <c r="C136" s="103" t="s">
        <v>53</v>
      </c>
      <c r="D136" s="74" t="s">
        <v>34</v>
      </c>
      <c r="E136" s="44">
        <f>SUM(E18,E42,E64,E87,E109)</f>
        <v>0</v>
      </c>
      <c r="F136" s="44">
        <f t="shared" ref="F136:BD141" si="32">SUM(F18,F42,F64,F87,F109)</f>
        <v>0</v>
      </c>
      <c r="G136" s="44">
        <f t="shared" si="32"/>
        <v>0</v>
      </c>
      <c r="H136" s="44">
        <f t="shared" si="32"/>
        <v>0</v>
      </c>
      <c r="I136" s="44">
        <f t="shared" si="32"/>
        <v>0</v>
      </c>
      <c r="J136" s="44">
        <f t="shared" si="32"/>
        <v>0</v>
      </c>
      <c r="K136" s="44">
        <f t="shared" si="32"/>
        <v>0</v>
      </c>
      <c r="L136" s="44">
        <f t="shared" si="32"/>
        <v>0</v>
      </c>
      <c r="M136" s="44">
        <f t="shared" si="32"/>
        <v>0</v>
      </c>
      <c r="N136" s="44">
        <f t="shared" si="32"/>
        <v>0</v>
      </c>
      <c r="O136" s="44">
        <f t="shared" si="32"/>
        <v>0</v>
      </c>
      <c r="P136" s="44">
        <f t="shared" si="32"/>
        <v>0</v>
      </c>
      <c r="Q136" s="44">
        <f t="shared" si="32"/>
        <v>0</v>
      </c>
      <c r="R136" s="44">
        <f t="shared" si="32"/>
        <v>0</v>
      </c>
      <c r="S136" s="44">
        <f t="shared" si="32"/>
        <v>0</v>
      </c>
      <c r="T136" s="44">
        <f t="shared" si="32"/>
        <v>0</v>
      </c>
      <c r="U136" s="44">
        <f t="shared" si="32"/>
        <v>0</v>
      </c>
      <c r="V136" s="44">
        <f t="shared" si="32"/>
        <v>0</v>
      </c>
      <c r="W136" s="44">
        <f t="shared" si="32"/>
        <v>0</v>
      </c>
      <c r="X136" s="44">
        <f t="shared" si="32"/>
        <v>0</v>
      </c>
      <c r="Y136" s="44">
        <f t="shared" si="32"/>
        <v>0</v>
      </c>
      <c r="Z136" s="44">
        <f t="shared" si="32"/>
        <v>0</v>
      </c>
      <c r="AA136" s="44">
        <f t="shared" si="32"/>
        <v>0</v>
      </c>
      <c r="AB136" s="44">
        <f t="shared" si="32"/>
        <v>0</v>
      </c>
      <c r="AC136" s="44">
        <f t="shared" si="32"/>
        <v>0</v>
      </c>
      <c r="AD136" s="44">
        <f t="shared" si="32"/>
        <v>0</v>
      </c>
      <c r="AE136" s="44">
        <f t="shared" si="32"/>
        <v>0</v>
      </c>
      <c r="AF136" s="44">
        <f t="shared" si="32"/>
        <v>0</v>
      </c>
      <c r="AG136" s="44">
        <f t="shared" si="32"/>
        <v>0</v>
      </c>
      <c r="AH136" s="44">
        <f t="shared" si="32"/>
        <v>0</v>
      </c>
      <c r="AI136" s="44">
        <f t="shared" si="32"/>
        <v>0</v>
      </c>
      <c r="AJ136" s="44">
        <f t="shared" si="32"/>
        <v>0</v>
      </c>
      <c r="AK136" s="44">
        <f t="shared" si="32"/>
        <v>0</v>
      </c>
      <c r="AL136" s="44">
        <f t="shared" si="32"/>
        <v>0</v>
      </c>
      <c r="AM136" s="44">
        <f t="shared" si="32"/>
        <v>0</v>
      </c>
      <c r="AN136" s="44">
        <f t="shared" si="32"/>
        <v>0</v>
      </c>
      <c r="AO136" s="44">
        <f t="shared" si="32"/>
        <v>0</v>
      </c>
      <c r="AP136" s="44">
        <f t="shared" si="32"/>
        <v>0</v>
      </c>
      <c r="AQ136" s="44">
        <f t="shared" si="32"/>
        <v>0</v>
      </c>
      <c r="AR136" s="44">
        <f t="shared" si="32"/>
        <v>0</v>
      </c>
      <c r="AS136" s="44">
        <f t="shared" si="32"/>
        <v>0</v>
      </c>
      <c r="AT136" s="44">
        <f t="shared" si="32"/>
        <v>0</v>
      </c>
      <c r="AU136" s="44">
        <f t="shared" si="32"/>
        <v>0</v>
      </c>
      <c r="AV136" s="44">
        <f t="shared" si="32"/>
        <v>0</v>
      </c>
      <c r="AW136" s="44">
        <f t="shared" si="32"/>
        <v>0</v>
      </c>
      <c r="AX136" s="44">
        <f t="shared" si="32"/>
        <v>0</v>
      </c>
      <c r="AY136" s="44">
        <f t="shared" si="32"/>
        <v>0</v>
      </c>
      <c r="AZ136" s="44">
        <f t="shared" si="32"/>
        <v>0</v>
      </c>
      <c r="BA136" s="44">
        <f t="shared" si="32"/>
        <v>0</v>
      </c>
      <c r="BB136" s="44">
        <f t="shared" si="32"/>
        <v>0</v>
      </c>
      <c r="BC136" s="44">
        <f t="shared" si="32"/>
        <v>0</v>
      </c>
      <c r="BD136" s="44">
        <f t="shared" si="32"/>
        <v>0</v>
      </c>
    </row>
    <row r="137" spans="2:56" ht="15" customHeight="1" x14ac:dyDescent="0.25">
      <c r="C137" s="103"/>
      <c r="D137" s="74" t="s">
        <v>35</v>
      </c>
      <c r="E137" s="44">
        <f t="shared" ref="E137:T143" si="33">SUM(E19,E43,E65,E88,E110)</f>
        <v>0</v>
      </c>
      <c r="F137" s="44">
        <f t="shared" si="33"/>
        <v>0</v>
      </c>
      <c r="G137" s="44">
        <f t="shared" si="33"/>
        <v>0</v>
      </c>
      <c r="H137" s="44">
        <f t="shared" si="33"/>
        <v>0</v>
      </c>
      <c r="I137" s="44">
        <f t="shared" si="33"/>
        <v>0</v>
      </c>
      <c r="J137" s="44">
        <f t="shared" si="33"/>
        <v>0</v>
      </c>
      <c r="K137" s="44">
        <f t="shared" si="33"/>
        <v>0</v>
      </c>
      <c r="L137" s="44">
        <f t="shared" si="33"/>
        <v>0</v>
      </c>
      <c r="M137" s="44">
        <f t="shared" si="33"/>
        <v>0</v>
      </c>
      <c r="N137" s="44">
        <f t="shared" si="33"/>
        <v>0</v>
      </c>
      <c r="O137" s="44">
        <f t="shared" si="33"/>
        <v>0</v>
      </c>
      <c r="P137" s="44">
        <f t="shared" si="33"/>
        <v>0</v>
      </c>
      <c r="Q137" s="44">
        <f t="shared" si="33"/>
        <v>0</v>
      </c>
      <c r="R137" s="44">
        <f t="shared" si="33"/>
        <v>0</v>
      </c>
      <c r="S137" s="44">
        <f t="shared" si="33"/>
        <v>0</v>
      </c>
      <c r="T137" s="44">
        <f t="shared" si="33"/>
        <v>0</v>
      </c>
      <c r="U137" s="44">
        <f t="shared" si="32"/>
        <v>0</v>
      </c>
      <c r="V137" s="44">
        <f t="shared" si="32"/>
        <v>0</v>
      </c>
      <c r="W137" s="44">
        <f t="shared" si="32"/>
        <v>0</v>
      </c>
      <c r="X137" s="44">
        <f t="shared" si="32"/>
        <v>0</v>
      </c>
      <c r="Y137" s="44">
        <f t="shared" si="32"/>
        <v>0</v>
      </c>
      <c r="Z137" s="44">
        <f t="shared" si="32"/>
        <v>0</v>
      </c>
      <c r="AA137" s="44">
        <f t="shared" si="32"/>
        <v>0</v>
      </c>
      <c r="AB137" s="44">
        <f t="shared" si="32"/>
        <v>0</v>
      </c>
      <c r="AC137" s="44">
        <f t="shared" si="32"/>
        <v>0</v>
      </c>
      <c r="AD137" s="44">
        <f t="shared" si="32"/>
        <v>0</v>
      </c>
      <c r="AE137" s="44">
        <f t="shared" si="32"/>
        <v>0</v>
      </c>
      <c r="AF137" s="44">
        <f t="shared" si="32"/>
        <v>0</v>
      </c>
      <c r="AG137" s="44">
        <f t="shared" si="32"/>
        <v>0</v>
      </c>
      <c r="AH137" s="44">
        <f t="shared" si="32"/>
        <v>0</v>
      </c>
      <c r="AI137" s="44">
        <f t="shared" si="32"/>
        <v>0</v>
      </c>
      <c r="AJ137" s="44">
        <f t="shared" si="32"/>
        <v>0</v>
      </c>
      <c r="AK137" s="44">
        <f t="shared" si="32"/>
        <v>0</v>
      </c>
      <c r="AL137" s="44">
        <f t="shared" si="32"/>
        <v>0</v>
      </c>
      <c r="AM137" s="44">
        <f t="shared" si="32"/>
        <v>0</v>
      </c>
      <c r="AN137" s="44">
        <f t="shared" si="32"/>
        <v>0</v>
      </c>
      <c r="AO137" s="44">
        <f t="shared" si="32"/>
        <v>0</v>
      </c>
      <c r="AP137" s="44">
        <f t="shared" si="32"/>
        <v>0</v>
      </c>
      <c r="AQ137" s="44">
        <f t="shared" si="32"/>
        <v>0</v>
      </c>
      <c r="AR137" s="44">
        <f t="shared" si="32"/>
        <v>0</v>
      </c>
      <c r="AS137" s="44">
        <f t="shared" si="32"/>
        <v>0</v>
      </c>
      <c r="AT137" s="44">
        <f t="shared" si="32"/>
        <v>0</v>
      </c>
      <c r="AU137" s="44">
        <f t="shared" si="32"/>
        <v>0</v>
      </c>
      <c r="AV137" s="44">
        <f t="shared" si="32"/>
        <v>0</v>
      </c>
      <c r="AW137" s="44">
        <f t="shared" si="32"/>
        <v>0</v>
      </c>
      <c r="AX137" s="44">
        <f t="shared" si="32"/>
        <v>0</v>
      </c>
      <c r="AY137" s="44">
        <f t="shared" si="32"/>
        <v>0</v>
      </c>
      <c r="AZ137" s="44">
        <f t="shared" si="32"/>
        <v>0</v>
      </c>
      <c r="BA137" s="44">
        <f t="shared" si="32"/>
        <v>0</v>
      </c>
      <c r="BB137" s="44">
        <f t="shared" si="32"/>
        <v>0</v>
      </c>
      <c r="BC137" s="44">
        <f t="shared" si="32"/>
        <v>0</v>
      </c>
      <c r="BD137" s="44">
        <f t="shared" si="32"/>
        <v>0</v>
      </c>
    </row>
    <row r="138" spans="2:56" x14ac:dyDescent="0.25">
      <c r="C138" s="103"/>
      <c r="D138" s="74" t="s">
        <v>36</v>
      </c>
      <c r="E138" s="44">
        <f t="shared" si="33"/>
        <v>0</v>
      </c>
      <c r="F138" s="44">
        <f t="shared" si="32"/>
        <v>0</v>
      </c>
      <c r="G138" s="44">
        <f t="shared" si="32"/>
        <v>0</v>
      </c>
      <c r="H138" s="44">
        <f t="shared" si="32"/>
        <v>0</v>
      </c>
      <c r="I138" s="44">
        <f t="shared" si="32"/>
        <v>0</v>
      </c>
      <c r="J138" s="44">
        <f t="shared" si="32"/>
        <v>0</v>
      </c>
      <c r="K138" s="44">
        <f t="shared" si="32"/>
        <v>0</v>
      </c>
      <c r="L138" s="44">
        <f t="shared" si="32"/>
        <v>0</v>
      </c>
      <c r="M138" s="44">
        <f t="shared" si="32"/>
        <v>0</v>
      </c>
      <c r="N138" s="44">
        <f t="shared" si="32"/>
        <v>0</v>
      </c>
      <c r="O138" s="44">
        <f t="shared" si="32"/>
        <v>0</v>
      </c>
      <c r="P138" s="44">
        <f t="shared" si="32"/>
        <v>0</v>
      </c>
      <c r="Q138" s="44">
        <f t="shared" si="32"/>
        <v>0</v>
      </c>
      <c r="R138" s="44">
        <f t="shared" si="32"/>
        <v>0</v>
      </c>
      <c r="S138" s="44">
        <f t="shared" si="32"/>
        <v>0</v>
      </c>
      <c r="T138" s="44">
        <f t="shared" si="32"/>
        <v>0</v>
      </c>
      <c r="U138" s="44">
        <f t="shared" si="32"/>
        <v>0</v>
      </c>
      <c r="V138" s="44">
        <f t="shared" si="32"/>
        <v>0</v>
      </c>
      <c r="W138" s="44">
        <f t="shared" si="32"/>
        <v>0</v>
      </c>
      <c r="X138" s="44">
        <f t="shared" si="32"/>
        <v>0</v>
      </c>
      <c r="Y138" s="44">
        <f t="shared" si="32"/>
        <v>0</v>
      </c>
      <c r="Z138" s="44">
        <f t="shared" si="32"/>
        <v>0</v>
      </c>
      <c r="AA138" s="44">
        <f t="shared" si="32"/>
        <v>0</v>
      </c>
      <c r="AB138" s="44">
        <f t="shared" si="32"/>
        <v>0</v>
      </c>
      <c r="AC138" s="44">
        <f t="shared" si="32"/>
        <v>0</v>
      </c>
      <c r="AD138" s="44">
        <f t="shared" si="32"/>
        <v>0</v>
      </c>
      <c r="AE138" s="44">
        <f t="shared" si="32"/>
        <v>0</v>
      </c>
      <c r="AF138" s="44">
        <f t="shared" si="32"/>
        <v>0</v>
      </c>
      <c r="AG138" s="44">
        <f t="shared" si="32"/>
        <v>0</v>
      </c>
      <c r="AH138" s="44">
        <f t="shared" si="32"/>
        <v>0</v>
      </c>
      <c r="AI138" s="44">
        <f t="shared" si="32"/>
        <v>0</v>
      </c>
      <c r="AJ138" s="44">
        <f t="shared" si="32"/>
        <v>0</v>
      </c>
      <c r="AK138" s="44">
        <f t="shared" si="32"/>
        <v>0</v>
      </c>
      <c r="AL138" s="44">
        <f t="shared" si="32"/>
        <v>0</v>
      </c>
      <c r="AM138" s="44">
        <f t="shared" si="32"/>
        <v>0</v>
      </c>
      <c r="AN138" s="44">
        <f t="shared" si="32"/>
        <v>0</v>
      </c>
      <c r="AO138" s="44">
        <f t="shared" si="32"/>
        <v>0</v>
      </c>
      <c r="AP138" s="44">
        <f t="shared" si="32"/>
        <v>0</v>
      </c>
      <c r="AQ138" s="44">
        <f t="shared" si="32"/>
        <v>0</v>
      </c>
      <c r="AR138" s="44">
        <f t="shared" si="32"/>
        <v>0</v>
      </c>
      <c r="AS138" s="44">
        <f t="shared" si="32"/>
        <v>0</v>
      </c>
      <c r="AT138" s="44">
        <f t="shared" si="32"/>
        <v>0</v>
      </c>
      <c r="AU138" s="44">
        <f t="shared" si="32"/>
        <v>0</v>
      </c>
      <c r="AV138" s="44">
        <f t="shared" si="32"/>
        <v>0</v>
      </c>
      <c r="AW138" s="44">
        <f t="shared" si="32"/>
        <v>0</v>
      </c>
      <c r="AX138" s="44">
        <f t="shared" si="32"/>
        <v>0</v>
      </c>
      <c r="AY138" s="44">
        <f t="shared" si="32"/>
        <v>0</v>
      </c>
      <c r="AZ138" s="44">
        <f t="shared" si="32"/>
        <v>0</v>
      </c>
      <c r="BA138" s="44">
        <f t="shared" si="32"/>
        <v>0</v>
      </c>
      <c r="BB138" s="44">
        <f t="shared" si="32"/>
        <v>0</v>
      </c>
      <c r="BC138" s="44">
        <f t="shared" si="32"/>
        <v>0</v>
      </c>
      <c r="BD138" s="44">
        <f t="shared" si="32"/>
        <v>0</v>
      </c>
    </row>
    <row r="139" spans="2:56" x14ac:dyDescent="0.25">
      <c r="C139" s="103"/>
      <c r="D139" s="74" t="s">
        <v>37</v>
      </c>
      <c r="E139" s="44">
        <f t="shared" si="33"/>
        <v>0</v>
      </c>
      <c r="F139" s="44">
        <f t="shared" si="32"/>
        <v>0</v>
      </c>
      <c r="G139" s="44">
        <f t="shared" si="32"/>
        <v>0</v>
      </c>
      <c r="H139" s="44">
        <f t="shared" si="32"/>
        <v>0</v>
      </c>
      <c r="I139" s="44">
        <f t="shared" si="32"/>
        <v>0</v>
      </c>
      <c r="J139" s="44">
        <f t="shared" si="32"/>
        <v>0</v>
      </c>
      <c r="K139" s="44">
        <f t="shared" si="32"/>
        <v>0</v>
      </c>
      <c r="L139" s="44">
        <f t="shared" si="32"/>
        <v>0</v>
      </c>
      <c r="M139" s="44">
        <f t="shared" si="32"/>
        <v>0</v>
      </c>
      <c r="N139" s="44">
        <f t="shared" si="32"/>
        <v>0</v>
      </c>
      <c r="O139" s="44">
        <f t="shared" si="32"/>
        <v>0</v>
      </c>
      <c r="P139" s="44">
        <f t="shared" si="32"/>
        <v>0</v>
      </c>
      <c r="Q139" s="44">
        <f t="shared" si="32"/>
        <v>0</v>
      </c>
      <c r="R139" s="44">
        <f t="shared" si="32"/>
        <v>0</v>
      </c>
      <c r="S139" s="44">
        <f t="shared" si="32"/>
        <v>0</v>
      </c>
      <c r="T139" s="44">
        <f t="shared" si="32"/>
        <v>0</v>
      </c>
      <c r="U139" s="44">
        <f t="shared" si="32"/>
        <v>0</v>
      </c>
      <c r="V139" s="44">
        <f t="shared" si="32"/>
        <v>0</v>
      </c>
      <c r="W139" s="44">
        <f t="shared" si="32"/>
        <v>0</v>
      </c>
      <c r="X139" s="44">
        <f t="shared" si="32"/>
        <v>0</v>
      </c>
      <c r="Y139" s="44">
        <f t="shared" si="32"/>
        <v>0</v>
      </c>
      <c r="Z139" s="44">
        <f t="shared" si="32"/>
        <v>0</v>
      </c>
      <c r="AA139" s="44">
        <f t="shared" si="32"/>
        <v>0</v>
      </c>
      <c r="AB139" s="44">
        <f t="shared" si="32"/>
        <v>0</v>
      </c>
      <c r="AC139" s="44">
        <f t="shared" si="32"/>
        <v>0</v>
      </c>
      <c r="AD139" s="44">
        <f t="shared" si="32"/>
        <v>0</v>
      </c>
      <c r="AE139" s="44">
        <f t="shared" si="32"/>
        <v>0</v>
      </c>
      <c r="AF139" s="44">
        <f t="shared" si="32"/>
        <v>0</v>
      </c>
      <c r="AG139" s="44">
        <f t="shared" si="32"/>
        <v>0</v>
      </c>
      <c r="AH139" s="44">
        <f t="shared" si="32"/>
        <v>0</v>
      </c>
      <c r="AI139" s="44">
        <f t="shared" si="32"/>
        <v>0</v>
      </c>
      <c r="AJ139" s="44">
        <f t="shared" si="32"/>
        <v>0</v>
      </c>
      <c r="AK139" s="44">
        <f t="shared" si="32"/>
        <v>0</v>
      </c>
      <c r="AL139" s="44">
        <f t="shared" si="32"/>
        <v>0</v>
      </c>
      <c r="AM139" s="44">
        <f t="shared" si="32"/>
        <v>0</v>
      </c>
      <c r="AN139" s="44">
        <f t="shared" si="32"/>
        <v>0</v>
      </c>
      <c r="AO139" s="44">
        <f t="shared" si="32"/>
        <v>0</v>
      </c>
      <c r="AP139" s="44">
        <f t="shared" si="32"/>
        <v>0</v>
      </c>
      <c r="AQ139" s="44">
        <f t="shared" si="32"/>
        <v>0</v>
      </c>
      <c r="AR139" s="44">
        <f t="shared" si="32"/>
        <v>0</v>
      </c>
      <c r="AS139" s="44">
        <f t="shared" si="32"/>
        <v>0</v>
      </c>
      <c r="AT139" s="44">
        <f t="shared" si="32"/>
        <v>0</v>
      </c>
      <c r="AU139" s="44">
        <f t="shared" si="32"/>
        <v>0</v>
      </c>
      <c r="AV139" s="44">
        <f t="shared" si="32"/>
        <v>0</v>
      </c>
      <c r="AW139" s="44">
        <f t="shared" si="32"/>
        <v>0</v>
      </c>
      <c r="AX139" s="44">
        <f t="shared" si="32"/>
        <v>0</v>
      </c>
      <c r="AY139" s="44">
        <f t="shared" si="32"/>
        <v>0</v>
      </c>
      <c r="AZ139" s="44">
        <f t="shared" si="32"/>
        <v>0</v>
      </c>
      <c r="BA139" s="44">
        <f t="shared" si="32"/>
        <v>0</v>
      </c>
      <c r="BB139" s="44">
        <f t="shared" si="32"/>
        <v>0</v>
      </c>
      <c r="BC139" s="44">
        <f t="shared" si="32"/>
        <v>0</v>
      </c>
      <c r="BD139" s="44">
        <f t="shared" si="32"/>
        <v>0</v>
      </c>
    </row>
    <row r="140" spans="2:56" x14ac:dyDescent="0.25">
      <c r="C140" s="103"/>
      <c r="D140" s="74" t="s">
        <v>38</v>
      </c>
      <c r="E140" s="44">
        <f t="shared" si="33"/>
        <v>0</v>
      </c>
      <c r="F140" s="44">
        <f t="shared" si="32"/>
        <v>0</v>
      </c>
      <c r="G140" s="44">
        <f t="shared" si="32"/>
        <v>0</v>
      </c>
      <c r="H140" s="44">
        <f t="shared" si="32"/>
        <v>0</v>
      </c>
      <c r="I140" s="44">
        <f t="shared" si="32"/>
        <v>0</v>
      </c>
      <c r="J140" s="44">
        <f t="shared" si="32"/>
        <v>0</v>
      </c>
      <c r="K140" s="44">
        <f t="shared" si="32"/>
        <v>0</v>
      </c>
      <c r="L140" s="44">
        <f t="shared" si="32"/>
        <v>0</v>
      </c>
      <c r="M140" s="44">
        <f t="shared" si="32"/>
        <v>0</v>
      </c>
      <c r="N140" s="44">
        <f t="shared" si="32"/>
        <v>0</v>
      </c>
      <c r="O140" s="44">
        <f t="shared" si="32"/>
        <v>0</v>
      </c>
      <c r="P140" s="44">
        <f t="shared" si="32"/>
        <v>0</v>
      </c>
      <c r="Q140" s="44">
        <f t="shared" si="32"/>
        <v>0</v>
      </c>
      <c r="R140" s="44">
        <f t="shared" si="32"/>
        <v>0</v>
      </c>
      <c r="S140" s="44">
        <f t="shared" si="32"/>
        <v>0</v>
      </c>
      <c r="T140" s="44">
        <f t="shared" si="32"/>
        <v>0</v>
      </c>
      <c r="U140" s="44">
        <f t="shared" si="32"/>
        <v>0</v>
      </c>
      <c r="V140" s="44">
        <f t="shared" si="32"/>
        <v>0</v>
      </c>
      <c r="W140" s="44">
        <f t="shared" si="32"/>
        <v>0</v>
      </c>
      <c r="X140" s="44">
        <f t="shared" si="32"/>
        <v>0</v>
      </c>
      <c r="Y140" s="44">
        <f t="shared" si="32"/>
        <v>0</v>
      </c>
      <c r="Z140" s="44">
        <f t="shared" si="32"/>
        <v>0</v>
      </c>
      <c r="AA140" s="44">
        <f t="shared" si="32"/>
        <v>0</v>
      </c>
      <c r="AB140" s="44">
        <f t="shared" si="32"/>
        <v>0</v>
      </c>
      <c r="AC140" s="44">
        <f t="shared" si="32"/>
        <v>0</v>
      </c>
      <c r="AD140" s="44">
        <f t="shared" si="32"/>
        <v>0</v>
      </c>
      <c r="AE140" s="44">
        <f t="shared" si="32"/>
        <v>0</v>
      </c>
      <c r="AF140" s="44">
        <f t="shared" si="32"/>
        <v>0</v>
      </c>
      <c r="AG140" s="44">
        <f t="shared" si="32"/>
        <v>0</v>
      </c>
      <c r="AH140" s="44">
        <f t="shared" si="32"/>
        <v>0</v>
      </c>
      <c r="AI140" s="44">
        <f t="shared" si="32"/>
        <v>0</v>
      </c>
      <c r="AJ140" s="44">
        <f t="shared" si="32"/>
        <v>0</v>
      </c>
      <c r="AK140" s="44">
        <f t="shared" si="32"/>
        <v>0</v>
      </c>
      <c r="AL140" s="44">
        <f t="shared" si="32"/>
        <v>0</v>
      </c>
      <c r="AM140" s="44">
        <f t="shared" si="32"/>
        <v>0</v>
      </c>
      <c r="AN140" s="44">
        <f t="shared" si="32"/>
        <v>0</v>
      </c>
      <c r="AO140" s="44">
        <f t="shared" si="32"/>
        <v>0</v>
      </c>
      <c r="AP140" s="44">
        <f t="shared" si="32"/>
        <v>0</v>
      </c>
      <c r="AQ140" s="44">
        <f t="shared" si="32"/>
        <v>0</v>
      </c>
      <c r="AR140" s="44">
        <f t="shared" si="32"/>
        <v>0</v>
      </c>
      <c r="AS140" s="44">
        <f t="shared" si="32"/>
        <v>0</v>
      </c>
      <c r="AT140" s="44">
        <f t="shared" si="32"/>
        <v>0</v>
      </c>
      <c r="AU140" s="44">
        <f t="shared" si="32"/>
        <v>0</v>
      </c>
      <c r="AV140" s="44">
        <f t="shared" si="32"/>
        <v>0</v>
      </c>
      <c r="AW140" s="44">
        <f t="shared" si="32"/>
        <v>0</v>
      </c>
      <c r="AX140" s="44">
        <f t="shared" si="32"/>
        <v>0</v>
      </c>
      <c r="AY140" s="44">
        <f t="shared" si="32"/>
        <v>0</v>
      </c>
      <c r="AZ140" s="44">
        <f t="shared" si="32"/>
        <v>0</v>
      </c>
      <c r="BA140" s="44">
        <f t="shared" si="32"/>
        <v>0</v>
      </c>
      <c r="BB140" s="44">
        <f t="shared" si="32"/>
        <v>0</v>
      </c>
      <c r="BC140" s="44">
        <f t="shared" si="32"/>
        <v>0</v>
      </c>
      <c r="BD140" s="44">
        <f t="shared" si="32"/>
        <v>0</v>
      </c>
    </row>
    <row r="141" spans="2:56" x14ac:dyDescent="0.25">
      <c r="C141" s="103"/>
      <c r="D141" s="74" t="s">
        <v>39</v>
      </c>
      <c r="E141" s="44">
        <f t="shared" si="33"/>
        <v>0</v>
      </c>
      <c r="F141" s="44">
        <f t="shared" si="32"/>
        <v>0</v>
      </c>
      <c r="G141" s="44">
        <f t="shared" si="32"/>
        <v>0</v>
      </c>
      <c r="H141" s="44">
        <f t="shared" si="32"/>
        <v>0</v>
      </c>
      <c r="I141" s="44">
        <f t="shared" si="32"/>
        <v>0</v>
      </c>
      <c r="J141" s="44">
        <f t="shared" si="32"/>
        <v>0</v>
      </c>
      <c r="K141" s="44">
        <f t="shared" si="32"/>
        <v>0</v>
      </c>
      <c r="L141" s="44">
        <f t="shared" si="32"/>
        <v>0</v>
      </c>
      <c r="M141" s="44">
        <f t="shared" si="32"/>
        <v>0</v>
      </c>
      <c r="N141" s="44">
        <f t="shared" si="32"/>
        <v>0</v>
      </c>
      <c r="O141" s="44">
        <f t="shared" si="32"/>
        <v>0</v>
      </c>
      <c r="P141" s="44">
        <f t="shared" si="32"/>
        <v>0</v>
      </c>
      <c r="Q141" s="44">
        <f t="shared" si="32"/>
        <v>0</v>
      </c>
      <c r="R141" s="44">
        <f t="shared" si="32"/>
        <v>0</v>
      </c>
      <c r="S141" s="44">
        <f t="shared" si="32"/>
        <v>0</v>
      </c>
      <c r="T141" s="44">
        <f t="shared" si="32"/>
        <v>0</v>
      </c>
      <c r="U141" s="44">
        <f t="shared" ref="U141:BD143" si="34">SUM(U23,U47,U69,U92,U114)</f>
        <v>0</v>
      </c>
      <c r="V141" s="44">
        <f t="shared" si="34"/>
        <v>0</v>
      </c>
      <c r="W141" s="44">
        <f t="shared" si="34"/>
        <v>0</v>
      </c>
      <c r="X141" s="44">
        <f t="shared" si="34"/>
        <v>0</v>
      </c>
      <c r="Y141" s="44">
        <f t="shared" si="34"/>
        <v>0</v>
      </c>
      <c r="Z141" s="44">
        <f t="shared" si="34"/>
        <v>0</v>
      </c>
      <c r="AA141" s="44">
        <f t="shared" si="34"/>
        <v>0</v>
      </c>
      <c r="AB141" s="44">
        <f t="shared" si="34"/>
        <v>0</v>
      </c>
      <c r="AC141" s="44">
        <f t="shared" si="34"/>
        <v>0</v>
      </c>
      <c r="AD141" s="44">
        <f t="shared" si="34"/>
        <v>0</v>
      </c>
      <c r="AE141" s="44">
        <f t="shared" si="34"/>
        <v>0</v>
      </c>
      <c r="AF141" s="44">
        <f t="shared" si="34"/>
        <v>0</v>
      </c>
      <c r="AG141" s="44">
        <f t="shared" si="34"/>
        <v>0</v>
      </c>
      <c r="AH141" s="44">
        <f t="shared" si="34"/>
        <v>0</v>
      </c>
      <c r="AI141" s="44">
        <f t="shared" si="34"/>
        <v>0</v>
      </c>
      <c r="AJ141" s="44">
        <f t="shared" si="34"/>
        <v>0</v>
      </c>
      <c r="AK141" s="44">
        <f t="shared" si="34"/>
        <v>0</v>
      </c>
      <c r="AL141" s="44">
        <f t="shared" si="34"/>
        <v>0</v>
      </c>
      <c r="AM141" s="44">
        <f t="shared" si="34"/>
        <v>0</v>
      </c>
      <c r="AN141" s="44">
        <f t="shared" si="34"/>
        <v>0</v>
      </c>
      <c r="AO141" s="44">
        <f t="shared" si="34"/>
        <v>0</v>
      </c>
      <c r="AP141" s="44">
        <f t="shared" si="34"/>
        <v>0</v>
      </c>
      <c r="AQ141" s="44">
        <f t="shared" si="34"/>
        <v>0</v>
      </c>
      <c r="AR141" s="44">
        <f t="shared" si="34"/>
        <v>0</v>
      </c>
      <c r="AS141" s="44">
        <f t="shared" si="34"/>
        <v>0</v>
      </c>
      <c r="AT141" s="44">
        <f t="shared" si="34"/>
        <v>0</v>
      </c>
      <c r="AU141" s="44">
        <f t="shared" si="34"/>
        <v>0</v>
      </c>
      <c r="AV141" s="44">
        <f t="shared" si="34"/>
        <v>0</v>
      </c>
      <c r="AW141" s="44">
        <f t="shared" si="34"/>
        <v>0</v>
      </c>
      <c r="AX141" s="44">
        <f t="shared" si="34"/>
        <v>0</v>
      </c>
      <c r="AY141" s="44">
        <f t="shared" si="34"/>
        <v>0</v>
      </c>
      <c r="AZ141" s="44">
        <f t="shared" si="34"/>
        <v>0</v>
      </c>
      <c r="BA141" s="44">
        <f t="shared" si="34"/>
        <v>0</v>
      </c>
      <c r="BB141" s="44">
        <f t="shared" si="34"/>
        <v>0</v>
      </c>
      <c r="BC141" s="44">
        <f t="shared" si="34"/>
        <v>0</v>
      </c>
      <c r="BD141" s="44">
        <f t="shared" si="34"/>
        <v>0</v>
      </c>
    </row>
    <row r="142" spans="2:56" x14ac:dyDescent="0.25">
      <c r="C142" s="103"/>
      <c r="D142" s="74" t="s">
        <v>40</v>
      </c>
      <c r="E142" s="44">
        <f t="shared" si="33"/>
        <v>0</v>
      </c>
      <c r="F142" s="44">
        <f t="shared" si="33"/>
        <v>0</v>
      </c>
      <c r="G142" s="44">
        <f t="shared" si="33"/>
        <v>0</v>
      </c>
      <c r="H142" s="44">
        <f t="shared" si="33"/>
        <v>0</v>
      </c>
      <c r="I142" s="44">
        <f t="shared" si="33"/>
        <v>0</v>
      </c>
      <c r="J142" s="44">
        <f t="shared" si="33"/>
        <v>0</v>
      </c>
      <c r="K142" s="44">
        <f t="shared" si="33"/>
        <v>0</v>
      </c>
      <c r="L142" s="44">
        <f t="shared" si="33"/>
        <v>0</v>
      </c>
      <c r="M142" s="44">
        <f t="shared" si="33"/>
        <v>0</v>
      </c>
      <c r="N142" s="44">
        <f t="shared" si="33"/>
        <v>0</v>
      </c>
      <c r="O142" s="44">
        <f t="shared" si="33"/>
        <v>0</v>
      </c>
      <c r="P142" s="44">
        <f t="shared" si="33"/>
        <v>0</v>
      </c>
      <c r="Q142" s="44">
        <f t="shared" si="33"/>
        <v>0</v>
      </c>
      <c r="R142" s="44">
        <f t="shared" si="33"/>
        <v>0</v>
      </c>
      <c r="S142" s="44">
        <f t="shared" si="33"/>
        <v>0</v>
      </c>
      <c r="T142" s="44">
        <f t="shared" si="33"/>
        <v>0</v>
      </c>
      <c r="U142" s="44">
        <f t="shared" si="34"/>
        <v>0</v>
      </c>
      <c r="V142" s="44">
        <f t="shared" si="34"/>
        <v>0</v>
      </c>
      <c r="W142" s="44">
        <f t="shared" si="34"/>
        <v>0</v>
      </c>
      <c r="X142" s="44">
        <f t="shared" si="34"/>
        <v>0</v>
      </c>
      <c r="Y142" s="44">
        <f t="shared" si="34"/>
        <v>0</v>
      </c>
      <c r="Z142" s="44">
        <f t="shared" si="34"/>
        <v>0</v>
      </c>
      <c r="AA142" s="44">
        <f t="shared" si="34"/>
        <v>0</v>
      </c>
      <c r="AB142" s="44">
        <f t="shared" si="34"/>
        <v>0</v>
      </c>
      <c r="AC142" s="44">
        <f t="shared" si="34"/>
        <v>0</v>
      </c>
      <c r="AD142" s="44">
        <f t="shared" si="34"/>
        <v>0</v>
      </c>
      <c r="AE142" s="44">
        <f t="shared" si="34"/>
        <v>0</v>
      </c>
      <c r="AF142" s="44">
        <f t="shared" si="34"/>
        <v>0</v>
      </c>
      <c r="AG142" s="44">
        <f t="shared" si="34"/>
        <v>0</v>
      </c>
      <c r="AH142" s="44">
        <f t="shared" si="34"/>
        <v>0</v>
      </c>
      <c r="AI142" s="44">
        <f t="shared" si="34"/>
        <v>0</v>
      </c>
      <c r="AJ142" s="44">
        <f t="shared" si="34"/>
        <v>0</v>
      </c>
      <c r="AK142" s="44">
        <f t="shared" si="34"/>
        <v>0</v>
      </c>
      <c r="AL142" s="44">
        <f t="shared" si="34"/>
        <v>0</v>
      </c>
      <c r="AM142" s="44">
        <f t="shared" si="34"/>
        <v>0</v>
      </c>
      <c r="AN142" s="44">
        <f t="shared" si="34"/>
        <v>0</v>
      </c>
      <c r="AO142" s="44">
        <f t="shared" si="34"/>
        <v>0</v>
      </c>
      <c r="AP142" s="44">
        <f t="shared" si="34"/>
        <v>0</v>
      </c>
      <c r="AQ142" s="44">
        <f t="shared" si="34"/>
        <v>0</v>
      </c>
      <c r="AR142" s="44">
        <f t="shared" si="34"/>
        <v>0</v>
      </c>
      <c r="AS142" s="44">
        <f t="shared" si="34"/>
        <v>0</v>
      </c>
      <c r="AT142" s="44">
        <f t="shared" si="34"/>
        <v>0</v>
      </c>
      <c r="AU142" s="44">
        <f t="shared" si="34"/>
        <v>0</v>
      </c>
      <c r="AV142" s="44">
        <f t="shared" si="34"/>
        <v>0</v>
      </c>
      <c r="AW142" s="44">
        <f t="shared" si="34"/>
        <v>0</v>
      </c>
      <c r="AX142" s="44">
        <f t="shared" si="34"/>
        <v>0</v>
      </c>
      <c r="AY142" s="44">
        <f t="shared" si="34"/>
        <v>0</v>
      </c>
      <c r="AZ142" s="44">
        <f t="shared" si="34"/>
        <v>0</v>
      </c>
      <c r="BA142" s="44">
        <f t="shared" si="34"/>
        <v>0</v>
      </c>
      <c r="BB142" s="44">
        <f t="shared" si="34"/>
        <v>0</v>
      </c>
      <c r="BC142" s="44">
        <f t="shared" si="34"/>
        <v>0</v>
      </c>
      <c r="BD142" s="44">
        <f t="shared" si="34"/>
        <v>0</v>
      </c>
    </row>
    <row r="143" spans="2:56" x14ac:dyDescent="0.25">
      <c r="D143" s="75" t="s">
        <v>41</v>
      </c>
      <c r="E143" s="44">
        <f t="shared" si="33"/>
        <v>0</v>
      </c>
      <c r="F143" s="44">
        <f t="shared" si="33"/>
        <v>0</v>
      </c>
      <c r="G143" s="44">
        <f t="shared" si="33"/>
        <v>0</v>
      </c>
      <c r="H143" s="44">
        <f t="shared" si="33"/>
        <v>0</v>
      </c>
      <c r="I143" s="44">
        <f t="shared" si="33"/>
        <v>0</v>
      </c>
      <c r="J143" s="44">
        <f t="shared" si="33"/>
        <v>0</v>
      </c>
      <c r="K143" s="44">
        <f t="shared" si="33"/>
        <v>0</v>
      </c>
      <c r="L143" s="44">
        <f t="shared" si="33"/>
        <v>0</v>
      </c>
      <c r="M143" s="44">
        <f t="shared" si="33"/>
        <v>0</v>
      </c>
      <c r="N143" s="44">
        <f t="shared" si="33"/>
        <v>0</v>
      </c>
      <c r="O143" s="44">
        <f t="shared" si="33"/>
        <v>0</v>
      </c>
      <c r="P143" s="44">
        <f t="shared" si="33"/>
        <v>0</v>
      </c>
      <c r="Q143" s="44">
        <f t="shared" si="33"/>
        <v>0</v>
      </c>
      <c r="R143" s="44">
        <f t="shared" si="33"/>
        <v>0</v>
      </c>
      <c r="S143" s="44">
        <f t="shared" si="33"/>
        <v>0</v>
      </c>
      <c r="T143" s="44">
        <f t="shared" si="33"/>
        <v>0</v>
      </c>
      <c r="U143" s="44">
        <f t="shared" si="34"/>
        <v>0</v>
      </c>
      <c r="V143" s="44">
        <f t="shared" si="34"/>
        <v>0</v>
      </c>
      <c r="W143" s="44">
        <f t="shared" si="34"/>
        <v>0</v>
      </c>
      <c r="X143" s="44">
        <f t="shared" si="34"/>
        <v>0</v>
      </c>
      <c r="Y143" s="44">
        <f t="shared" si="34"/>
        <v>0</v>
      </c>
      <c r="Z143" s="44">
        <f t="shared" si="34"/>
        <v>0</v>
      </c>
      <c r="AA143" s="44">
        <f t="shared" si="34"/>
        <v>0</v>
      </c>
      <c r="AB143" s="44">
        <f t="shared" si="34"/>
        <v>0</v>
      </c>
      <c r="AC143" s="44">
        <f t="shared" si="34"/>
        <v>0</v>
      </c>
      <c r="AD143" s="44">
        <f t="shared" si="34"/>
        <v>0</v>
      </c>
      <c r="AE143" s="44">
        <f t="shared" si="34"/>
        <v>0</v>
      </c>
      <c r="AF143" s="44">
        <f t="shared" si="34"/>
        <v>0</v>
      </c>
      <c r="AG143" s="44">
        <f t="shared" si="34"/>
        <v>0</v>
      </c>
      <c r="AH143" s="44">
        <f t="shared" si="34"/>
        <v>0</v>
      </c>
      <c r="AI143" s="44">
        <f t="shared" si="34"/>
        <v>0</v>
      </c>
      <c r="AJ143" s="44">
        <f t="shared" si="34"/>
        <v>0</v>
      </c>
      <c r="AK143" s="44">
        <f t="shared" si="34"/>
        <v>0</v>
      </c>
      <c r="AL143" s="44">
        <f t="shared" si="34"/>
        <v>0</v>
      </c>
      <c r="AM143" s="44">
        <f t="shared" si="34"/>
        <v>0</v>
      </c>
      <c r="AN143" s="44">
        <f t="shared" si="34"/>
        <v>0</v>
      </c>
      <c r="AO143" s="44">
        <f t="shared" si="34"/>
        <v>0</v>
      </c>
      <c r="AP143" s="44">
        <f t="shared" si="34"/>
        <v>0</v>
      </c>
      <c r="AQ143" s="44">
        <f t="shared" si="34"/>
        <v>0</v>
      </c>
      <c r="AR143" s="44">
        <f t="shared" si="34"/>
        <v>0</v>
      </c>
      <c r="AS143" s="44">
        <f t="shared" si="34"/>
        <v>0</v>
      </c>
      <c r="AT143" s="44">
        <f t="shared" si="34"/>
        <v>0</v>
      </c>
      <c r="AU143" s="44">
        <f t="shared" si="34"/>
        <v>0</v>
      </c>
      <c r="AV143" s="44">
        <f t="shared" si="34"/>
        <v>0</v>
      </c>
      <c r="AW143" s="44">
        <f t="shared" si="34"/>
        <v>0</v>
      </c>
      <c r="AX143" s="44">
        <f t="shared" si="34"/>
        <v>0</v>
      </c>
      <c r="AY143" s="44">
        <f t="shared" si="34"/>
        <v>0</v>
      </c>
      <c r="AZ143" s="44">
        <f t="shared" si="34"/>
        <v>0</v>
      </c>
      <c r="BA143" s="44">
        <f t="shared" si="34"/>
        <v>0</v>
      </c>
      <c r="BB143" s="44">
        <f t="shared" si="34"/>
        <v>0</v>
      </c>
      <c r="BC143" s="44">
        <f t="shared" si="34"/>
        <v>0</v>
      </c>
      <c r="BD143" s="44">
        <f t="shared" si="34"/>
        <v>0</v>
      </c>
    </row>
    <row r="144" spans="2:56" x14ac:dyDescent="0.25">
      <c r="D144" s="75" t="s">
        <v>42</v>
      </c>
      <c r="E144" s="67" t="str">
        <f>IF(EsteeNew!E144-EsteeOld!E144=0,"",EsteeNew!E144-EsteeOld!E144)</f>
        <v/>
      </c>
      <c r="F144" s="67" t="str">
        <f>IF(EsteeNew!F144-EsteeOld!F144=0,"",EsteeNew!F144-EsteeOld!F144)</f>
        <v/>
      </c>
      <c r="G144" s="67" t="str">
        <f>IF(EsteeNew!G144-EsteeOld!G144=0,"",EsteeNew!G144-EsteeOld!G144)</f>
        <v/>
      </c>
      <c r="H144" s="67" t="str">
        <f>IF(EsteeNew!H144-EsteeOld!H144=0,"",EsteeNew!H144-EsteeOld!H144)</f>
        <v/>
      </c>
      <c r="I144" s="67" t="str">
        <f>IF(EsteeNew!I144-EsteeOld!I144=0,"",EsteeNew!I144-EsteeOld!I144)</f>
        <v/>
      </c>
      <c r="J144" s="67" t="str">
        <f>IF(EsteeNew!J144-EsteeOld!J144=0,"",EsteeNew!J144-EsteeOld!J144)</f>
        <v/>
      </c>
      <c r="K144" s="67" t="str">
        <f>IF(EsteeNew!K144-EsteeOld!K144=0,"",EsteeNew!K144-EsteeOld!K144)</f>
        <v/>
      </c>
      <c r="L144" s="67" t="str">
        <f>IF(EsteeNew!L144-EsteeOld!L144=0,"",EsteeNew!L144-EsteeOld!L144)</f>
        <v/>
      </c>
      <c r="M144" s="67" t="str">
        <f>IF(EsteeNew!M144-EsteeOld!M144=0,"",EsteeNew!M144-EsteeOld!M144)</f>
        <v/>
      </c>
      <c r="N144" s="67" t="str">
        <f>IF(EsteeNew!N144-EsteeOld!N144=0,"",EsteeNew!N144-EsteeOld!N144)</f>
        <v/>
      </c>
      <c r="O144" s="67" t="str">
        <f>IF(EsteeNew!O144-EsteeOld!O144=0,"",EsteeNew!O144-EsteeOld!O144)</f>
        <v/>
      </c>
      <c r="P144" s="67" t="str">
        <f>IF(EsteeNew!P144-EsteeOld!P144=0,"",EsteeNew!P144-EsteeOld!P144)</f>
        <v/>
      </c>
      <c r="Q144" s="67" t="str">
        <f>IF(EsteeNew!Q144-EsteeOld!Q144=0,"",EsteeNew!Q144-EsteeOld!Q144)</f>
        <v/>
      </c>
      <c r="R144" s="67" t="str">
        <f>IF(EsteeNew!R144-EsteeOld!R144=0,"",EsteeNew!R144-EsteeOld!R144)</f>
        <v/>
      </c>
      <c r="S144" s="67" t="str">
        <f>IF(EsteeNew!S144-EsteeOld!S144=0,"",EsteeNew!S144-EsteeOld!S144)</f>
        <v/>
      </c>
      <c r="T144" s="67" t="str">
        <f>IF(EsteeNew!T144-EsteeOld!T144=0,"",EsteeNew!T144-EsteeOld!T144)</f>
        <v/>
      </c>
      <c r="U144" s="67" t="str">
        <f>IF(EsteeNew!U144-EsteeOld!U144=0,"",EsteeNew!U144-EsteeOld!U144)</f>
        <v/>
      </c>
      <c r="V144" s="67" t="str">
        <f>IF(EsteeNew!V144-EsteeOld!V144=0,"",EsteeNew!V144-EsteeOld!V144)</f>
        <v/>
      </c>
      <c r="W144" s="67" t="str">
        <f>IF(EsteeNew!W144-EsteeOld!W144=0,"",EsteeNew!W144-EsteeOld!W144)</f>
        <v/>
      </c>
      <c r="X144" s="67" t="str">
        <f>IF(EsteeNew!X144-EsteeOld!X144=0,"",EsteeNew!X144-EsteeOld!X144)</f>
        <v/>
      </c>
      <c r="Y144" s="67" t="str">
        <f>IF(EsteeNew!Y144-EsteeOld!Y144=0,"",EsteeNew!Y144-EsteeOld!Y144)</f>
        <v/>
      </c>
      <c r="Z144" s="67" t="str">
        <f>IF(EsteeNew!Z144-EsteeOld!Z144=0,"",EsteeNew!Z144-EsteeOld!Z144)</f>
        <v/>
      </c>
      <c r="AA144" s="67" t="str">
        <f>IF(EsteeNew!AA144-EsteeOld!AA144=0,"",EsteeNew!AA144-EsteeOld!AA144)</f>
        <v/>
      </c>
      <c r="AB144" s="67" t="str">
        <f>IF(EsteeNew!AB144-EsteeOld!AB144=0,"",EsteeNew!AB144-EsteeOld!AB144)</f>
        <v/>
      </c>
      <c r="AC144" s="67" t="str">
        <f>IF(EsteeNew!AC144-EsteeOld!AC144=0,"",EsteeNew!AC144-EsteeOld!AC144)</f>
        <v/>
      </c>
      <c r="AD144" s="67" t="str">
        <f>IF(EsteeNew!AD144-EsteeOld!AD144=0,"",EsteeNew!AD144-EsteeOld!AD144)</f>
        <v/>
      </c>
      <c r="AE144" s="67" t="str">
        <f>IF(EsteeNew!AE144-EsteeOld!AE144=0,"",EsteeNew!AE144-EsteeOld!AE144)</f>
        <v/>
      </c>
      <c r="AF144" s="67" t="str">
        <f>IF(EsteeNew!AF144-EsteeOld!AF144=0,"",EsteeNew!AF144-EsteeOld!AF144)</f>
        <v/>
      </c>
      <c r="AG144" s="67" t="str">
        <f>IF(EsteeNew!AG144-EsteeOld!AG144=0,"",EsteeNew!AG144-EsteeOld!AG144)</f>
        <v/>
      </c>
      <c r="AH144" s="67" t="str">
        <f>IF(EsteeNew!AH144-EsteeOld!AH144=0,"",EsteeNew!AH144-EsteeOld!AH144)</f>
        <v/>
      </c>
      <c r="AI144" s="67" t="str">
        <f>IF(EsteeNew!AI144-EsteeOld!AI144=0,"",EsteeNew!AI144-EsteeOld!AI144)</f>
        <v/>
      </c>
      <c r="AJ144" s="67" t="str">
        <f>IF(EsteeNew!AJ144-EsteeOld!AJ144=0,"",EsteeNew!AJ144-EsteeOld!AJ144)</f>
        <v/>
      </c>
      <c r="AK144" s="67" t="str">
        <f>IF(EsteeNew!AK144-EsteeOld!AK144=0,"",EsteeNew!AK144-EsteeOld!AK144)</f>
        <v/>
      </c>
      <c r="AL144" s="67" t="str">
        <f>IF(EsteeNew!AL144-EsteeOld!AL144=0,"",EsteeNew!AL144-EsteeOld!AL144)</f>
        <v/>
      </c>
      <c r="AM144" s="67" t="str">
        <f>IF(EsteeNew!AM144-EsteeOld!AM144=0,"",EsteeNew!AM144-EsteeOld!AM144)</f>
        <v/>
      </c>
      <c r="AN144" s="67" t="str">
        <f>IF(EsteeNew!AN144-EsteeOld!AN144=0,"",EsteeNew!AN144-EsteeOld!AN144)</f>
        <v/>
      </c>
      <c r="AO144" s="67" t="str">
        <f>IF(EsteeNew!AO144-EsteeOld!AO144=0,"",EsteeNew!AO144-EsteeOld!AO144)</f>
        <v/>
      </c>
      <c r="AP144" s="67" t="str">
        <f>IF(EsteeNew!AP144-EsteeOld!AP144=0,"",EsteeNew!AP144-EsteeOld!AP144)</f>
        <v/>
      </c>
      <c r="AQ144" s="67" t="str">
        <f>IF(EsteeNew!AQ144-EsteeOld!AQ144=0,"",EsteeNew!AQ144-EsteeOld!AQ144)</f>
        <v/>
      </c>
      <c r="AR144" s="67" t="str">
        <f>IF(EsteeNew!AR144-EsteeOld!AR144=0,"",EsteeNew!AR144-EsteeOld!AR144)</f>
        <v/>
      </c>
      <c r="AS144" s="67" t="str">
        <f>IF(EsteeNew!AS144-EsteeOld!AS144=0,"",EsteeNew!AS144-EsteeOld!AS144)</f>
        <v/>
      </c>
      <c r="AT144" s="67" t="str">
        <f>IF(EsteeNew!AT144-EsteeOld!AT144=0,"",EsteeNew!AT144-EsteeOld!AT144)</f>
        <v/>
      </c>
      <c r="AU144" s="67" t="str">
        <f>IF(EsteeNew!AU144-EsteeOld!AU144=0,"",EsteeNew!AU144-EsteeOld!AU144)</f>
        <v/>
      </c>
      <c r="AV144" s="67" t="str">
        <f>IF(EsteeNew!AV144-EsteeOld!AV144=0,"",EsteeNew!AV144-EsteeOld!AV144)</f>
        <v/>
      </c>
      <c r="AW144" s="67" t="str">
        <f>IF(EsteeNew!AW144-EsteeOld!AW144=0,"",EsteeNew!AW144-EsteeOld!AW144)</f>
        <v/>
      </c>
      <c r="AX144" s="67" t="str">
        <f>IF(EsteeNew!AX144-EsteeOld!AX144=0,"",EsteeNew!AX144-EsteeOld!AX144)</f>
        <v/>
      </c>
      <c r="AY144" s="67" t="str">
        <f>IF(EsteeNew!AY144-EsteeOld!AY144=0,"",EsteeNew!AY144-EsteeOld!AY144)</f>
        <v/>
      </c>
      <c r="AZ144" s="67" t="str">
        <f>IF(EsteeNew!AZ144-EsteeOld!AZ144=0,"",EsteeNew!AZ144-EsteeOld!AZ144)</f>
        <v/>
      </c>
      <c r="BA144" s="67" t="str">
        <f>IF(EsteeNew!BA144-EsteeOld!BA144=0,"",EsteeNew!BA144-EsteeOld!BA144)</f>
        <v/>
      </c>
      <c r="BB144" s="67" t="str">
        <f>IF(EsteeNew!BB144-EsteeOld!BB144=0,"",EsteeNew!BB144-EsteeOld!BB144)</f>
        <v/>
      </c>
      <c r="BC144" s="67" t="str">
        <f>IF(EsteeNew!BC144-EsteeOld!BC144=0,"",EsteeNew!BC144-EsteeOld!BC144)</f>
        <v/>
      </c>
      <c r="BD144" s="67" t="str">
        <f>IF(EsteeNew!BD144-EsteeOld!BD144=0,"",EsteeNew!BD144-EsteeOld!BD144)</f>
        <v/>
      </c>
    </row>
    <row r="145" spans="4:56" x14ac:dyDescent="0.25">
      <c r="D145" s="75" t="s">
        <v>43</v>
      </c>
      <c r="E145" s="63" t="str">
        <f>IFERROR((E143*(40*(1-E144)+40))/SUM(E136:E142),"")</f>
        <v/>
      </c>
      <c r="F145" s="63" t="str">
        <f t="shared" ref="F145:BD145" si="35">IFERROR((F143*(40*(1-F144)+40))/SUM(F136:F142),"")</f>
        <v/>
      </c>
      <c r="G145" s="63" t="str">
        <f t="shared" si="35"/>
        <v/>
      </c>
      <c r="H145" s="63" t="str">
        <f t="shared" si="35"/>
        <v/>
      </c>
      <c r="I145" s="63" t="str">
        <f t="shared" si="35"/>
        <v/>
      </c>
      <c r="J145" s="63" t="str">
        <f t="shared" si="35"/>
        <v/>
      </c>
      <c r="K145" s="63" t="str">
        <f t="shared" si="35"/>
        <v/>
      </c>
      <c r="L145" s="63" t="str">
        <f t="shared" si="35"/>
        <v/>
      </c>
      <c r="M145" s="63" t="str">
        <f t="shared" si="35"/>
        <v/>
      </c>
      <c r="N145" s="63" t="str">
        <f t="shared" si="35"/>
        <v/>
      </c>
      <c r="O145" s="63" t="str">
        <f t="shared" si="35"/>
        <v/>
      </c>
      <c r="P145" s="63" t="str">
        <f t="shared" si="35"/>
        <v/>
      </c>
      <c r="Q145" s="63" t="str">
        <f t="shared" si="35"/>
        <v/>
      </c>
      <c r="R145" s="63" t="str">
        <f t="shared" si="35"/>
        <v/>
      </c>
      <c r="S145" s="63" t="str">
        <f t="shared" si="35"/>
        <v/>
      </c>
      <c r="T145" s="63" t="str">
        <f t="shared" si="35"/>
        <v/>
      </c>
      <c r="U145" s="63" t="str">
        <f t="shared" si="35"/>
        <v/>
      </c>
      <c r="V145" s="63" t="str">
        <f t="shared" si="35"/>
        <v/>
      </c>
      <c r="W145" s="63" t="str">
        <f t="shared" si="35"/>
        <v/>
      </c>
      <c r="X145" s="63" t="str">
        <f t="shared" si="35"/>
        <v/>
      </c>
      <c r="Y145" s="63" t="str">
        <f t="shared" si="35"/>
        <v/>
      </c>
      <c r="Z145" s="63" t="str">
        <f t="shared" si="35"/>
        <v/>
      </c>
      <c r="AA145" s="63" t="str">
        <f t="shared" si="35"/>
        <v/>
      </c>
      <c r="AB145" s="63" t="str">
        <f t="shared" si="35"/>
        <v/>
      </c>
      <c r="AC145" s="63" t="str">
        <f t="shared" si="35"/>
        <v/>
      </c>
      <c r="AD145" s="63" t="str">
        <f t="shared" si="35"/>
        <v/>
      </c>
      <c r="AE145" s="63" t="str">
        <f t="shared" si="35"/>
        <v/>
      </c>
      <c r="AF145" s="63" t="str">
        <f t="shared" si="35"/>
        <v/>
      </c>
      <c r="AG145" s="63" t="str">
        <f t="shared" si="35"/>
        <v/>
      </c>
      <c r="AH145" s="63" t="str">
        <f t="shared" si="35"/>
        <v/>
      </c>
      <c r="AI145" s="63" t="str">
        <f t="shared" si="35"/>
        <v/>
      </c>
      <c r="AJ145" s="63" t="str">
        <f t="shared" si="35"/>
        <v/>
      </c>
      <c r="AK145" s="63" t="str">
        <f t="shared" si="35"/>
        <v/>
      </c>
      <c r="AL145" s="63" t="str">
        <f t="shared" si="35"/>
        <v/>
      </c>
      <c r="AM145" s="63" t="str">
        <f t="shared" si="35"/>
        <v/>
      </c>
      <c r="AN145" s="63" t="str">
        <f t="shared" si="35"/>
        <v/>
      </c>
      <c r="AO145" s="63" t="str">
        <f t="shared" si="35"/>
        <v/>
      </c>
      <c r="AP145" s="63" t="str">
        <f t="shared" si="35"/>
        <v/>
      </c>
      <c r="AQ145" s="63" t="str">
        <f t="shared" si="35"/>
        <v/>
      </c>
      <c r="AR145" s="63" t="str">
        <f t="shared" si="35"/>
        <v/>
      </c>
      <c r="AS145" s="63" t="str">
        <f t="shared" si="35"/>
        <v/>
      </c>
      <c r="AT145" s="63" t="str">
        <f t="shared" si="35"/>
        <v/>
      </c>
      <c r="AU145" s="63" t="str">
        <f t="shared" si="35"/>
        <v/>
      </c>
      <c r="AV145" s="63" t="str">
        <f t="shared" si="35"/>
        <v/>
      </c>
      <c r="AW145" s="63" t="str">
        <f t="shared" si="35"/>
        <v/>
      </c>
      <c r="AX145" s="63" t="str">
        <f t="shared" si="35"/>
        <v/>
      </c>
      <c r="AY145" s="63" t="str">
        <f t="shared" si="35"/>
        <v/>
      </c>
      <c r="AZ145" s="63" t="str">
        <f t="shared" si="35"/>
        <v/>
      </c>
      <c r="BA145" s="63" t="str">
        <f t="shared" si="35"/>
        <v/>
      </c>
      <c r="BB145" s="63" t="str">
        <f t="shared" si="35"/>
        <v/>
      </c>
      <c r="BC145" s="63" t="str">
        <f t="shared" si="35"/>
        <v/>
      </c>
      <c r="BD145" s="63" t="str">
        <f t="shared" si="35"/>
        <v/>
      </c>
    </row>
    <row r="146" spans="4:56" x14ac:dyDescent="0.25">
      <c r="D146" s="77" t="s">
        <v>44</v>
      </c>
      <c r="E146" s="61">
        <f t="shared" ref="E146:K146" si="36">SUM(E136:E143)</f>
        <v>0</v>
      </c>
      <c r="F146" s="61">
        <f t="shared" si="36"/>
        <v>0</v>
      </c>
      <c r="G146" s="61">
        <f t="shared" si="36"/>
        <v>0</v>
      </c>
      <c r="H146" s="61">
        <f t="shared" si="36"/>
        <v>0</v>
      </c>
      <c r="I146" s="61">
        <f t="shared" si="36"/>
        <v>0</v>
      </c>
      <c r="J146" s="61">
        <f t="shared" si="36"/>
        <v>0</v>
      </c>
      <c r="K146" s="61">
        <f t="shared" si="36"/>
        <v>0</v>
      </c>
      <c r="L146" s="61">
        <f t="shared" ref="L146:BD146" si="37">SUM(L136:L143)</f>
        <v>0</v>
      </c>
      <c r="M146" s="61">
        <f t="shared" si="37"/>
        <v>0</v>
      </c>
      <c r="N146" s="61">
        <f t="shared" si="37"/>
        <v>0</v>
      </c>
      <c r="O146" s="61">
        <f t="shared" si="37"/>
        <v>0</v>
      </c>
      <c r="P146" s="61">
        <f t="shared" si="37"/>
        <v>0</v>
      </c>
      <c r="Q146" s="61">
        <f t="shared" si="37"/>
        <v>0</v>
      </c>
      <c r="R146" s="61">
        <f t="shared" si="37"/>
        <v>0</v>
      </c>
      <c r="S146" s="61">
        <f t="shared" si="37"/>
        <v>0</v>
      </c>
      <c r="T146" s="61">
        <f t="shared" si="37"/>
        <v>0</v>
      </c>
      <c r="U146" s="61">
        <f t="shared" si="37"/>
        <v>0</v>
      </c>
      <c r="V146" s="61">
        <f t="shared" si="37"/>
        <v>0</v>
      </c>
      <c r="W146" s="61">
        <f t="shared" si="37"/>
        <v>0</v>
      </c>
      <c r="X146" s="61">
        <f t="shared" si="37"/>
        <v>0</v>
      </c>
      <c r="Y146" s="61">
        <f t="shared" si="37"/>
        <v>0</v>
      </c>
      <c r="Z146" s="61">
        <f t="shared" si="37"/>
        <v>0</v>
      </c>
      <c r="AA146" s="61">
        <f t="shared" si="37"/>
        <v>0</v>
      </c>
      <c r="AB146" s="61">
        <f t="shared" si="37"/>
        <v>0</v>
      </c>
      <c r="AC146" s="61">
        <f t="shared" si="37"/>
        <v>0</v>
      </c>
      <c r="AD146" s="61">
        <f t="shared" si="37"/>
        <v>0</v>
      </c>
      <c r="AE146" s="61">
        <f t="shared" si="37"/>
        <v>0</v>
      </c>
      <c r="AF146" s="61">
        <f t="shared" si="37"/>
        <v>0</v>
      </c>
      <c r="AG146" s="61">
        <f t="shared" si="37"/>
        <v>0</v>
      </c>
      <c r="AH146" s="61">
        <f t="shared" si="37"/>
        <v>0</v>
      </c>
      <c r="AI146" s="61">
        <f t="shared" si="37"/>
        <v>0</v>
      </c>
      <c r="AJ146" s="61">
        <f t="shared" si="37"/>
        <v>0</v>
      </c>
      <c r="AK146" s="61">
        <f t="shared" si="37"/>
        <v>0</v>
      </c>
      <c r="AL146" s="61">
        <f t="shared" si="37"/>
        <v>0</v>
      </c>
      <c r="AM146" s="61">
        <f t="shared" si="37"/>
        <v>0</v>
      </c>
      <c r="AN146" s="61">
        <f t="shared" si="37"/>
        <v>0</v>
      </c>
      <c r="AO146" s="61">
        <f t="shared" si="37"/>
        <v>0</v>
      </c>
      <c r="AP146" s="61">
        <f t="shared" si="37"/>
        <v>0</v>
      </c>
      <c r="AQ146" s="61">
        <f t="shared" si="37"/>
        <v>0</v>
      </c>
      <c r="AR146" s="61">
        <f t="shared" si="37"/>
        <v>0</v>
      </c>
      <c r="AS146" s="61">
        <f t="shared" si="37"/>
        <v>0</v>
      </c>
      <c r="AT146" s="61">
        <f t="shared" si="37"/>
        <v>0</v>
      </c>
      <c r="AU146" s="61">
        <f t="shared" si="37"/>
        <v>0</v>
      </c>
      <c r="AV146" s="61">
        <f t="shared" si="37"/>
        <v>0</v>
      </c>
      <c r="AW146" s="61">
        <f t="shared" si="37"/>
        <v>0</v>
      </c>
      <c r="AX146" s="61">
        <f t="shared" si="37"/>
        <v>0</v>
      </c>
      <c r="AY146" s="61">
        <f t="shared" si="37"/>
        <v>0</v>
      </c>
      <c r="AZ146" s="61">
        <f t="shared" si="37"/>
        <v>0</v>
      </c>
      <c r="BA146" s="61">
        <f t="shared" si="37"/>
        <v>0</v>
      </c>
      <c r="BB146" s="61">
        <f t="shared" si="37"/>
        <v>0</v>
      </c>
      <c r="BC146" s="61">
        <f t="shared" si="37"/>
        <v>0</v>
      </c>
      <c r="BD146" s="61">
        <f t="shared" si="37"/>
        <v>0</v>
      </c>
    </row>
    <row r="147" spans="4:56" x14ac:dyDescent="0.25">
      <c r="D147" s="78" t="s">
        <v>45</v>
      </c>
      <c r="E147" s="56" t="str">
        <f>IFERROR(E146-E124,"")</f>
        <v/>
      </c>
      <c r="F147" s="56" t="str">
        <f t="shared" ref="F147:BD147" si="38">IFERROR(F146-F124,"")</f>
        <v/>
      </c>
      <c r="G147" s="56" t="str">
        <f t="shared" si="38"/>
        <v/>
      </c>
      <c r="H147" s="56" t="str">
        <f t="shared" si="38"/>
        <v/>
      </c>
      <c r="I147" s="56" t="str">
        <f t="shared" si="38"/>
        <v/>
      </c>
      <c r="J147" s="56" t="str">
        <f t="shared" si="38"/>
        <v/>
      </c>
      <c r="K147" s="56" t="str">
        <f t="shared" si="38"/>
        <v/>
      </c>
      <c r="L147" s="56" t="str">
        <f t="shared" si="38"/>
        <v/>
      </c>
      <c r="M147" s="56" t="str">
        <f t="shared" si="38"/>
        <v/>
      </c>
      <c r="N147" s="56" t="str">
        <f t="shared" si="38"/>
        <v/>
      </c>
      <c r="O147" s="56" t="str">
        <f t="shared" si="38"/>
        <v/>
      </c>
      <c r="P147" s="56" t="str">
        <f t="shared" si="38"/>
        <v/>
      </c>
      <c r="Q147" s="56" t="str">
        <f t="shared" si="38"/>
        <v/>
      </c>
      <c r="R147" s="56" t="str">
        <f t="shared" si="38"/>
        <v/>
      </c>
      <c r="S147" s="56" t="str">
        <f t="shared" si="38"/>
        <v/>
      </c>
      <c r="T147" s="56" t="str">
        <f t="shared" si="38"/>
        <v/>
      </c>
      <c r="U147" s="56" t="str">
        <f t="shared" si="38"/>
        <v/>
      </c>
      <c r="V147" s="56" t="str">
        <f t="shared" si="38"/>
        <v/>
      </c>
      <c r="W147" s="56" t="str">
        <f t="shared" si="38"/>
        <v/>
      </c>
      <c r="X147" s="56" t="str">
        <f t="shared" si="38"/>
        <v/>
      </c>
      <c r="Y147" s="56">
        <f t="shared" si="38"/>
        <v>4.0157798824465551</v>
      </c>
      <c r="Z147" s="56" t="str">
        <f t="shared" si="38"/>
        <v/>
      </c>
      <c r="AA147" s="56" t="str">
        <f t="shared" si="38"/>
        <v/>
      </c>
      <c r="AB147" s="56" t="str">
        <f t="shared" si="38"/>
        <v/>
      </c>
      <c r="AC147" s="56" t="str">
        <f t="shared" si="38"/>
        <v/>
      </c>
      <c r="AD147" s="56" t="str">
        <f t="shared" si="38"/>
        <v/>
      </c>
      <c r="AE147" s="56" t="str">
        <f t="shared" si="38"/>
        <v/>
      </c>
      <c r="AF147" s="56" t="str">
        <f t="shared" si="38"/>
        <v/>
      </c>
      <c r="AG147" s="56" t="str">
        <f t="shared" si="38"/>
        <v/>
      </c>
      <c r="AH147" s="56" t="str">
        <f t="shared" si="38"/>
        <v/>
      </c>
      <c r="AI147" s="56" t="str">
        <f t="shared" si="38"/>
        <v/>
      </c>
      <c r="AJ147" s="56" t="str">
        <f t="shared" si="38"/>
        <v/>
      </c>
      <c r="AK147" s="56" t="str">
        <f t="shared" si="38"/>
        <v/>
      </c>
      <c r="AL147" s="56" t="str">
        <f t="shared" si="38"/>
        <v/>
      </c>
      <c r="AM147" s="56" t="str">
        <f t="shared" si="38"/>
        <v/>
      </c>
      <c r="AN147" s="56" t="str">
        <f t="shared" si="38"/>
        <v/>
      </c>
      <c r="AO147" s="56" t="str">
        <f t="shared" si="38"/>
        <v/>
      </c>
      <c r="AP147" s="56" t="str">
        <f t="shared" si="38"/>
        <v/>
      </c>
      <c r="AQ147" s="56" t="str">
        <f t="shared" si="38"/>
        <v/>
      </c>
      <c r="AR147" s="56" t="str">
        <f t="shared" si="38"/>
        <v/>
      </c>
      <c r="AS147" s="56" t="str">
        <f t="shared" si="38"/>
        <v/>
      </c>
      <c r="AT147" s="56" t="str">
        <f t="shared" si="38"/>
        <v/>
      </c>
      <c r="AU147" s="56" t="str">
        <f t="shared" si="38"/>
        <v/>
      </c>
      <c r="AV147" s="56" t="str">
        <f t="shared" si="38"/>
        <v/>
      </c>
      <c r="AW147" s="56" t="str">
        <f t="shared" si="38"/>
        <v/>
      </c>
      <c r="AX147" s="56" t="str">
        <f t="shared" si="38"/>
        <v/>
      </c>
      <c r="AY147" s="56" t="str">
        <f t="shared" si="38"/>
        <v/>
      </c>
      <c r="AZ147" s="56" t="str">
        <f t="shared" si="38"/>
        <v/>
      </c>
      <c r="BA147" s="56" t="str">
        <f t="shared" si="38"/>
        <v/>
      </c>
      <c r="BB147" s="56" t="str">
        <f t="shared" si="38"/>
        <v/>
      </c>
      <c r="BC147" s="56" t="str">
        <f t="shared" si="38"/>
        <v/>
      </c>
      <c r="BD147" s="56" t="str">
        <f t="shared" si="38"/>
        <v/>
      </c>
    </row>
  </sheetData>
  <mergeCells count="7">
    <mergeCell ref="C136:C142"/>
    <mergeCell ref="C3:C7"/>
    <mergeCell ref="C36:C54"/>
    <mergeCell ref="C57:C76"/>
    <mergeCell ref="C79:C99"/>
    <mergeCell ref="C103:C120"/>
    <mergeCell ref="C125:C131"/>
  </mergeCells>
  <conditionalFormatting sqref="E121:K121 M121:BD121 E30:BD30">
    <cfRule type="expression" dxfId="686" priority="208">
      <formula>IF(E$3=TODAY()-WEEKDAY(TODAY())+7,TRUE,FALSE)</formula>
    </cfRule>
  </conditionalFormatting>
  <conditionalFormatting sqref="E28:BD28">
    <cfRule type="expression" dxfId="685" priority="209">
      <formula>IF(E$3=TODAY()-WEEKDAY(TODAY())+7,TRUE,FALSE)</formula>
    </cfRule>
  </conditionalFormatting>
  <conditionalFormatting sqref="E54:BD54">
    <cfRule type="expression" dxfId="684" priority="205">
      <formula>IF(E$3=TODAY()-WEEKDAY(TODAY())+7,TRUE,FALSE)</formula>
    </cfRule>
  </conditionalFormatting>
  <conditionalFormatting sqref="E49:BD49">
    <cfRule type="expression" dxfId="683" priority="207">
      <formula>IF(E$3=TODAY()-WEEKDAY(TODAY())+7,TRUE,FALSE)</formula>
    </cfRule>
  </conditionalFormatting>
  <conditionalFormatting sqref="E52:K52 M52:BD52">
    <cfRule type="expression" dxfId="682" priority="206">
      <formula>IF(E$3=TODAY()-WEEKDAY(TODAY())+7,TRUE,FALSE)</formula>
    </cfRule>
  </conditionalFormatting>
  <conditionalFormatting sqref="E71:BD71">
    <cfRule type="expression" dxfId="681" priority="204">
      <formula>IF(E$3=TODAY()-WEEKDAY(TODAY())+7,TRUE,FALSE)</formula>
    </cfRule>
  </conditionalFormatting>
  <conditionalFormatting sqref="E74:K74">
    <cfRule type="expression" dxfId="680" priority="203">
      <formula>IF(E$3=TODAY()-WEEKDAY(TODAY())+7,TRUE,FALSE)</formula>
    </cfRule>
  </conditionalFormatting>
  <conditionalFormatting sqref="E76:BD76">
    <cfRule type="expression" dxfId="679" priority="202">
      <formula>IF(E$3=TODAY()-WEEKDAY(TODAY())+7,TRUE,FALSE)</formula>
    </cfRule>
  </conditionalFormatting>
  <conditionalFormatting sqref="E94:BD94">
    <cfRule type="expression" dxfId="678" priority="201">
      <formula>IF(E$3=TODAY()-WEEKDAY(TODAY())+7,TRUE,FALSE)</formula>
    </cfRule>
  </conditionalFormatting>
  <conditionalFormatting sqref="E97:K97 M97:BD97">
    <cfRule type="expression" dxfId="677" priority="200">
      <formula>IF(E$3=TODAY()-WEEKDAY(TODAY())+7,TRUE,FALSE)</formula>
    </cfRule>
  </conditionalFormatting>
  <conditionalFormatting sqref="E145:BD145">
    <cfRule type="expression" dxfId="676" priority="199">
      <formula>IF(E$3=TODAY()-WEEKDAY(TODAY())+7,TRUE,FALSE)</formula>
    </cfRule>
  </conditionalFormatting>
  <conditionalFormatting sqref="E146:K146">
    <cfRule type="expression" dxfId="675" priority="198">
      <formula>IF(E$3=TODAY()-WEEKDAY(TODAY())+7,TRUE,FALSE)</formula>
    </cfRule>
  </conditionalFormatting>
  <conditionalFormatting sqref="E32:BD32">
    <cfRule type="expression" dxfId="674" priority="197">
      <formula>IF(E$3=TODAY()-WEEKDAY(TODAY())+7,TRUE,FALSE)</formula>
    </cfRule>
  </conditionalFormatting>
  <conditionalFormatting sqref="E31:K31 M31:BD31">
    <cfRule type="expression" dxfId="673" priority="196">
      <formula>IF(E$3=TODAY()-WEEKDAY(TODAY())+7,TRUE,FALSE)</formula>
    </cfRule>
  </conditionalFormatting>
  <conditionalFormatting sqref="E29:BD29">
    <cfRule type="expression" dxfId="672" priority="195">
      <formula>IF(E$3=TODAY()-WEEKDAY(TODAY())+7,TRUE,FALSE)</formula>
    </cfRule>
  </conditionalFormatting>
  <conditionalFormatting sqref="E53:BD53">
    <cfRule type="expression" dxfId="671" priority="194">
      <formula>IF(E$3=TODAY()-WEEKDAY(TODAY())+7,TRUE,FALSE)</formula>
    </cfRule>
  </conditionalFormatting>
  <conditionalFormatting sqref="E75:BD75">
    <cfRule type="expression" dxfId="670" priority="193">
      <formula>IF(E$3=TODAY()-WEEKDAY(TODAY())+7,TRUE,FALSE)</formula>
    </cfRule>
  </conditionalFormatting>
  <conditionalFormatting sqref="E98:BD98">
    <cfRule type="expression" dxfId="669" priority="192">
      <formula>IF(E$3=TODAY()-WEEKDAY(TODAY())+7,TRUE,FALSE)</formula>
    </cfRule>
  </conditionalFormatting>
  <conditionalFormatting sqref="E147:BD147">
    <cfRule type="expression" dxfId="668" priority="191">
      <formula>IF(E$3=TODAY()-WEEKDAY(TODAY())+7,TRUE,FALSE)</formula>
    </cfRule>
  </conditionalFormatting>
  <conditionalFormatting sqref="E18:BD24">
    <cfRule type="cellIs" dxfId="667" priority="189" operator="lessThan">
      <formula>0</formula>
    </cfRule>
  </conditionalFormatting>
  <conditionalFormatting sqref="F25:K25 M25:BD25 E18:BD24">
    <cfRule type="expression" dxfId="666" priority="190">
      <formula>IF(E$3=TODAY()-WEEKDAY(TODAY())+7,TRUE,FALSE)</formula>
    </cfRule>
  </conditionalFormatting>
  <conditionalFormatting sqref="F26:K26 M26:BD26">
    <cfRule type="expression" dxfId="665" priority="188">
      <formula>IF(F$3=TODAY()-WEEKDAY(TODAY())+7,TRUE,FALSE)</formula>
    </cfRule>
  </conditionalFormatting>
  <conditionalFormatting sqref="E33:K33 M33:BD33">
    <cfRule type="cellIs" dxfId="664" priority="186" operator="lessThan">
      <formula>0</formula>
    </cfRule>
  </conditionalFormatting>
  <conditionalFormatting sqref="E33:K33 M33:BD33">
    <cfRule type="expression" dxfId="663" priority="187">
      <formula>IF(E$3=TODAY()-WEEKDAY(TODAY())+7,TRUE,FALSE)</formula>
    </cfRule>
  </conditionalFormatting>
  <conditionalFormatting sqref="E42:K48 M42:BD48">
    <cfRule type="cellIs" dxfId="662" priority="184" operator="lessThan">
      <formula>0</formula>
    </cfRule>
  </conditionalFormatting>
  <conditionalFormatting sqref="E42:K48 M42:BD48">
    <cfRule type="expression" dxfId="661" priority="185">
      <formula>IF(E$3=TODAY()-WEEKDAY(TODAY())+7,TRUE,FALSE)</formula>
    </cfRule>
  </conditionalFormatting>
  <conditionalFormatting sqref="E50:K50 M50:BD50">
    <cfRule type="expression" dxfId="660" priority="183">
      <formula>IF(E$3=TODAY()-WEEKDAY(TODAY())+7,TRUE,FALSE)</formula>
    </cfRule>
  </conditionalFormatting>
  <conditionalFormatting sqref="E61:K61 M61:BD61">
    <cfRule type="expression" dxfId="659" priority="182">
      <formula>IF(E$3=TODAY()-WEEKDAY(TODAY())+7,TRUE,FALSE)</formula>
    </cfRule>
  </conditionalFormatting>
  <conditionalFormatting sqref="E64:K70 M64:BD70">
    <cfRule type="cellIs" dxfId="658" priority="180" operator="lessThan">
      <formula>0</formula>
    </cfRule>
  </conditionalFormatting>
  <conditionalFormatting sqref="E64:K70 M64:BD70">
    <cfRule type="expression" dxfId="657" priority="181">
      <formula>IF(E$3=TODAY()-WEEKDAY(TODAY())+7,TRUE,FALSE)</formula>
    </cfRule>
  </conditionalFormatting>
  <conditionalFormatting sqref="E72:K72 M72:BD72">
    <cfRule type="expression" dxfId="656" priority="179">
      <formula>IF(E$3=TODAY()-WEEKDAY(TODAY())+7,TRUE,FALSE)</formula>
    </cfRule>
  </conditionalFormatting>
  <conditionalFormatting sqref="M71:BD71">
    <cfRule type="expression" dxfId="655" priority="178">
      <formula>IF(M$3=TODAY()-WEEKDAY(TODAY())+7,TRUE,FALSE)</formula>
    </cfRule>
  </conditionalFormatting>
  <conditionalFormatting sqref="M74:BD74">
    <cfRule type="expression" dxfId="654" priority="177">
      <formula>IF(M$3=TODAY()-WEEKDAY(TODAY())+7,TRUE,FALSE)</formula>
    </cfRule>
  </conditionalFormatting>
  <conditionalFormatting sqref="M76:BD76">
    <cfRule type="expression" dxfId="653" priority="176">
      <formula>IF(M$3=TODAY()-WEEKDAY(TODAY())+7,TRUE,FALSE)</formula>
    </cfRule>
  </conditionalFormatting>
  <conditionalFormatting sqref="M75:BD75">
    <cfRule type="expression" dxfId="652" priority="175">
      <formula>IF(M$3=TODAY()-WEEKDAY(TODAY())+7,TRUE,FALSE)</formula>
    </cfRule>
  </conditionalFormatting>
  <conditionalFormatting sqref="E83:K84 M83:BD84">
    <cfRule type="expression" dxfId="651" priority="174">
      <formula>IF(E$3=TODAY()-WEEKDAY(TODAY())+7,TRUE,FALSE)</formula>
    </cfRule>
  </conditionalFormatting>
  <conditionalFormatting sqref="E87:K93 M87:BD93">
    <cfRule type="cellIs" dxfId="650" priority="172" operator="lessThan">
      <formula>0</formula>
    </cfRule>
  </conditionalFormatting>
  <conditionalFormatting sqref="E87:K93 M87:BD93">
    <cfRule type="expression" dxfId="649" priority="173">
      <formula>IF(E$3=TODAY()-WEEKDAY(TODAY())+7,TRUE,FALSE)</formula>
    </cfRule>
  </conditionalFormatting>
  <conditionalFormatting sqref="M94:BD94">
    <cfRule type="expression" dxfId="648" priority="171">
      <formula>IF(M$3=TODAY()-WEEKDAY(TODAY())+7,TRUE,FALSE)</formula>
    </cfRule>
  </conditionalFormatting>
  <conditionalFormatting sqref="E95:K95 M95:BD95">
    <cfRule type="expression" dxfId="647" priority="170">
      <formula>IF(E$3=TODAY()-WEEKDAY(TODAY())+7,TRUE,FALSE)</formula>
    </cfRule>
  </conditionalFormatting>
  <conditionalFormatting sqref="F144:K144 M144:BD144">
    <cfRule type="expression" dxfId="646" priority="169">
      <formula>IF(F$3=TODAY()-WEEKDAY(TODAY())+7,TRUE,FALSE)</formula>
    </cfRule>
  </conditionalFormatting>
  <conditionalFormatting sqref="M147:BD147">
    <cfRule type="expression" dxfId="645" priority="166">
      <formula>IF(M$3=TODAY()-WEEKDAY(TODAY())+7,TRUE,FALSE)</formula>
    </cfRule>
  </conditionalFormatting>
  <conditionalFormatting sqref="M145:BD145">
    <cfRule type="expression" dxfId="644" priority="168">
      <formula>IF(M$3=TODAY()-WEEKDAY(TODAY())+7,TRUE,FALSE)</formula>
    </cfRule>
  </conditionalFormatting>
  <conditionalFormatting sqref="M146:BD146">
    <cfRule type="expression" dxfId="643" priority="167">
      <formula>IF(M$3=TODAY()-WEEKDAY(TODAY())+7,TRUE,FALSE)</formula>
    </cfRule>
  </conditionalFormatting>
  <conditionalFormatting sqref="E36:K36 M36:BD36">
    <cfRule type="expression" dxfId="642" priority="165">
      <formula>IF(E$3=TODAY()-WEEKDAY(TODAY())+7,TRUE,FALSE)</formula>
    </cfRule>
  </conditionalFormatting>
  <conditionalFormatting sqref="E37:K37 M37:BD37">
    <cfRule type="expression" dxfId="641" priority="164">
      <formula>IF(E$3=TODAY()-WEEKDAY(TODAY())+7,TRUE,FALSE)</formula>
    </cfRule>
  </conditionalFormatting>
  <conditionalFormatting sqref="E38:K38 M38:BD38">
    <cfRule type="expression" dxfId="640" priority="163">
      <formula>IF(E$3=TODAY()-WEEKDAY(TODAY())+7,TRUE,FALSE)</formula>
    </cfRule>
  </conditionalFormatting>
  <conditionalFormatting sqref="E39:K39 M39:BD39">
    <cfRule type="expression" dxfId="639" priority="162">
      <formula>IF(E$3=TODAY()-WEEKDAY(TODAY())+7,TRUE,FALSE)</formula>
    </cfRule>
  </conditionalFormatting>
  <conditionalFormatting sqref="E3:BD6">
    <cfRule type="expression" dxfId="638" priority="161">
      <formula>IF(E$3=TODAY()-WEEKDAY(TODAY())+7,TRUE,FALSE)</formula>
    </cfRule>
  </conditionalFormatting>
  <conditionalFormatting sqref="E4:K4 M4:BD4">
    <cfRule type="expression" dxfId="637" priority="160">
      <formula>IF(E$3=TODAY()-WEEKDAY(TODAY())+7,TRUE,FALSE)</formula>
    </cfRule>
  </conditionalFormatting>
  <conditionalFormatting sqref="E5:K5 M5:BD5">
    <cfRule type="expression" dxfId="636" priority="159">
      <formula>IF(E$3=TODAY()-WEEKDAY(TODAY())+7,TRUE,FALSE)</formula>
    </cfRule>
  </conditionalFormatting>
  <conditionalFormatting sqref="E6:K6 M6:BD6">
    <cfRule type="expression" dxfId="635" priority="158">
      <formula>IF(E$3=TODAY()-WEEKDAY(TODAY())+7,TRUE,FALSE)</formula>
    </cfRule>
  </conditionalFormatting>
  <conditionalFormatting sqref="E57:K57 M57:BD57">
    <cfRule type="expression" dxfId="634" priority="157">
      <formula>IF(E$3=TODAY()-WEEKDAY(TODAY())+7,TRUE,FALSE)</formula>
    </cfRule>
  </conditionalFormatting>
  <conditionalFormatting sqref="E58:K58 M58:BD58">
    <cfRule type="expression" dxfId="633" priority="156">
      <formula>IF(E$3=TODAY()-WEEKDAY(TODAY())+7,TRUE,FALSE)</formula>
    </cfRule>
  </conditionalFormatting>
  <conditionalFormatting sqref="E59:K59 M59:BD59">
    <cfRule type="expression" dxfId="632" priority="155">
      <formula>IF(E$3=TODAY()-WEEKDAY(TODAY())+7,TRUE,FALSE)</formula>
    </cfRule>
  </conditionalFormatting>
  <conditionalFormatting sqref="E60:K60 M60:BD60">
    <cfRule type="expression" dxfId="631" priority="154">
      <formula>IF(E$3=TODAY()-WEEKDAY(TODAY())+7,TRUE,FALSE)</formula>
    </cfRule>
  </conditionalFormatting>
  <conditionalFormatting sqref="E79:K79 M79:BD79">
    <cfRule type="expression" dxfId="630" priority="153">
      <formula>IF(E$3=TODAY()-WEEKDAY(TODAY())+7,TRUE,FALSE)</formula>
    </cfRule>
  </conditionalFormatting>
  <conditionalFormatting sqref="E80:K80 M80:BD80">
    <cfRule type="expression" dxfId="629" priority="152">
      <formula>IF(E$3=TODAY()-WEEKDAY(TODAY())+7,TRUE,FALSE)</formula>
    </cfRule>
  </conditionalFormatting>
  <conditionalFormatting sqref="E81:K81 M81:BD81">
    <cfRule type="expression" dxfId="628" priority="151">
      <formula>IF(E$3=TODAY()-WEEKDAY(TODAY())+7,TRUE,FALSE)</formula>
    </cfRule>
  </conditionalFormatting>
  <conditionalFormatting sqref="E82:K82 M82:BD82">
    <cfRule type="expression" dxfId="627" priority="150">
      <formula>IF(E$3=TODAY()-WEEKDAY(TODAY())+7,TRUE,FALSE)</formula>
    </cfRule>
  </conditionalFormatting>
  <conditionalFormatting sqref="E25:BD25">
    <cfRule type="expression" dxfId="626" priority="149">
      <formula>IF(E$3=TODAY()-WEEKDAY(TODAY())+7,TRUE,FALSE)</formula>
    </cfRule>
  </conditionalFormatting>
  <conditionalFormatting sqref="E125:K125 M125:BD125">
    <cfRule type="expression" dxfId="625" priority="148">
      <formula>IF(E$3=TODAY()-WEEKDAY(TODAY())+7,TRUE,FALSE)</formula>
    </cfRule>
  </conditionalFormatting>
  <conditionalFormatting sqref="E126:K126 M126:BD126">
    <cfRule type="expression" dxfId="624" priority="147">
      <formula>IF(E$3=TODAY()-WEEKDAY(TODAY())+7,TRUE,FALSE)</formula>
    </cfRule>
  </conditionalFormatting>
  <conditionalFormatting sqref="E127:K131 M127:BD131">
    <cfRule type="expression" dxfId="623" priority="146">
      <formula>IF(E$3=TODAY()-WEEKDAY(TODAY())+7,TRUE,FALSE)</formula>
    </cfRule>
  </conditionalFormatting>
  <conditionalFormatting sqref="E2">
    <cfRule type="expression" dxfId="622" priority="145">
      <formula>IF(E$3=TODAY()-WEEKDAY(TODAY())+7,TRUE,FALSE)</formula>
    </cfRule>
  </conditionalFormatting>
  <conditionalFormatting sqref="F2:K2 M2:BD2">
    <cfRule type="expression" dxfId="621" priority="144">
      <formula>IF(F$3=TODAY()-WEEKDAY(TODAY())+7,TRUE,FALSE)</formula>
    </cfRule>
  </conditionalFormatting>
  <conditionalFormatting sqref="E123">
    <cfRule type="expression" dxfId="620" priority="143">
      <formula>IF(E$3=TODAY()-WEEKDAY(TODAY())+7,TRUE,FALSE)</formula>
    </cfRule>
  </conditionalFormatting>
  <conditionalFormatting sqref="F123:K123 M123:BD123">
    <cfRule type="expression" dxfId="619" priority="142">
      <formula>IF(F$3=TODAY()-WEEKDAY(TODAY())+7,TRUE,FALSE)</formula>
    </cfRule>
  </conditionalFormatting>
  <conditionalFormatting sqref="F78:K78 M78:BD78">
    <cfRule type="expression" dxfId="618" priority="136">
      <formula>IF(F$3=TODAY()-WEEKDAY(TODAY())+7,TRUE,FALSE)</formula>
    </cfRule>
  </conditionalFormatting>
  <conditionalFormatting sqref="E78">
    <cfRule type="expression" dxfId="617" priority="137">
      <formula>IF(E$3=TODAY()-WEEKDAY(TODAY())+7,TRUE,FALSE)</formula>
    </cfRule>
  </conditionalFormatting>
  <conditionalFormatting sqref="E35">
    <cfRule type="expression" dxfId="616" priority="141">
      <formula>IF(E$3=TODAY()-WEEKDAY(TODAY())+7,TRUE,FALSE)</formula>
    </cfRule>
  </conditionalFormatting>
  <conditionalFormatting sqref="F35:K35 M35:BD35">
    <cfRule type="expression" dxfId="615" priority="140">
      <formula>IF(F$3=TODAY()-WEEKDAY(TODAY())+7,TRUE,FALSE)</formula>
    </cfRule>
  </conditionalFormatting>
  <conditionalFormatting sqref="E56">
    <cfRule type="expression" dxfId="614" priority="139">
      <formula>IF(E$3=TODAY()-WEEKDAY(TODAY())+7,TRUE,FALSE)</formula>
    </cfRule>
  </conditionalFormatting>
  <conditionalFormatting sqref="F56:K56 M56:BD56">
    <cfRule type="expression" dxfId="613" priority="138">
      <formula>IF(F$3=TODAY()-WEEKDAY(TODAY())+7,TRUE,FALSE)</formula>
    </cfRule>
  </conditionalFormatting>
  <conditionalFormatting sqref="E99:K101 E122:K122 M122:BD122 M99:BD101 E99:BD99">
    <cfRule type="expression" dxfId="612" priority="135">
      <formula>IF(E$3=TODAY()-WEEKDAY(TODAY())+7,TRUE,FALSE)</formula>
    </cfRule>
  </conditionalFormatting>
  <conditionalFormatting sqref="E116:BD116">
    <cfRule type="expression" dxfId="611" priority="134">
      <formula>IF(E$3=TODAY()-WEEKDAY(TODAY())+7,TRUE,FALSE)</formula>
    </cfRule>
  </conditionalFormatting>
  <conditionalFormatting sqref="E119:K119 M119:BD119">
    <cfRule type="expression" dxfId="610" priority="133">
      <formula>IF(E$3=TODAY()-WEEKDAY(TODAY())+7,TRUE,FALSE)</formula>
    </cfRule>
  </conditionalFormatting>
  <conditionalFormatting sqref="E120:BD120">
    <cfRule type="expression" dxfId="609" priority="132">
      <formula>IF(E$3=TODAY()-WEEKDAY(TODAY())+7,TRUE,FALSE)</formula>
    </cfRule>
  </conditionalFormatting>
  <conditionalFormatting sqref="E109:K115 M109:BD115">
    <cfRule type="cellIs" dxfId="608" priority="130" operator="lessThan">
      <formula>0</formula>
    </cfRule>
  </conditionalFormatting>
  <conditionalFormatting sqref="E109:K115 M109:BD115">
    <cfRule type="expression" dxfId="607" priority="131">
      <formula>IF(E$3=TODAY()-WEEKDAY(TODAY())+7,TRUE,FALSE)</formula>
    </cfRule>
  </conditionalFormatting>
  <conditionalFormatting sqref="M116:BD116">
    <cfRule type="expression" dxfId="606" priority="129">
      <formula>IF(M$3=TODAY()-WEEKDAY(TODAY())+7,TRUE,FALSE)</formula>
    </cfRule>
  </conditionalFormatting>
  <conditionalFormatting sqref="E117:K117 M117:BD117">
    <cfRule type="expression" dxfId="605" priority="128">
      <formula>IF(E$3=TODAY()-WEEKDAY(TODAY())+7,TRUE,FALSE)</formula>
    </cfRule>
  </conditionalFormatting>
  <conditionalFormatting sqref="E103:K103 M103:BD103">
    <cfRule type="expression" dxfId="604" priority="127">
      <formula>IF(E$3=TODAY()-WEEKDAY(TODAY())+7,TRUE,FALSE)</formula>
    </cfRule>
  </conditionalFormatting>
  <conditionalFormatting sqref="E104:K104 M104:BD104">
    <cfRule type="expression" dxfId="603" priority="126">
      <formula>IF(E$3=TODAY()-WEEKDAY(TODAY())+7,TRUE,FALSE)</formula>
    </cfRule>
  </conditionalFormatting>
  <conditionalFormatting sqref="E105:K105 M105:BD105">
    <cfRule type="expression" dxfId="602" priority="125">
      <formula>IF(E$3=TODAY()-WEEKDAY(TODAY())+7,TRUE,FALSE)</formula>
    </cfRule>
  </conditionalFormatting>
  <conditionalFormatting sqref="E106:K106 M106:BD106">
    <cfRule type="expression" dxfId="601" priority="124">
      <formula>IF(E$3=TODAY()-WEEKDAY(TODAY())+7,TRUE,FALSE)</formula>
    </cfRule>
  </conditionalFormatting>
  <conditionalFormatting sqref="F102:K102 M102:BD102">
    <cfRule type="expression" dxfId="600" priority="122">
      <formula>IF(F$3=TODAY()-WEEKDAY(TODAY())+7,TRUE,FALSE)</formula>
    </cfRule>
  </conditionalFormatting>
  <conditionalFormatting sqref="E102:K102 M102:BD102">
    <cfRule type="expression" dxfId="599" priority="123">
      <formula>IF(E$3=TODAY()-WEEKDAY(TODAY())+7,TRUE,FALSE)</formula>
    </cfRule>
  </conditionalFormatting>
  <conditionalFormatting sqref="E10:BD16">
    <cfRule type="expression" dxfId="598" priority="121">
      <formula>IF(E$3=TODAY()-WEEKDAY(TODAY())+7,TRUE,FALSE)</formula>
    </cfRule>
  </conditionalFormatting>
  <conditionalFormatting sqref="E27:K27 M27:BD27">
    <cfRule type="cellIs" dxfId="597" priority="119" operator="greaterThan">
      <formula>0</formula>
    </cfRule>
    <cfRule type="cellIs" dxfId="596" priority="120" operator="lessThan">
      <formula>0</formula>
    </cfRule>
  </conditionalFormatting>
  <conditionalFormatting sqref="M51:BD51 E51:K51">
    <cfRule type="cellIs" dxfId="595" priority="117" operator="greaterThan">
      <formula>0</formula>
    </cfRule>
    <cfRule type="cellIs" dxfId="594" priority="118" operator="lessThan">
      <formula>0</formula>
    </cfRule>
  </conditionalFormatting>
  <conditionalFormatting sqref="E73:K73 M73:BD73">
    <cfRule type="cellIs" dxfId="593" priority="115" operator="greaterThan">
      <formula>0</formula>
    </cfRule>
    <cfRule type="cellIs" dxfId="592" priority="116" operator="lessThan">
      <formula>0</formula>
    </cfRule>
  </conditionalFormatting>
  <conditionalFormatting sqref="E96:K96 M96:BD96">
    <cfRule type="cellIs" dxfId="591" priority="113" operator="greaterThan">
      <formula>0</formula>
    </cfRule>
    <cfRule type="cellIs" dxfId="590" priority="114" operator="lessThan">
      <formula>0</formula>
    </cfRule>
  </conditionalFormatting>
  <conditionalFormatting sqref="E118:K118 M118:BD118">
    <cfRule type="cellIs" dxfId="589" priority="111" operator="greaterThan">
      <formula>0</formula>
    </cfRule>
    <cfRule type="cellIs" dxfId="588" priority="112" operator="lessThan">
      <formula>0</formula>
    </cfRule>
  </conditionalFormatting>
  <conditionalFormatting sqref="G18:K24 M18:BD24">
    <cfRule type="cellIs" dxfId="587" priority="109" operator="lessThan">
      <formula>0</formula>
    </cfRule>
  </conditionalFormatting>
  <conditionalFormatting sqref="G18:K24 M18:BD24">
    <cfRule type="expression" dxfId="586" priority="110">
      <formula>IF(G$3=TODAY()-WEEKDAY(TODAY())+7,TRUE,FALSE)</formula>
    </cfRule>
  </conditionalFormatting>
  <conditionalFormatting sqref="L30 L121">
    <cfRule type="expression" dxfId="585" priority="107">
      <formula>IF(L$3=TODAY()-WEEKDAY(TODAY())+7,TRUE,FALSE)</formula>
    </cfRule>
  </conditionalFormatting>
  <conditionalFormatting sqref="L28">
    <cfRule type="expression" dxfId="584" priority="108">
      <formula>IF(L$3=TODAY()-WEEKDAY(TODAY())+7,TRUE,FALSE)</formula>
    </cfRule>
  </conditionalFormatting>
  <conditionalFormatting sqref="L54">
    <cfRule type="expression" dxfId="583" priority="104">
      <formula>IF(L$3=TODAY()-WEEKDAY(TODAY())+7,TRUE,FALSE)</formula>
    </cfRule>
  </conditionalFormatting>
  <conditionalFormatting sqref="L49">
    <cfRule type="expression" dxfId="582" priority="106">
      <formula>IF(L$3=TODAY()-WEEKDAY(TODAY())+7,TRUE,FALSE)</formula>
    </cfRule>
  </conditionalFormatting>
  <conditionalFormatting sqref="L52">
    <cfRule type="expression" dxfId="581" priority="105">
      <formula>IF(L$3=TODAY()-WEEKDAY(TODAY())+7,TRUE,FALSE)</formula>
    </cfRule>
  </conditionalFormatting>
  <conditionalFormatting sqref="L97">
    <cfRule type="expression" dxfId="580" priority="103">
      <formula>IF(L$3=TODAY()-WEEKDAY(TODAY())+7,TRUE,FALSE)</formula>
    </cfRule>
  </conditionalFormatting>
  <conditionalFormatting sqref="L32">
    <cfRule type="expression" dxfId="579" priority="102">
      <formula>IF(L$3=TODAY()-WEEKDAY(TODAY())+7,TRUE,FALSE)</formula>
    </cfRule>
  </conditionalFormatting>
  <conditionalFormatting sqref="L31">
    <cfRule type="expression" dxfId="578" priority="101">
      <formula>IF(L$3=TODAY()-WEEKDAY(TODAY())+7,TRUE,FALSE)</formula>
    </cfRule>
  </conditionalFormatting>
  <conditionalFormatting sqref="L29">
    <cfRule type="expression" dxfId="577" priority="100">
      <formula>IF(L$3=TODAY()-WEEKDAY(TODAY())+7,TRUE,FALSE)</formula>
    </cfRule>
  </conditionalFormatting>
  <conditionalFormatting sqref="L53">
    <cfRule type="expression" dxfId="576" priority="99">
      <formula>IF(L$3=TODAY()-WEEKDAY(TODAY())+7,TRUE,FALSE)</formula>
    </cfRule>
  </conditionalFormatting>
  <conditionalFormatting sqref="L98">
    <cfRule type="expression" dxfId="575" priority="98">
      <formula>IF(L$3=TODAY()-WEEKDAY(TODAY())+7,TRUE,FALSE)</formula>
    </cfRule>
  </conditionalFormatting>
  <conditionalFormatting sqref="L25">
    <cfRule type="expression" dxfId="574" priority="97">
      <formula>IF(L$3=TODAY()-WEEKDAY(TODAY())+7,TRUE,FALSE)</formula>
    </cfRule>
  </conditionalFormatting>
  <conditionalFormatting sqref="L26">
    <cfRule type="expression" dxfId="573" priority="96">
      <formula>IF(L$3=TODAY()-WEEKDAY(TODAY())+7,TRUE,FALSE)</formula>
    </cfRule>
  </conditionalFormatting>
  <conditionalFormatting sqref="L33">
    <cfRule type="cellIs" dxfId="572" priority="94" operator="lessThan">
      <formula>0</formula>
    </cfRule>
  </conditionalFormatting>
  <conditionalFormatting sqref="L33">
    <cfRule type="expression" dxfId="571" priority="95">
      <formula>IF(L$3=TODAY()-WEEKDAY(TODAY())+7,TRUE,FALSE)</formula>
    </cfRule>
  </conditionalFormatting>
  <conditionalFormatting sqref="L42:L48">
    <cfRule type="cellIs" dxfId="570" priority="92" operator="lessThan">
      <formula>0</formula>
    </cfRule>
  </conditionalFormatting>
  <conditionalFormatting sqref="L42:L48">
    <cfRule type="expression" dxfId="569" priority="93">
      <formula>IF(L$3=TODAY()-WEEKDAY(TODAY())+7,TRUE,FALSE)</formula>
    </cfRule>
  </conditionalFormatting>
  <conditionalFormatting sqref="L50">
    <cfRule type="expression" dxfId="568" priority="91">
      <formula>IF(L$3=TODAY()-WEEKDAY(TODAY())+7,TRUE,FALSE)</formula>
    </cfRule>
  </conditionalFormatting>
  <conditionalFormatting sqref="L61">
    <cfRule type="expression" dxfId="567" priority="90">
      <formula>IF(L$3=TODAY()-WEEKDAY(TODAY())+7,TRUE,FALSE)</formula>
    </cfRule>
  </conditionalFormatting>
  <conditionalFormatting sqref="L64:L70">
    <cfRule type="cellIs" dxfId="566" priority="88" operator="lessThan">
      <formula>0</formula>
    </cfRule>
  </conditionalFormatting>
  <conditionalFormatting sqref="L64:L70">
    <cfRule type="expression" dxfId="565" priority="89">
      <formula>IF(L$3=TODAY()-WEEKDAY(TODAY())+7,TRUE,FALSE)</formula>
    </cfRule>
  </conditionalFormatting>
  <conditionalFormatting sqref="L72">
    <cfRule type="expression" dxfId="564" priority="87">
      <formula>IF(L$3=TODAY()-WEEKDAY(TODAY())+7,TRUE,FALSE)</formula>
    </cfRule>
  </conditionalFormatting>
  <conditionalFormatting sqref="L71">
    <cfRule type="expression" dxfId="563" priority="86">
      <formula>IF(L$3=TODAY()-WEEKDAY(TODAY())+7,TRUE,FALSE)</formula>
    </cfRule>
  </conditionalFormatting>
  <conditionalFormatting sqref="L74">
    <cfRule type="expression" dxfId="562" priority="85">
      <formula>IF(L$3=TODAY()-WEEKDAY(TODAY())+7,TRUE,FALSE)</formula>
    </cfRule>
  </conditionalFormatting>
  <conditionalFormatting sqref="L76">
    <cfRule type="expression" dxfId="561" priority="84">
      <formula>IF(L$3=TODAY()-WEEKDAY(TODAY())+7,TRUE,FALSE)</formula>
    </cfRule>
  </conditionalFormatting>
  <conditionalFormatting sqref="L75">
    <cfRule type="expression" dxfId="560" priority="83">
      <formula>IF(L$3=TODAY()-WEEKDAY(TODAY())+7,TRUE,FALSE)</formula>
    </cfRule>
  </conditionalFormatting>
  <conditionalFormatting sqref="L83:L84">
    <cfRule type="expression" dxfId="559" priority="82">
      <formula>IF(L$3=TODAY()-WEEKDAY(TODAY())+7,TRUE,FALSE)</formula>
    </cfRule>
  </conditionalFormatting>
  <conditionalFormatting sqref="L87:L93">
    <cfRule type="cellIs" dxfId="558" priority="80" operator="lessThan">
      <formula>0</formula>
    </cfRule>
  </conditionalFormatting>
  <conditionalFormatting sqref="L87:L93">
    <cfRule type="expression" dxfId="557" priority="81">
      <formula>IF(L$3=TODAY()-WEEKDAY(TODAY())+7,TRUE,FALSE)</formula>
    </cfRule>
  </conditionalFormatting>
  <conditionalFormatting sqref="L94">
    <cfRule type="expression" dxfId="556" priority="79">
      <formula>IF(L$3=TODAY()-WEEKDAY(TODAY())+7,TRUE,FALSE)</formula>
    </cfRule>
  </conditionalFormatting>
  <conditionalFormatting sqref="L95">
    <cfRule type="expression" dxfId="555" priority="78">
      <formula>IF(L$3=TODAY()-WEEKDAY(TODAY())+7,TRUE,FALSE)</formula>
    </cfRule>
  </conditionalFormatting>
  <conditionalFormatting sqref="L144">
    <cfRule type="expression" dxfId="554" priority="77">
      <formula>IF(L$3=TODAY()-WEEKDAY(TODAY())+7,TRUE,FALSE)</formula>
    </cfRule>
  </conditionalFormatting>
  <conditionalFormatting sqref="L147">
    <cfRule type="expression" dxfId="553" priority="74">
      <formula>IF(L$3=TODAY()-WEEKDAY(TODAY())+7,TRUE,FALSE)</formula>
    </cfRule>
  </conditionalFormatting>
  <conditionalFormatting sqref="L145">
    <cfRule type="expression" dxfId="552" priority="76">
      <formula>IF(L$3=TODAY()-WEEKDAY(TODAY())+7,TRUE,FALSE)</formula>
    </cfRule>
  </conditionalFormatting>
  <conditionalFormatting sqref="L146">
    <cfRule type="expression" dxfId="551" priority="75">
      <formula>IF(L$3=TODAY()-WEEKDAY(TODAY())+7,TRUE,FALSE)</formula>
    </cfRule>
  </conditionalFormatting>
  <conditionalFormatting sqref="L36">
    <cfRule type="expression" dxfId="550" priority="73">
      <formula>IF(L$3=TODAY()-WEEKDAY(TODAY())+7,TRUE,FALSE)</formula>
    </cfRule>
  </conditionalFormatting>
  <conditionalFormatting sqref="L37">
    <cfRule type="expression" dxfId="549" priority="72">
      <formula>IF(L$3=TODAY()-WEEKDAY(TODAY())+7,TRUE,FALSE)</formula>
    </cfRule>
  </conditionalFormatting>
  <conditionalFormatting sqref="L38">
    <cfRule type="expression" dxfId="548" priority="71">
      <formula>IF(L$3=TODAY()-WEEKDAY(TODAY())+7,TRUE,FALSE)</formula>
    </cfRule>
  </conditionalFormatting>
  <conditionalFormatting sqref="L39">
    <cfRule type="expression" dxfId="547" priority="70">
      <formula>IF(L$3=TODAY()-WEEKDAY(TODAY())+7,TRUE,FALSE)</formula>
    </cfRule>
  </conditionalFormatting>
  <conditionalFormatting sqref="L3">
    <cfRule type="expression" dxfId="546" priority="69">
      <formula>IF(L$3=TODAY()-WEEKDAY(TODAY())+7,TRUE,FALSE)</formula>
    </cfRule>
  </conditionalFormatting>
  <conditionalFormatting sqref="L4">
    <cfRule type="expression" dxfId="545" priority="68">
      <formula>IF(L$3=TODAY()-WEEKDAY(TODAY())+7,TRUE,FALSE)</formula>
    </cfRule>
  </conditionalFormatting>
  <conditionalFormatting sqref="L5">
    <cfRule type="expression" dxfId="544" priority="67">
      <formula>IF(L$3=TODAY()-WEEKDAY(TODAY())+7,TRUE,FALSE)</formula>
    </cfRule>
  </conditionalFormatting>
  <conditionalFormatting sqref="L6">
    <cfRule type="expression" dxfId="543" priority="66">
      <formula>IF(L$3=TODAY()-WEEKDAY(TODAY())+7,TRUE,FALSE)</formula>
    </cfRule>
  </conditionalFormatting>
  <conditionalFormatting sqref="L57">
    <cfRule type="expression" dxfId="542" priority="65">
      <formula>IF(L$3=TODAY()-WEEKDAY(TODAY())+7,TRUE,FALSE)</formula>
    </cfRule>
  </conditionalFormatting>
  <conditionalFormatting sqref="L58">
    <cfRule type="expression" dxfId="541" priority="64">
      <formula>IF(L$3=TODAY()-WEEKDAY(TODAY())+7,TRUE,FALSE)</formula>
    </cfRule>
  </conditionalFormatting>
  <conditionalFormatting sqref="L59">
    <cfRule type="expression" dxfId="540" priority="63">
      <formula>IF(L$3=TODAY()-WEEKDAY(TODAY())+7,TRUE,FALSE)</formula>
    </cfRule>
  </conditionalFormatting>
  <conditionalFormatting sqref="L60">
    <cfRule type="expression" dxfId="539" priority="62">
      <formula>IF(L$3=TODAY()-WEEKDAY(TODAY())+7,TRUE,FALSE)</formula>
    </cfRule>
  </conditionalFormatting>
  <conditionalFormatting sqref="L79">
    <cfRule type="expression" dxfId="538" priority="61">
      <formula>IF(L$3=TODAY()-WEEKDAY(TODAY())+7,TRUE,FALSE)</formula>
    </cfRule>
  </conditionalFormatting>
  <conditionalFormatting sqref="L80">
    <cfRule type="expression" dxfId="537" priority="60">
      <formula>IF(L$3=TODAY()-WEEKDAY(TODAY())+7,TRUE,FALSE)</formula>
    </cfRule>
  </conditionalFormatting>
  <conditionalFormatting sqref="L81">
    <cfRule type="expression" dxfId="536" priority="59">
      <formula>IF(L$3=TODAY()-WEEKDAY(TODAY())+7,TRUE,FALSE)</formula>
    </cfRule>
  </conditionalFormatting>
  <conditionalFormatting sqref="L82">
    <cfRule type="expression" dxfId="535" priority="58">
      <formula>IF(L$3=TODAY()-WEEKDAY(TODAY())+7,TRUE,FALSE)</formula>
    </cfRule>
  </conditionalFormatting>
  <conditionalFormatting sqref="L25">
    <cfRule type="expression" dxfId="534" priority="57">
      <formula>IF(L$3=TODAY()-WEEKDAY(TODAY())+7,TRUE,FALSE)</formula>
    </cfRule>
  </conditionalFormatting>
  <conditionalFormatting sqref="L125">
    <cfRule type="expression" dxfId="533" priority="56">
      <formula>IF(L$3=TODAY()-WEEKDAY(TODAY())+7,TRUE,FALSE)</formula>
    </cfRule>
  </conditionalFormatting>
  <conditionalFormatting sqref="L126">
    <cfRule type="expression" dxfId="532" priority="55">
      <formula>IF(L$3=TODAY()-WEEKDAY(TODAY())+7,TRUE,FALSE)</formula>
    </cfRule>
  </conditionalFormatting>
  <conditionalFormatting sqref="L127:L131">
    <cfRule type="expression" dxfId="531" priority="54">
      <formula>IF(L$3=TODAY()-WEEKDAY(TODAY())+7,TRUE,FALSE)</formula>
    </cfRule>
  </conditionalFormatting>
  <conditionalFormatting sqref="L2">
    <cfRule type="expression" dxfId="530" priority="53">
      <formula>IF(L$3=TODAY()-WEEKDAY(TODAY())+7,TRUE,FALSE)</formula>
    </cfRule>
  </conditionalFormatting>
  <conditionalFormatting sqref="L123">
    <cfRule type="expression" dxfId="529" priority="52">
      <formula>IF(L$3=TODAY()-WEEKDAY(TODAY())+7,TRUE,FALSE)</formula>
    </cfRule>
  </conditionalFormatting>
  <conditionalFormatting sqref="L78">
    <cfRule type="expression" dxfId="528" priority="49">
      <formula>IF(L$3=TODAY()-WEEKDAY(TODAY())+7,TRUE,FALSE)</formula>
    </cfRule>
  </conditionalFormatting>
  <conditionalFormatting sqref="L35">
    <cfRule type="expression" dxfId="527" priority="51">
      <formula>IF(L$3=TODAY()-WEEKDAY(TODAY())+7,TRUE,FALSE)</formula>
    </cfRule>
  </conditionalFormatting>
  <conditionalFormatting sqref="L56">
    <cfRule type="expression" dxfId="526" priority="50">
      <formula>IF(L$3=TODAY()-WEEKDAY(TODAY())+7,TRUE,FALSE)</formula>
    </cfRule>
  </conditionalFormatting>
  <conditionalFormatting sqref="L99:L101 L122">
    <cfRule type="expression" dxfId="525" priority="48">
      <formula>IF(L$3=TODAY()-WEEKDAY(TODAY())+7,TRUE,FALSE)</formula>
    </cfRule>
  </conditionalFormatting>
  <conditionalFormatting sqref="L119">
    <cfRule type="expression" dxfId="524" priority="47">
      <formula>IF(L$3=TODAY()-WEEKDAY(TODAY())+7,TRUE,FALSE)</formula>
    </cfRule>
  </conditionalFormatting>
  <conditionalFormatting sqref="L120">
    <cfRule type="expression" dxfId="523" priority="46">
      <formula>IF(L$3=TODAY()-WEEKDAY(TODAY())+7,TRUE,FALSE)</formula>
    </cfRule>
  </conditionalFormatting>
  <conditionalFormatting sqref="L109:L115">
    <cfRule type="cellIs" dxfId="522" priority="44" operator="lessThan">
      <formula>0</formula>
    </cfRule>
  </conditionalFormatting>
  <conditionalFormatting sqref="L109:L115">
    <cfRule type="expression" dxfId="521" priority="45">
      <formula>IF(L$3=TODAY()-WEEKDAY(TODAY())+7,TRUE,FALSE)</formula>
    </cfRule>
  </conditionalFormatting>
  <conditionalFormatting sqref="L116">
    <cfRule type="expression" dxfId="520" priority="43">
      <formula>IF(L$3=TODAY()-WEEKDAY(TODAY())+7,TRUE,FALSE)</formula>
    </cfRule>
  </conditionalFormatting>
  <conditionalFormatting sqref="L117">
    <cfRule type="expression" dxfId="519" priority="42">
      <formula>IF(L$3=TODAY()-WEEKDAY(TODAY())+7,TRUE,FALSE)</formula>
    </cfRule>
  </conditionalFormatting>
  <conditionalFormatting sqref="L103">
    <cfRule type="expression" dxfId="518" priority="41">
      <formula>IF(L$3=TODAY()-WEEKDAY(TODAY())+7,TRUE,FALSE)</formula>
    </cfRule>
  </conditionalFormatting>
  <conditionalFormatting sqref="L104">
    <cfRule type="expression" dxfId="517" priority="40">
      <formula>IF(L$3=TODAY()-WEEKDAY(TODAY())+7,TRUE,FALSE)</formula>
    </cfRule>
  </conditionalFormatting>
  <conditionalFormatting sqref="L105">
    <cfRule type="expression" dxfId="516" priority="39">
      <formula>IF(L$3=TODAY()-WEEKDAY(TODAY())+7,TRUE,FALSE)</formula>
    </cfRule>
  </conditionalFormatting>
  <conditionalFormatting sqref="L106">
    <cfRule type="expression" dxfId="515" priority="38">
      <formula>IF(L$3=TODAY()-WEEKDAY(TODAY())+7,TRUE,FALSE)</formula>
    </cfRule>
  </conditionalFormatting>
  <conditionalFormatting sqref="L102">
    <cfRule type="expression" dxfId="514" priority="36">
      <formula>IF(L$3=TODAY()-WEEKDAY(TODAY())+7,TRUE,FALSE)</formula>
    </cfRule>
  </conditionalFormatting>
  <conditionalFormatting sqref="L102">
    <cfRule type="expression" dxfId="513" priority="37">
      <formula>IF(L$3=TODAY()-WEEKDAY(TODAY())+7,TRUE,FALSE)</formula>
    </cfRule>
  </conditionalFormatting>
  <conditionalFormatting sqref="L10:L16">
    <cfRule type="expression" dxfId="512" priority="35">
      <formula>IF(L$3=TODAY()-WEEKDAY(TODAY())+7,TRUE,FALSE)</formula>
    </cfRule>
  </conditionalFormatting>
  <conditionalFormatting sqref="L27">
    <cfRule type="cellIs" dxfId="511" priority="33" operator="greaterThan">
      <formula>0</formula>
    </cfRule>
    <cfRule type="cellIs" dxfId="510" priority="34" operator="lessThan">
      <formula>0</formula>
    </cfRule>
  </conditionalFormatting>
  <conditionalFormatting sqref="L51">
    <cfRule type="cellIs" dxfId="509" priority="31" operator="greaterThan">
      <formula>0</formula>
    </cfRule>
    <cfRule type="cellIs" dxfId="508" priority="32" operator="lessThan">
      <formula>0</formula>
    </cfRule>
  </conditionalFormatting>
  <conditionalFormatting sqref="L73">
    <cfRule type="cellIs" dxfId="507" priority="29" operator="greaterThan">
      <formula>0</formula>
    </cfRule>
    <cfRule type="cellIs" dxfId="506" priority="30" operator="lessThan">
      <formula>0</formula>
    </cfRule>
  </conditionalFormatting>
  <conditionalFormatting sqref="L96">
    <cfRule type="cellIs" dxfId="505" priority="27" operator="greaterThan">
      <formula>0</formula>
    </cfRule>
    <cfRule type="cellIs" dxfId="504" priority="28" operator="lessThan">
      <formula>0</formula>
    </cfRule>
  </conditionalFormatting>
  <conditionalFormatting sqref="L118">
    <cfRule type="cellIs" dxfId="503" priority="25" operator="greaterThan">
      <formula>0</formula>
    </cfRule>
    <cfRule type="cellIs" dxfId="502" priority="26" operator="lessThan">
      <formula>0</formula>
    </cfRule>
  </conditionalFormatting>
  <conditionalFormatting sqref="L18:L24">
    <cfRule type="cellIs" dxfId="501" priority="23" operator="lessThan">
      <formula>0</formula>
    </cfRule>
  </conditionalFormatting>
  <conditionalFormatting sqref="L18:L24">
    <cfRule type="expression" dxfId="500" priority="24">
      <formula>IF(L$3=TODAY()-WEEKDAY(TODAY())+7,TRUE,FALSE)</formula>
    </cfRule>
  </conditionalFormatting>
  <conditionalFormatting sqref="E26:BD26">
    <cfRule type="expression" dxfId="499" priority="20">
      <formula>IF(E$3=TODAY()-WEEKDAY(TODAY())+7,TRUE,FALSE)</formula>
    </cfRule>
  </conditionalFormatting>
  <conditionalFormatting sqref="E144:BD144">
    <cfRule type="expression" dxfId="498" priority="19">
      <formula>IF(E$3=TODAY()-WEEKDAY(TODAY())+7,TRUE,FALSE)</formula>
    </cfRule>
  </conditionalFormatting>
  <conditionalFormatting sqref="E7:BD7">
    <cfRule type="cellIs" dxfId="497" priority="17" operator="lessThan">
      <formula>0</formula>
    </cfRule>
    <cfRule type="cellIs" dxfId="496" priority="18" operator="greaterThan">
      <formula>0</formula>
    </cfRule>
  </conditionalFormatting>
  <conditionalFormatting sqref="E40:BD40">
    <cfRule type="cellIs" dxfId="495" priority="7" operator="lessThan">
      <formula>0</formula>
    </cfRule>
    <cfRule type="cellIs" dxfId="494" priority="8" operator="greaterThan">
      <formula>0</formula>
    </cfRule>
  </conditionalFormatting>
  <conditionalFormatting sqref="E62:BD62">
    <cfRule type="cellIs" dxfId="493" priority="5" operator="lessThan">
      <formula>0</formula>
    </cfRule>
    <cfRule type="cellIs" dxfId="492" priority="6" operator="greaterThan">
      <formula>0</formula>
    </cfRule>
  </conditionalFormatting>
  <conditionalFormatting sqref="E85:BD85">
    <cfRule type="cellIs" dxfId="491" priority="3" operator="lessThan">
      <formula>0</formula>
    </cfRule>
    <cfRule type="cellIs" dxfId="490" priority="4" operator="greaterThan">
      <formula>0</formula>
    </cfRule>
  </conditionalFormatting>
  <conditionalFormatting sqref="E107:BD107">
    <cfRule type="cellIs" dxfId="489" priority="1" operator="lessThan">
      <formula>0</formula>
    </cfRule>
    <cfRule type="cellIs" dxfId="488" priority="2" operator="greaterThan">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CEE17-B2A6-424B-B20B-41AC516FBCDF}">
  <sheetPr codeName="Sheet6"/>
  <dimension ref="B2:BD147"/>
  <sheetViews>
    <sheetView showGridLines="0" zoomScale="90" zoomScaleNormal="90" workbookViewId="0">
      <pane xSplit="6" ySplit="2" topLeftCell="O81" activePane="bottomRight" state="frozen"/>
      <selection pane="topRight" activeCell="G1" sqref="G1"/>
      <selection pane="bottomLeft" activeCell="A3" sqref="A3"/>
      <selection pane="bottomRight" activeCell="C79" sqref="C79:C99"/>
    </sheetView>
  </sheetViews>
  <sheetFormatPr defaultRowHeight="15" x14ac:dyDescent="0.25"/>
  <cols>
    <col min="1" max="1" width="9.140625" style="6"/>
    <col min="2" max="2" width="4.140625" style="6" customWidth="1"/>
    <col min="3" max="3" width="21.85546875" style="6" bestFit="1" customWidth="1"/>
    <col min="4" max="4" width="27.140625" style="41" bestFit="1" customWidth="1"/>
    <col min="5" max="5" width="9" style="43" hidden="1" customWidth="1"/>
    <col min="6" max="6" width="9.85546875" style="43" hidden="1" customWidth="1"/>
    <col min="7" max="7" width="10.140625" style="43" hidden="1" customWidth="1"/>
    <col min="8" max="8" width="10.140625" style="41" hidden="1" customWidth="1"/>
    <col min="9" max="9" width="9.28515625" style="41" hidden="1" customWidth="1"/>
    <col min="10" max="11" width="10.140625" style="41" hidden="1" customWidth="1"/>
    <col min="12" max="12" width="10.42578125" style="41" hidden="1" customWidth="1"/>
    <col min="13" max="13" width="9.28515625" style="41" hidden="1" customWidth="1"/>
    <col min="14" max="15" width="10.140625" style="6" hidden="1" customWidth="1"/>
    <col min="16" max="16" width="10.42578125" style="6" hidden="1" customWidth="1"/>
    <col min="17" max="18" width="9.28515625" style="6" hidden="1" customWidth="1"/>
    <col min="19" max="19" width="10.140625" style="6" hidden="1" customWidth="1"/>
    <col min="20" max="20" width="10.42578125" style="6" hidden="1" customWidth="1"/>
    <col min="21" max="21" width="10.42578125" style="41" hidden="1" customWidth="1"/>
    <col min="22" max="22" width="9.28515625" style="6" hidden="1" customWidth="1"/>
    <col min="23" max="24" width="10.140625" style="6" bestFit="1" customWidth="1"/>
    <col min="25" max="25" width="10.42578125" style="6" bestFit="1" customWidth="1"/>
    <col min="26" max="26" width="9.28515625" style="6" bestFit="1" customWidth="1"/>
    <col min="27" max="27" width="9.85546875" style="6" bestFit="1" customWidth="1"/>
    <col min="28" max="28" width="10.140625" style="6" bestFit="1" customWidth="1"/>
    <col min="29" max="29" width="10.42578125" style="6" bestFit="1" customWidth="1"/>
    <col min="30" max="31" width="9.28515625" style="6" bestFit="1" customWidth="1"/>
    <col min="32" max="32" width="10.140625" style="6" bestFit="1" customWidth="1"/>
    <col min="33" max="34" width="10.42578125" style="6" bestFit="1" customWidth="1"/>
    <col min="35" max="35" width="9.28515625" style="6" bestFit="1" customWidth="1"/>
    <col min="36" max="36" width="10.140625" style="6" bestFit="1" customWidth="1"/>
    <col min="37" max="38" width="10.42578125" style="6" bestFit="1" customWidth="1"/>
    <col min="39" max="39" width="9.28515625" style="6" bestFit="1" customWidth="1"/>
    <col min="40" max="41" width="10.140625" style="6" bestFit="1" customWidth="1"/>
    <col min="42" max="42" width="10.42578125" style="6" bestFit="1" customWidth="1"/>
    <col min="43" max="43" width="9.85546875" style="6" bestFit="1" customWidth="1"/>
    <col min="44" max="44" width="10.140625" style="6" bestFit="1" customWidth="1"/>
    <col min="45" max="45" width="11" style="6" bestFit="1" customWidth="1"/>
    <col min="46" max="47" width="11.28515625" style="6" bestFit="1" customWidth="1"/>
    <col min="48" max="48" width="9.85546875" style="6" bestFit="1" customWidth="1"/>
    <col min="49" max="50" width="10.5703125" style="6" bestFit="1" customWidth="1"/>
    <col min="51" max="51" width="11" style="6" bestFit="1" customWidth="1"/>
    <col min="52" max="52" width="10.140625" style="6" bestFit="1" customWidth="1"/>
    <col min="53" max="54" width="11" style="6" bestFit="1" customWidth="1"/>
    <col min="55" max="55" width="11.28515625" style="6" bestFit="1" customWidth="1"/>
    <col min="56" max="56" width="11" style="6" bestFit="1" customWidth="1"/>
    <col min="57" max="16384" width="9.140625" style="6"/>
  </cols>
  <sheetData>
    <row r="2" spans="3:56" ht="26.25" x14ac:dyDescent="0.4">
      <c r="D2" s="47" t="s">
        <v>32</v>
      </c>
      <c r="E2" s="82">
        <v>44569</v>
      </c>
      <c r="F2" s="82">
        <f>E2+7</f>
        <v>44576</v>
      </c>
      <c r="G2" s="82">
        <f t="shared" ref="G2:BD2" si="0">F2+7</f>
        <v>44583</v>
      </c>
      <c r="H2" s="82">
        <f t="shared" si="0"/>
        <v>44590</v>
      </c>
      <c r="I2" s="82">
        <f t="shared" si="0"/>
        <v>44597</v>
      </c>
      <c r="J2" s="82">
        <f t="shared" si="0"/>
        <v>44604</v>
      </c>
      <c r="K2" s="82">
        <f t="shared" si="0"/>
        <v>44611</v>
      </c>
      <c r="L2" s="82">
        <f t="shared" si="0"/>
        <v>44618</v>
      </c>
      <c r="M2" s="82">
        <f t="shared" si="0"/>
        <v>44625</v>
      </c>
      <c r="N2" s="82">
        <f t="shared" si="0"/>
        <v>44632</v>
      </c>
      <c r="O2" s="82">
        <f t="shared" si="0"/>
        <v>44639</v>
      </c>
      <c r="P2" s="82">
        <f t="shared" si="0"/>
        <v>44646</v>
      </c>
      <c r="Q2" s="82">
        <f t="shared" si="0"/>
        <v>44653</v>
      </c>
      <c r="R2" s="82">
        <f t="shared" si="0"/>
        <v>44660</v>
      </c>
      <c r="S2" s="82">
        <f t="shared" si="0"/>
        <v>44667</v>
      </c>
      <c r="T2" s="82">
        <f t="shared" si="0"/>
        <v>44674</v>
      </c>
      <c r="U2" s="82">
        <f t="shared" si="0"/>
        <v>44681</v>
      </c>
      <c r="V2" s="82">
        <f t="shared" si="0"/>
        <v>44688</v>
      </c>
      <c r="W2" s="82">
        <f t="shared" si="0"/>
        <v>44695</v>
      </c>
      <c r="X2" s="82">
        <f t="shared" si="0"/>
        <v>44702</v>
      </c>
      <c r="Y2" s="82">
        <f t="shared" si="0"/>
        <v>44709</v>
      </c>
      <c r="Z2" s="82">
        <f t="shared" si="0"/>
        <v>44716</v>
      </c>
      <c r="AA2" s="82">
        <f t="shared" si="0"/>
        <v>44723</v>
      </c>
      <c r="AB2" s="82">
        <f t="shared" si="0"/>
        <v>44730</v>
      </c>
      <c r="AC2" s="82">
        <f t="shared" si="0"/>
        <v>44737</v>
      </c>
      <c r="AD2" s="82">
        <f t="shared" si="0"/>
        <v>44744</v>
      </c>
      <c r="AE2" s="82">
        <f t="shared" si="0"/>
        <v>44751</v>
      </c>
      <c r="AF2" s="82">
        <f t="shared" si="0"/>
        <v>44758</v>
      </c>
      <c r="AG2" s="82">
        <f t="shared" si="0"/>
        <v>44765</v>
      </c>
      <c r="AH2" s="82">
        <f t="shared" si="0"/>
        <v>44772</v>
      </c>
      <c r="AI2" s="82">
        <f t="shared" si="0"/>
        <v>44779</v>
      </c>
      <c r="AJ2" s="82">
        <f t="shared" si="0"/>
        <v>44786</v>
      </c>
      <c r="AK2" s="82">
        <f t="shared" si="0"/>
        <v>44793</v>
      </c>
      <c r="AL2" s="82">
        <f t="shared" si="0"/>
        <v>44800</v>
      </c>
      <c r="AM2" s="82">
        <f t="shared" si="0"/>
        <v>44807</v>
      </c>
      <c r="AN2" s="82">
        <f t="shared" si="0"/>
        <v>44814</v>
      </c>
      <c r="AO2" s="82">
        <f t="shared" si="0"/>
        <v>44821</v>
      </c>
      <c r="AP2" s="82">
        <f t="shared" si="0"/>
        <v>44828</v>
      </c>
      <c r="AQ2" s="82">
        <f t="shared" si="0"/>
        <v>44835</v>
      </c>
      <c r="AR2" s="82">
        <f t="shared" si="0"/>
        <v>44842</v>
      </c>
      <c r="AS2" s="82">
        <f t="shared" si="0"/>
        <v>44849</v>
      </c>
      <c r="AT2" s="82">
        <f t="shared" si="0"/>
        <v>44856</v>
      </c>
      <c r="AU2" s="82">
        <f t="shared" si="0"/>
        <v>44863</v>
      </c>
      <c r="AV2" s="82">
        <f t="shared" si="0"/>
        <v>44870</v>
      </c>
      <c r="AW2" s="82">
        <f t="shared" si="0"/>
        <v>44877</v>
      </c>
      <c r="AX2" s="82">
        <f t="shared" si="0"/>
        <v>44884</v>
      </c>
      <c r="AY2" s="82">
        <f t="shared" si="0"/>
        <v>44891</v>
      </c>
      <c r="AZ2" s="82">
        <f t="shared" si="0"/>
        <v>44898</v>
      </c>
      <c r="BA2" s="82">
        <f t="shared" si="0"/>
        <v>44905</v>
      </c>
      <c r="BB2" s="82">
        <f t="shared" si="0"/>
        <v>44912</v>
      </c>
      <c r="BC2" s="82">
        <f t="shared" si="0"/>
        <v>44919</v>
      </c>
      <c r="BD2" s="82">
        <f t="shared" si="0"/>
        <v>44926</v>
      </c>
    </row>
    <row r="3" spans="3:56" x14ac:dyDescent="0.25">
      <c r="C3" s="104" t="s">
        <v>18</v>
      </c>
      <c r="D3" s="41" t="s">
        <v>21</v>
      </c>
      <c r="E3" s="70">
        <v>9925.377791336181</v>
      </c>
      <c r="F3" s="70">
        <v>7616.0679186460811</v>
      </c>
      <c r="G3" s="70">
        <v>6112.2250000000004</v>
      </c>
      <c r="H3" s="70">
        <v>5795.7</v>
      </c>
      <c r="I3" s="70">
        <v>5623.3</v>
      </c>
      <c r="J3" s="70">
        <v>4991.3249999999998</v>
      </c>
      <c r="K3" s="70">
        <v>4300.8</v>
      </c>
      <c r="L3" s="70">
        <v>4209.66</v>
      </c>
      <c r="M3" s="70">
        <v>4326.0750000000007</v>
      </c>
      <c r="N3" s="70">
        <v>5171.4000000000005</v>
      </c>
      <c r="O3" s="70">
        <v>5765.1750000000002</v>
      </c>
      <c r="P3" s="70">
        <v>5598.0342292303767</v>
      </c>
      <c r="Q3" s="70">
        <v>4330.9312619047623</v>
      </c>
      <c r="R3" s="70">
        <v>4513.0409736190477</v>
      </c>
      <c r="S3" s="70">
        <v>4724.0504999999994</v>
      </c>
      <c r="T3" s="70">
        <v>4543.1099999999997</v>
      </c>
      <c r="U3" s="70">
        <v>4914</v>
      </c>
      <c r="V3" s="70">
        <v>5474.43</v>
      </c>
      <c r="W3" s="70">
        <v>5384.3400000000011</v>
      </c>
      <c r="X3" s="70">
        <v>5285.4750000000004</v>
      </c>
      <c r="Y3" s="70">
        <v>4764.2400000000007</v>
      </c>
      <c r="Z3" s="70">
        <v>4438.9800000000005</v>
      </c>
      <c r="AA3" s="70">
        <v>5499.585</v>
      </c>
      <c r="AB3" s="70">
        <v>5189.5349999999999</v>
      </c>
      <c r="AC3" s="70">
        <v>4905.8100000000004</v>
      </c>
      <c r="AD3" s="70">
        <v>4228.38</v>
      </c>
      <c r="AE3" s="70">
        <v>3687.2550000000001</v>
      </c>
      <c r="AF3" s="70">
        <v>4126.59</v>
      </c>
      <c r="AG3" s="70">
        <v>3707.1450000000004</v>
      </c>
      <c r="AH3" s="70">
        <v>4413.2400000000007</v>
      </c>
      <c r="AI3" s="70">
        <v>4556.5650000000005</v>
      </c>
      <c r="AJ3" s="70">
        <v>5124.6000000000004</v>
      </c>
      <c r="AK3" s="70">
        <v>5353.335</v>
      </c>
      <c r="AL3" s="70">
        <v>5294.2500000000009</v>
      </c>
      <c r="AM3" s="70">
        <v>4821.7917472645277</v>
      </c>
      <c r="AN3" s="70">
        <v>4265.5714005892323</v>
      </c>
      <c r="AO3" s="70">
        <v>4342.7252013928355</v>
      </c>
      <c r="AP3" s="70">
        <v>4551.230279857582</v>
      </c>
      <c r="AQ3" s="70">
        <v>5069.8735468354944</v>
      </c>
      <c r="AR3" s="70">
        <v>4699.3669867969529</v>
      </c>
      <c r="AS3" s="70">
        <v>4899.1067585966666</v>
      </c>
      <c r="AT3" s="70">
        <v>5150.7545819389597</v>
      </c>
      <c r="AU3" s="70">
        <v>5445.2130558674326</v>
      </c>
      <c r="AV3" s="70">
        <v>6361.7433752018324</v>
      </c>
      <c r="AW3" s="70">
        <v>6748.6518480420355</v>
      </c>
      <c r="AX3" s="70">
        <v>6563.7065766037522</v>
      </c>
      <c r="AY3" s="70">
        <v>15792.243378643783</v>
      </c>
      <c r="AZ3" s="70">
        <v>21449.067680912249</v>
      </c>
      <c r="BA3" s="70">
        <v>18621.894755276368</v>
      </c>
      <c r="BB3" s="70">
        <v>15481.260734101124</v>
      </c>
      <c r="BC3" s="70">
        <v>8724.4374157016209</v>
      </c>
      <c r="BD3" s="70">
        <v>7849.8495915462645</v>
      </c>
    </row>
    <row r="4" spans="3:56" x14ac:dyDescent="0.25">
      <c r="C4" s="104"/>
      <c r="D4" s="41" t="s">
        <v>22</v>
      </c>
      <c r="E4" s="70">
        <v>618.84747655263891</v>
      </c>
      <c r="F4" s="70">
        <v>615.96680204421932</v>
      </c>
      <c r="G4" s="70">
        <v>639.65953478479605</v>
      </c>
      <c r="H4" s="70">
        <v>620.51451938506136</v>
      </c>
      <c r="I4" s="70">
        <v>620.51179912151224</v>
      </c>
      <c r="J4" s="70">
        <v>620.51479316614325</v>
      </c>
      <c r="K4" s="70">
        <v>606.15443638392856</v>
      </c>
      <c r="L4" s="70">
        <v>606.15384615384619</v>
      </c>
      <c r="M4" s="70">
        <v>606.15384615384619</v>
      </c>
      <c r="N4" s="70">
        <v>606.15384615384619</v>
      </c>
      <c r="O4" s="70">
        <v>606.15384615384619</v>
      </c>
      <c r="P4" s="70">
        <v>607.45562251346189</v>
      </c>
      <c r="Q4" s="70">
        <v>596.60087094542348</v>
      </c>
      <c r="R4" s="70">
        <v>596.60088779327964</v>
      </c>
      <c r="S4" s="70">
        <v>596.58119658119665</v>
      </c>
      <c r="T4" s="70">
        <v>591.79487179487182</v>
      </c>
      <c r="U4" s="70">
        <v>591.79487179487182</v>
      </c>
      <c r="V4" s="70">
        <v>591.79487179487182</v>
      </c>
      <c r="W4" s="70">
        <v>596.58119658119654</v>
      </c>
      <c r="X4" s="70">
        <v>596.58119658119654</v>
      </c>
      <c r="Y4" s="70">
        <v>596.58119658119654</v>
      </c>
      <c r="Z4" s="70">
        <v>606.15384615384619</v>
      </c>
      <c r="AA4" s="70">
        <v>606.15384615384619</v>
      </c>
      <c r="AB4" s="70">
        <v>606.15384615384619</v>
      </c>
      <c r="AC4" s="70">
        <v>591.79487179487182</v>
      </c>
      <c r="AD4" s="70">
        <v>582.22222222222229</v>
      </c>
      <c r="AE4" s="70">
        <v>582.22222222222229</v>
      </c>
      <c r="AF4" s="70">
        <v>578.37606837606836</v>
      </c>
      <c r="AG4" s="70">
        <v>578.37606837606836</v>
      </c>
      <c r="AH4" s="70">
        <v>602.30769230769226</v>
      </c>
      <c r="AI4" s="70">
        <v>602.30769230769226</v>
      </c>
      <c r="AJ4" s="70">
        <v>602.30769230769226</v>
      </c>
      <c r="AK4" s="70">
        <v>578.37606837606836</v>
      </c>
      <c r="AL4" s="70">
        <v>578.37606837606836</v>
      </c>
      <c r="AM4" s="70">
        <v>578.37606837606836</v>
      </c>
      <c r="AN4" s="70">
        <v>578.37606837606836</v>
      </c>
      <c r="AO4" s="70">
        <v>578.37606837606836</v>
      </c>
      <c r="AP4" s="70">
        <v>597.52136752136755</v>
      </c>
      <c r="AQ4" s="70">
        <v>583.59326223754374</v>
      </c>
      <c r="AR4" s="70">
        <v>586.22827598192566</v>
      </c>
      <c r="AS4" s="70">
        <v>598.50481446809397</v>
      </c>
      <c r="AT4" s="70">
        <v>586.84207652425494</v>
      </c>
      <c r="AU4" s="70">
        <v>588.43668165041129</v>
      </c>
      <c r="AV4" s="70">
        <v>601.18796607670049</v>
      </c>
      <c r="AW4" s="70">
        <v>605.91666666666663</v>
      </c>
      <c r="AX4" s="70">
        <v>610.93559586226445</v>
      </c>
      <c r="AY4" s="70">
        <v>604.64877557095519</v>
      </c>
      <c r="AZ4" s="70">
        <v>611.88034188034203</v>
      </c>
      <c r="BA4" s="70">
        <v>597.52136752136755</v>
      </c>
      <c r="BB4" s="70">
        <v>597.52136752136744</v>
      </c>
      <c r="BC4" s="70">
        <v>587.9487179487179</v>
      </c>
      <c r="BD4" s="70">
        <v>587.94871794871801</v>
      </c>
    </row>
    <row r="5" spans="3:56" x14ac:dyDescent="0.25">
      <c r="C5" s="104"/>
      <c r="D5" s="41" t="s">
        <v>30</v>
      </c>
      <c r="E5" s="68">
        <v>0.79489803314208984</v>
      </c>
      <c r="F5" s="68">
        <v>0.76870983839035034</v>
      </c>
      <c r="G5" s="68">
        <v>0.74791592359542847</v>
      </c>
      <c r="H5" s="68">
        <v>0.73935920000076294</v>
      </c>
      <c r="I5" s="68">
        <v>0.73407471179962158</v>
      </c>
      <c r="J5" s="68">
        <v>0.72007483243942261</v>
      </c>
      <c r="K5" s="68">
        <v>0.70044690370559692</v>
      </c>
      <c r="L5" s="68">
        <v>0.69620031118392944</v>
      </c>
      <c r="M5" s="68">
        <v>0.70176130533218384</v>
      </c>
      <c r="N5" s="68">
        <v>0.72151285409927368</v>
      </c>
      <c r="O5" s="68">
        <v>0.73453116416931152</v>
      </c>
      <c r="P5" s="68">
        <v>0.7320515513420105</v>
      </c>
      <c r="Q5" s="68">
        <v>0.69896787405014038</v>
      </c>
      <c r="R5" s="68">
        <v>0.70616656541824341</v>
      </c>
      <c r="S5" s="68">
        <v>0.70869952440261841</v>
      </c>
      <c r="T5" s="68">
        <v>0.70638555288314819</v>
      </c>
      <c r="U5" s="68">
        <v>0.71383410692214966</v>
      </c>
      <c r="V5" s="68">
        <v>0.72704470157623291</v>
      </c>
      <c r="W5" s="68">
        <v>0.72539472579956055</v>
      </c>
      <c r="X5" s="68">
        <v>0.72257083654403687</v>
      </c>
      <c r="Y5" s="68">
        <v>0.70983666181564331</v>
      </c>
      <c r="Z5" s="68">
        <v>0.70589303970336914</v>
      </c>
      <c r="AA5" s="68">
        <v>0.73204004764556885</v>
      </c>
      <c r="AB5" s="68">
        <v>0.72191095352172852</v>
      </c>
      <c r="AC5" s="68">
        <v>0.71350836753845215</v>
      </c>
      <c r="AD5" s="68">
        <v>0.69200152158737183</v>
      </c>
      <c r="AE5" s="68">
        <v>0.67377287149429321</v>
      </c>
      <c r="AF5" s="68">
        <v>0.69076961278915405</v>
      </c>
      <c r="AG5" s="68">
        <v>0.67374438047409058</v>
      </c>
      <c r="AH5" s="68">
        <v>0.70506137609481812</v>
      </c>
      <c r="AI5" s="68">
        <v>0.70621562004089355</v>
      </c>
      <c r="AJ5" s="68">
        <v>0.72030824422836304</v>
      </c>
      <c r="AK5" s="68">
        <v>0.72124755382537842</v>
      </c>
      <c r="AL5" s="68">
        <v>0.72074276208877563</v>
      </c>
      <c r="AM5" s="68">
        <v>0.70799988508224487</v>
      </c>
      <c r="AN5" s="68">
        <v>0.69229167699813843</v>
      </c>
      <c r="AO5" s="68">
        <v>0.69437187910079956</v>
      </c>
      <c r="AP5" s="68">
        <v>0.7061123251914978</v>
      </c>
      <c r="AQ5" s="68">
        <v>0.71782094240188599</v>
      </c>
      <c r="AR5" s="68">
        <v>0.70690584182739258</v>
      </c>
      <c r="AS5" s="68">
        <v>0.71546846628189087</v>
      </c>
      <c r="AT5" s="68">
        <v>0.72037065029144287</v>
      </c>
      <c r="AU5" s="68">
        <v>0.67495448589324947</v>
      </c>
      <c r="AV5" s="68">
        <v>0.69513041973114009</v>
      </c>
      <c r="AW5" s="68">
        <v>0.6028797388076782</v>
      </c>
      <c r="AX5" s="68">
        <v>0.60223767757415769</v>
      </c>
      <c r="AY5" s="68">
        <v>0.89593338966369629</v>
      </c>
      <c r="AZ5" s="68">
        <v>0.91672402620315552</v>
      </c>
      <c r="BA5" s="68">
        <v>0.90635615587234497</v>
      </c>
      <c r="BB5" s="68">
        <v>0.89342969655990601</v>
      </c>
      <c r="BC5" s="68">
        <v>0.77764993906021118</v>
      </c>
      <c r="BD5" s="68">
        <v>0.76797676086425781</v>
      </c>
    </row>
    <row r="6" spans="3:56" x14ac:dyDescent="0.25">
      <c r="C6" s="104"/>
      <c r="D6" s="41" t="s">
        <v>31</v>
      </c>
      <c r="E6" s="68">
        <v>0.43999999999999995</v>
      </c>
      <c r="F6" s="68">
        <v>0.43999999999999995</v>
      </c>
      <c r="G6" s="68">
        <v>0.43</v>
      </c>
      <c r="H6" s="68">
        <v>0.43</v>
      </c>
      <c r="I6" s="68">
        <v>0.42</v>
      </c>
      <c r="J6" s="68">
        <v>0.42</v>
      </c>
      <c r="K6" s="68">
        <v>0.42</v>
      </c>
      <c r="L6" s="68">
        <v>0.42</v>
      </c>
      <c r="M6" s="68">
        <v>0.37</v>
      </c>
      <c r="N6" s="68">
        <v>0.36</v>
      </c>
      <c r="O6" s="68">
        <v>0.36</v>
      </c>
      <c r="P6" s="68">
        <v>0.36</v>
      </c>
      <c r="Q6" s="68">
        <v>0.36</v>
      </c>
      <c r="R6" s="68">
        <v>0.35</v>
      </c>
      <c r="S6" s="68">
        <v>0.34250000000000003</v>
      </c>
      <c r="T6" s="68">
        <v>0.34250000000000003</v>
      </c>
      <c r="U6" s="68">
        <v>0.36249999999999999</v>
      </c>
      <c r="V6" s="68">
        <v>0.34250000000000003</v>
      </c>
      <c r="W6" s="68">
        <v>0.32999999999999996</v>
      </c>
      <c r="X6" s="68">
        <v>0.34987517354624298</v>
      </c>
      <c r="Y6" s="68">
        <v>0.36</v>
      </c>
      <c r="Z6" s="68">
        <v>0.36000000000000004</v>
      </c>
      <c r="AA6" s="68">
        <v>0.35000000000000003</v>
      </c>
      <c r="AB6" s="68">
        <v>0.35000000000000003</v>
      </c>
      <c r="AC6" s="68">
        <v>0.34244343018598788</v>
      </c>
      <c r="AD6" s="68">
        <v>0.32</v>
      </c>
      <c r="AE6" s="68">
        <v>0.35000000000000003</v>
      </c>
      <c r="AF6" s="68">
        <v>0.35000000000000003</v>
      </c>
      <c r="AG6" s="68">
        <v>0.34</v>
      </c>
      <c r="AH6" s="68">
        <v>0.33999999999999997</v>
      </c>
      <c r="AI6" s="68">
        <v>0.33</v>
      </c>
      <c r="AJ6" s="68">
        <v>0.33</v>
      </c>
      <c r="AK6" s="68">
        <v>0.33</v>
      </c>
      <c r="AL6" s="68">
        <v>0.32999999999999996</v>
      </c>
      <c r="AM6" s="68">
        <v>0.33</v>
      </c>
      <c r="AN6" s="68">
        <v>0.32</v>
      </c>
      <c r="AO6" s="68">
        <v>0.32</v>
      </c>
      <c r="AP6" s="68">
        <v>0.32</v>
      </c>
      <c r="AQ6" s="68">
        <v>0.32</v>
      </c>
      <c r="AR6" s="68">
        <v>0.43</v>
      </c>
      <c r="AS6" s="68">
        <v>0.43</v>
      </c>
      <c r="AT6" s="68">
        <v>0.42000000000000004</v>
      </c>
      <c r="AU6" s="68">
        <v>0.42000000000000004</v>
      </c>
      <c r="AV6" s="68">
        <v>0.41000000000000003</v>
      </c>
      <c r="AW6" s="68">
        <v>0.41000000000000003</v>
      </c>
      <c r="AX6" s="68">
        <v>0.41000000000000003</v>
      </c>
      <c r="AY6" s="68">
        <v>0.41000000000000003</v>
      </c>
      <c r="AZ6" s="68">
        <v>0.4</v>
      </c>
      <c r="BA6" s="68">
        <v>0.4</v>
      </c>
      <c r="BB6" s="68">
        <v>0.4</v>
      </c>
      <c r="BC6" s="68">
        <v>0.4</v>
      </c>
      <c r="BD6" s="68">
        <v>0.4</v>
      </c>
    </row>
    <row r="7" spans="3:56" x14ac:dyDescent="0.25">
      <c r="C7" s="104"/>
      <c r="D7" s="41" t="s">
        <v>33</v>
      </c>
      <c r="E7" s="83">
        <f>(E3*E4)/3600/40/E5/(1-E6)</f>
        <v>95.822771804098963</v>
      </c>
      <c r="F7" s="83">
        <f t="shared" ref="F7:BD7" si="1">(F3*F4)/3600/40/F5/(1-F6)</f>
        <v>75.678960129005318</v>
      </c>
      <c r="G7" s="83">
        <f t="shared" si="1"/>
        <v>63.688069270021103</v>
      </c>
      <c r="H7" s="83">
        <f t="shared" si="1"/>
        <v>59.260459708658701</v>
      </c>
      <c r="I7" s="83">
        <f t="shared" si="1"/>
        <v>56.912878111928826</v>
      </c>
      <c r="J7" s="83">
        <f t="shared" si="1"/>
        <v>51.499127457467864</v>
      </c>
      <c r="K7" s="83">
        <f t="shared" si="1"/>
        <v>44.562221151177297</v>
      </c>
      <c r="L7" s="83">
        <f t="shared" si="1"/>
        <v>43.883897016169449</v>
      </c>
      <c r="M7" s="83">
        <f t="shared" si="1"/>
        <v>41.189303690842728</v>
      </c>
      <c r="N7" s="84">
        <f t="shared" si="1"/>
        <v>47.141615089396701</v>
      </c>
      <c r="O7" s="83">
        <f t="shared" si="1"/>
        <v>51.622932005386836</v>
      </c>
      <c r="P7" s="83">
        <f t="shared" si="1"/>
        <v>50.404112754970086</v>
      </c>
      <c r="Q7" s="83">
        <f t="shared" si="1"/>
        <v>40.111185019199887</v>
      </c>
      <c r="R7" s="83">
        <f t="shared" si="1"/>
        <v>40.73522989703546</v>
      </c>
      <c r="S7" s="83">
        <f t="shared" si="1"/>
        <v>42.001393736216158</v>
      </c>
      <c r="T7" s="83">
        <f t="shared" si="1"/>
        <v>40.199846252711673</v>
      </c>
      <c r="U7" s="83">
        <f t="shared" si="1"/>
        <v>44.377861838428316</v>
      </c>
      <c r="V7" s="83">
        <f t="shared" si="1"/>
        <v>47.064206545141879</v>
      </c>
      <c r="W7" s="83">
        <f t="shared" si="1"/>
        <v>45.897639296920552</v>
      </c>
      <c r="X7" s="83">
        <f t="shared" si="1"/>
        <v>46.613735953323221</v>
      </c>
      <c r="Y7" s="83">
        <f t="shared" si="1"/>
        <v>43.447250681592266</v>
      </c>
      <c r="Z7" s="83">
        <f t="shared" si="1"/>
        <v>41.360395956402655</v>
      </c>
      <c r="AA7" s="83">
        <f t="shared" si="1"/>
        <v>48.652156446392631</v>
      </c>
      <c r="AB7" s="83">
        <f t="shared" si="1"/>
        <v>46.553445606752078</v>
      </c>
      <c r="AC7" s="83">
        <f t="shared" si="1"/>
        <v>42.972165299922729</v>
      </c>
      <c r="AD7" s="83">
        <f t="shared" si="1"/>
        <v>36.331584040793388</v>
      </c>
      <c r="AE7" s="83">
        <f t="shared" si="1"/>
        <v>34.04102129520205</v>
      </c>
      <c r="AF7" s="83">
        <f t="shared" si="1"/>
        <v>36.914123670800656</v>
      </c>
      <c r="AG7" s="83">
        <f t="shared" si="1"/>
        <v>33.484845885850881</v>
      </c>
      <c r="AH7" s="83">
        <f t="shared" si="1"/>
        <v>39.668209996389685</v>
      </c>
      <c r="AI7" s="83">
        <f t="shared" si="1"/>
        <v>40.279249114332167</v>
      </c>
      <c r="AJ7" s="83">
        <f t="shared" si="1"/>
        <v>44.414287727904615</v>
      </c>
      <c r="AK7" s="83">
        <f t="shared" si="1"/>
        <v>44.495192310740144</v>
      </c>
      <c r="AL7" s="83">
        <f t="shared" si="1"/>
        <v>44.034916327488553</v>
      </c>
      <c r="AM7" s="83">
        <f t="shared" si="1"/>
        <v>40.827076452302514</v>
      </c>
      <c r="AN7" s="83">
        <f t="shared" si="1"/>
        <v>36.393767432454794</v>
      </c>
      <c r="AO7" s="83">
        <f t="shared" si="1"/>
        <v>36.941041415086296</v>
      </c>
      <c r="AP7" s="83">
        <f t="shared" si="1"/>
        <v>39.33118701296786</v>
      </c>
      <c r="AQ7" s="83">
        <f t="shared" si="1"/>
        <v>42.093968035721005</v>
      </c>
      <c r="AR7" s="83">
        <f t="shared" si="1"/>
        <v>47.479616829965614</v>
      </c>
      <c r="AS7" s="83">
        <f t="shared" si="1"/>
        <v>49.929441327822317</v>
      </c>
      <c r="AT7" s="83">
        <f t="shared" si="1"/>
        <v>50.239534504610667</v>
      </c>
      <c r="AU7" s="83">
        <f t="shared" si="1"/>
        <v>56.839420450796695</v>
      </c>
      <c r="AV7" s="83">
        <f t="shared" si="1"/>
        <v>64.759819124885354</v>
      </c>
      <c r="AW7" s="83">
        <f t="shared" si="1"/>
        <v>79.833419248523327</v>
      </c>
      <c r="AX7" s="83">
        <f t="shared" si="1"/>
        <v>78.372222287973514</v>
      </c>
      <c r="AY7" s="83">
        <f t="shared" si="1"/>
        <v>125.44598913321418</v>
      </c>
      <c r="AZ7" s="83">
        <f t="shared" si="1"/>
        <v>165.70002119759064</v>
      </c>
      <c r="BA7" s="83">
        <f t="shared" si="1"/>
        <v>142.09038040725395</v>
      </c>
      <c r="BB7" s="83">
        <f t="shared" si="1"/>
        <v>119.83554052803285</v>
      </c>
      <c r="BC7" s="83">
        <f t="shared" si="1"/>
        <v>76.344717872633097</v>
      </c>
      <c r="BD7" s="83">
        <f t="shared" si="1"/>
        <v>69.556698851719702</v>
      </c>
    </row>
    <row r="8" spans="3:56" x14ac:dyDescent="0.25">
      <c r="C8" s="48"/>
      <c r="E8" s="45"/>
      <c r="F8" s="45"/>
      <c r="G8" s="45"/>
      <c r="H8" s="45"/>
      <c r="I8" s="45"/>
      <c r="J8" s="45"/>
      <c r="K8" s="45"/>
      <c r="L8" s="45"/>
      <c r="M8" s="45"/>
    </row>
    <row r="9" spans="3:56" x14ac:dyDescent="0.25">
      <c r="C9" s="48"/>
      <c r="D9" s="58" t="s">
        <v>50</v>
      </c>
      <c r="E9" s="44"/>
      <c r="F9" s="44"/>
      <c r="G9" s="44"/>
      <c r="H9" s="44"/>
      <c r="I9" s="44"/>
      <c r="J9" s="44"/>
      <c r="K9" s="44"/>
      <c r="L9" s="44"/>
      <c r="M9" s="44"/>
    </row>
    <row r="10" spans="3:56" x14ac:dyDescent="0.25">
      <c r="C10" s="48"/>
      <c r="D10" s="57" t="s">
        <v>34</v>
      </c>
      <c r="E10" s="64">
        <v>12</v>
      </c>
      <c r="F10" s="72">
        <v>20</v>
      </c>
      <c r="G10" s="64"/>
      <c r="H10" s="64"/>
      <c r="I10" s="64"/>
      <c r="J10" s="64"/>
      <c r="K10" s="64"/>
      <c r="L10" s="64"/>
      <c r="M10" s="64"/>
      <c r="N10" s="64"/>
      <c r="O10" s="64"/>
      <c r="P10" s="64"/>
      <c r="Q10" s="64"/>
      <c r="R10" s="64"/>
      <c r="S10" s="64"/>
      <c r="T10" s="64">
        <v>-6</v>
      </c>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row>
    <row r="11" spans="3:56" x14ac:dyDescent="0.25">
      <c r="C11" s="48"/>
      <c r="D11" s="57" t="s">
        <v>35</v>
      </c>
      <c r="E11" s="64">
        <v>28</v>
      </c>
      <c r="F11" s="64">
        <v>18</v>
      </c>
      <c r="G11" s="64"/>
      <c r="H11" s="64"/>
      <c r="I11" s="64"/>
      <c r="J11" s="64">
        <v>20</v>
      </c>
      <c r="K11" s="64">
        <v>10</v>
      </c>
      <c r="L11" s="64"/>
      <c r="M11" s="64"/>
      <c r="N11" s="64"/>
      <c r="O11" s="64">
        <v>6</v>
      </c>
      <c r="P11" s="64"/>
      <c r="Q11" s="64"/>
      <c r="R11" s="64"/>
      <c r="S11" s="64"/>
      <c r="T11" s="64">
        <v>4</v>
      </c>
      <c r="U11" s="64">
        <v>2</v>
      </c>
      <c r="V11" s="64"/>
      <c r="W11" s="64"/>
      <c r="X11" s="64"/>
      <c r="Y11" s="64"/>
      <c r="Z11" s="64"/>
      <c r="AA11" s="64"/>
      <c r="AB11" s="64"/>
      <c r="AC11" s="64"/>
      <c r="AD11" s="64"/>
      <c r="AE11" s="64"/>
      <c r="AF11" s="64"/>
      <c r="AG11" s="64"/>
      <c r="AH11" s="64"/>
      <c r="AI11" s="64">
        <v>2</v>
      </c>
      <c r="AJ11" s="64"/>
      <c r="AK11" s="64"/>
      <c r="AL11" s="64"/>
      <c r="AM11" s="64"/>
      <c r="AN11" s="64"/>
      <c r="AO11" s="64"/>
      <c r="AP11" s="64"/>
      <c r="AQ11" s="64"/>
      <c r="AR11" s="64"/>
      <c r="AS11" s="64">
        <v>5</v>
      </c>
      <c r="AT11" s="64"/>
      <c r="AU11" s="64">
        <v>15</v>
      </c>
      <c r="AV11" s="64"/>
      <c r="AW11" s="64"/>
      <c r="AX11" s="64">
        <v>-14</v>
      </c>
      <c r="AY11" s="64"/>
      <c r="AZ11" s="64"/>
      <c r="BA11" s="64"/>
      <c r="BB11" s="64"/>
      <c r="BC11" s="64"/>
      <c r="BD11" s="64"/>
    </row>
    <row r="12" spans="3:56" x14ac:dyDescent="0.25">
      <c r="C12" s="48"/>
      <c r="D12" s="57" t="s">
        <v>36</v>
      </c>
      <c r="E12" s="64"/>
      <c r="F12" s="64"/>
      <c r="G12" s="64"/>
      <c r="H12" s="64"/>
      <c r="I12" s="64"/>
      <c r="J12" s="64"/>
      <c r="K12" s="64"/>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row>
    <row r="13" spans="3:56" x14ac:dyDescent="0.25">
      <c r="C13" s="48"/>
      <c r="D13" s="57" t="s">
        <v>37</v>
      </c>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row>
    <row r="14" spans="3:56" x14ac:dyDescent="0.25">
      <c r="C14" s="48"/>
      <c r="D14" s="57" t="str">
        <f>IF(D22="","",D22)</f>
        <v>Pueblo</v>
      </c>
      <c r="E14" s="64"/>
      <c r="F14" s="64"/>
      <c r="G14" s="64"/>
      <c r="H14" s="64">
        <v>2</v>
      </c>
      <c r="I14" s="64"/>
      <c r="J14" s="64">
        <v>10</v>
      </c>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row>
    <row r="15" spans="3:56" x14ac:dyDescent="0.25">
      <c r="C15" s="48"/>
      <c r="D15" s="57" t="str">
        <f>IF(D23="","",D23)</f>
        <v>Iloilo</v>
      </c>
      <c r="E15" s="64">
        <v>3</v>
      </c>
      <c r="F15" s="64">
        <v>0</v>
      </c>
      <c r="G15" s="64">
        <v>0</v>
      </c>
      <c r="H15" s="64">
        <v>0</v>
      </c>
      <c r="I15" s="64">
        <v>0</v>
      </c>
      <c r="J15" s="64">
        <v>1</v>
      </c>
      <c r="K15" s="64">
        <v>0</v>
      </c>
      <c r="L15" s="64">
        <v>0</v>
      </c>
      <c r="M15" s="64">
        <v>0</v>
      </c>
      <c r="N15" s="64">
        <v>5</v>
      </c>
      <c r="O15" s="64">
        <v>0</v>
      </c>
      <c r="P15" s="64">
        <v>0</v>
      </c>
      <c r="Q15" s="88">
        <v>1</v>
      </c>
      <c r="R15" s="64">
        <v>0</v>
      </c>
      <c r="S15" s="64">
        <v>2</v>
      </c>
      <c r="T15" s="64">
        <v>0</v>
      </c>
      <c r="U15" s="64">
        <v>2</v>
      </c>
      <c r="V15" s="64">
        <v>0</v>
      </c>
      <c r="W15" s="64">
        <v>0</v>
      </c>
      <c r="X15" s="64">
        <v>5</v>
      </c>
      <c r="Y15" s="64">
        <v>0</v>
      </c>
      <c r="Z15" s="64">
        <v>6</v>
      </c>
      <c r="AA15" s="64">
        <v>0</v>
      </c>
      <c r="AB15" s="64">
        <v>0</v>
      </c>
      <c r="AC15" s="64">
        <v>-3</v>
      </c>
      <c r="AD15" s="64">
        <v>0</v>
      </c>
      <c r="AE15" s="64">
        <v>-1</v>
      </c>
      <c r="AF15" s="64">
        <v>0</v>
      </c>
      <c r="AG15" s="64">
        <v>0</v>
      </c>
      <c r="AH15" s="64">
        <v>-6</v>
      </c>
      <c r="AI15" s="64">
        <v>-2</v>
      </c>
      <c r="AJ15" s="64">
        <v>0</v>
      </c>
      <c r="AK15" s="64">
        <v>-3</v>
      </c>
      <c r="AL15" s="64">
        <v>0</v>
      </c>
      <c r="AM15" s="64">
        <v>0</v>
      </c>
      <c r="AN15" s="64">
        <v>0</v>
      </c>
      <c r="AO15" s="64">
        <v>0</v>
      </c>
      <c r="AP15" s="64">
        <v>0</v>
      </c>
      <c r="AQ15" s="64">
        <v>0</v>
      </c>
      <c r="AR15" s="64">
        <v>0</v>
      </c>
      <c r="AS15" s="64">
        <v>10</v>
      </c>
      <c r="AT15" s="64">
        <v>0</v>
      </c>
      <c r="AU15" s="64">
        <v>0</v>
      </c>
      <c r="AV15" s="64">
        <v>-5</v>
      </c>
      <c r="AW15" s="64">
        <v>0</v>
      </c>
      <c r="AX15" s="64">
        <v>0</v>
      </c>
      <c r="AY15" s="64">
        <v>3</v>
      </c>
      <c r="AZ15" s="64">
        <v>-6</v>
      </c>
      <c r="BA15" s="64"/>
      <c r="BB15" s="64"/>
      <c r="BC15" s="64"/>
      <c r="BD15" s="64"/>
    </row>
    <row r="16" spans="3:56" x14ac:dyDescent="0.25">
      <c r="C16" s="48"/>
      <c r="D16" s="57" t="str">
        <f>IF(D24="","",D24)</f>
        <v>Belize</v>
      </c>
      <c r="E16" s="64">
        <v>0</v>
      </c>
      <c r="F16" s="64">
        <v>4.5</v>
      </c>
      <c r="G16" s="64">
        <v>0</v>
      </c>
      <c r="H16" s="64">
        <v>0</v>
      </c>
      <c r="I16" s="64">
        <v>0</v>
      </c>
      <c r="J16" s="64">
        <v>3.375</v>
      </c>
      <c r="K16" s="64">
        <v>0</v>
      </c>
      <c r="L16" s="64">
        <v>0</v>
      </c>
      <c r="M16" s="64">
        <v>0</v>
      </c>
      <c r="N16" s="64">
        <v>0</v>
      </c>
      <c r="O16" s="64">
        <v>0</v>
      </c>
      <c r="P16" s="64">
        <v>0</v>
      </c>
      <c r="Q16" s="64">
        <v>0</v>
      </c>
      <c r="R16" s="64">
        <v>0</v>
      </c>
      <c r="S16" s="64">
        <v>0</v>
      </c>
      <c r="T16" s="64">
        <v>0</v>
      </c>
      <c r="U16" s="64">
        <v>0</v>
      </c>
      <c r="V16" s="64">
        <v>0</v>
      </c>
      <c r="W16" s="64">
        <v>0</v>
      </c>
      <c r="X16" s="64">
        <v>0</v>
      </c>
      <c r="Y16" s="64">
        <v>0</v>
      </c>
      <c r="Z16" s="64">
        <v>0</v>
      </c>
      <c r="AA16" s="64">
        <v>0</v>
      </c>
      <c r="AB16" s="64">
        <v>0</v>
      </c>
      <c r="AC16" s="64">
        <v>0</v>
      </c>
      <c r="AD16" s="64">
        <v>0</v>
      </c>
      <c r="AE16" s="64">
        <v>0</v>
      </c>
      <c r="AF16" s="64">
        <v>0</v>
      </c>
      <c r="AG16" s="64">
        <v>0</v>
      </c>
      <c r="AH16" s="64">
        <v>0</v>
      </c>
      <c r="AI16" s="64">
        <v>0</v>
      </c>
      <c r="AJ16" s="64">
        <v>0</v>
      </c>
      <c r="AK16" s="64">
        <v>0</v>
      </c>
      <c r="AL16" s="64">
        <v>0</v>
      </c>
      <c r="AM16" s="64">
        <v>0</v>
      </c>
      <c r="AN16" s="64">
        <v>0</v>
      </c>
      <c r="AO16" s="64">
        <v>0</v>
      </c>
      <c r="AP16" s="64">
        <v>0</v>
      </c>
      <c r="AQ16" s="64">
        <v>0</v>
      </c>
      <c r="AR16" s="64">
        <v>0</v>
      </c>
      <c r="AS16" s="64">
        <v>0</v>
      </c>
      <c r="AT16" s="64">
        <v>0</v>
      </c>
      <c r="AU16" s="64">
        <v>0</v>
      </c>
      <c r="AV16" s="64">
        <v>0</v>
      </c>
      <c r="AW16" s="64">
        <v>0</v>
      </c>
      <c r="AX16" s="64">
        <v>0</v>
      </c>
      <c r="AY16" s="64">
        <v>0</v>
      </c>
      <c r="AZ16" s="64">
        <v>0</v>
      </c>
      <c r="BA16" s="64"/>
      <c r="BB16" s="64"/>
      <c r="BC16" s="64"/>
      <c r="BD16" s="64"/>
    </row>
    <row r="17" spans="3:56" x14ac:dyDescent="0.25">
      <c r="C17" s="48"/>
      <c r="E17" s="45"/>
      <c r="F17" s="45"/>
      <c r="G17" s="45"/>
      <c r="H17" s="45"/>
      <c r="I17" s="45"/>
      <c r="J17" s="45"/>
      <c r="K17" s="45"/>
      <c r="L17" s="45"/>
      <c r="M17" s="45"/>
    </row>
    <row r="18" spans="3:56" x14ac:dyDescent="0.25">
      <c r="C18" s="48"/>
      <c r="D18" s="49" t="s">
        <v>34</v>
      </c>
      <c r="E18" s="101">
        <v>32.174999999999997</v>
      </c>
      <c r="F18" s="65">
        <v>27.824999999999999</v>
      </c>
      <c r="G18" s="65">
        <v>22.774999999999999</v>
      </c>
      <c r="H18" s="65">
        <v>19.274999999999999</v>
      </c>
      <c r="I18" s="65">
        <v>20.274999999999999</v>
      </c>
      <c r="J18" s="65">
        <v>20.274999999999999</v>
      </c>
      <c r="K18" s="65">
        <v>18.125</v>
      </c>
      <c r="L18" s="65">
        <v>19.675000000000001</v>
      </c>
      <c r="M18" s="65">
        <v>23.412500000000001</v>
      </c>
      <c r="N18" s="65">
        <v>23.4</v>
      </c>
      <c r="O18" s="65">
        <v>23.4</v>
      </c>
      <c r="P18" s="65">
        <v>22.28</v>
      </c>
      <c r="Q18" s="65">
        <v>22.274999999999999</v>
      </c>
      <c r="R18" s="65">
        <v>22.274999999999999</v>
      </c>
      <c r="S18" s="65">
        <v>21.3</v>
      </c>
      <c r="T18" s="65">
        <v>20.425000000000001</v>
      </c>
      <c r="U18" s="65">
        <v>24.912500000000001</v>
      </c>
      <c r="V18" s="65">
        <v>25.25</v>
      </c>
      <c r="W18" s="65">
        <v>23.324999999999999</v>
      </c>
      <c r="X18" s="65">
        <v>23.074999999999999</v>
      </c>
      <c r="Y18" s="65">
        <v>22.382749999999998</v>
      </c>
      <c r="Z18" s="65">
        <v>21.711267499999998</v>
      </c>
      <c r="AA18" s="65">
        <v>21.27704215</v>
      </c>
      <c r="AB18" s="65">
        <v>20.851501306999999</v>
      </c>
      <c r="AC18" s="65">
        <v>20.434471280859999</v>
      </c>
      <c r="AD18" s="65">
        <v>20.025781855242798</v>
      </c>
      <c r="AE18" s="65">
        <v>19.625266218137941</v>
      </c>
      <c r="AF18" s="65">
        <v>19.232760893775183</v>
      </c>
      <c r="AG18" s="65">
        <v>18.848105675899678</v>
      </c>
      <c r="AH18" s="65">
        <v>18.471143562381684</v>
      </c>
      <c r="AI18" s="65">
        <v>18.101720691134052</v>
      </c>
      <c r="AJ18" s="65">
        <v>17.739686277311371</v>
      </c>
      <c r="AK18" s="65">
        <v>17.384892551765144</v>
      </c>
      <c r="AL18" s="65">
        <v>17.037194700729842</v>
      </c>
      <c r="AM18" s="65">
        <v>16.696450806715244</v>
      </c>
      <c r="AN18" s="65">
        <v>16.061985676060065</v>
      </c>
      <c r="AO18" s="65">
        <v>15.451630220369783</v>
      </c>
      <c r="AP18" s="65">
        <v>14.864468271995731</v>
      </c>
      <c r="AQ18" s="65">
        <v>14.299618477659893</v>
      </c>
      <c r="AR18" s="65">
        <v>13.756232975508818</v>
      </c>
      <c r="AS18" s="65">
        <v>13.205983656488465</v>
      </c>
      <c r="AT18" s="65">
        <v>9.6777443102289258</v>
      </c>
      <c r="AU18" s="65">
        <v>9.2906345378197681</v>
      </c>
      <c r="AV18" s="65">
        <v>8.9190091563069771</v>
      </c>
      <c r="AW18" s="65">
        <v>8.027108240676279</v>
      </c>
      <c r="AX18" s="65">
        <v>7.2243974166086513</v>
      </c>
      <c r="AY18" s="65">
        <v>29.001957674947786</v>
      </c>
      <c r="AZ18" s="65">
        <v>26.101761907453007</v>
      </c>
      <c r="BA18" s="65">
        <v>23.230568097633174</v>
      </c>
      <c r="BB18" s="65">
        <v>20.675205606893524</v>
      </c>
      <c r="BC18" s="65">
        <v>18.400932990135235</v>
      </c>
      <c r="BD18" s="65">
        <v>16.37683036122036</v>
      </c>
    </row>
    <row r="19" spans="3:56" x14ac:dyDescent="0.25">
      <c r="C19" s="48"/>
      <c r="D19" s="49" t="s">
        <v>35</v>
      </c>
      <c r="E19" s="65">
        <v>82.875</v>
      </c>
      <c r="F19" s="65">
        <v>60.6</v>
      </c>
      <c r="G19" s="65">
        <v>38.174999999999997</v>
      </c>
      <c r="H19" s="65">
        <v>36.174999999999997</v>
      </c>
      <c r="I19" s="65">
        <v>36.799999999999997</v>
      </c>
      <c r="J19" s="65">
        <v>36.799999999999997</v>
      </c>
      <c r="K19" s="65">
        <v>21.8</v>
      </c>
      <c r="L19" s="65">
        <v>20.824999999999999</v>
      </c>
      <c r="M19" s="65">
        <v>30.268750000000001</v>
      </c>
      <c r="N19" s="65">
        <v>30.256250000000001</v>
      </c>
      <c r="O19" s="65">
        <v>30.243749999999999</v>
      </c>
      <c r="P19" s="65">
        <v>25.630000000000003</v>
      </c>
      <c r="Q19" s="65">
        <v>24.631250000000001</v>
      </c>
      <c r="R19" s="65">
        <v>23.631250000000001</v>
      </c>
      <c r="S19" s="65">
        <v>23.631250000000001</v>
      </c>
      <c r="T19" s="65">
        <v>23.631250000000001</v>
      </c>
      <c r="U19" s="65">
        <v>24.631250000000001</v>
      </c>
      <c r="V19" s="65">
        <v>23.181249999999999</v>
      </c>
      <c r="W19" s="65">
        <v>23.181249999999999</v>
      </c>
      <c r="X19" s="65">
        <v>22.181249999999999</v>
      </c>
      <c r="Y19" s="65">
        <v>21.515812499999999</v>
      </c>
      <c r="Z19" s="65">
        <v>20.870338125</v>
      </c>
      <c r="AA19" s="65">
        <v>20.452931362499999</v>
      </c>
      <c r="AB19" s="65">
        <v>20.043872735249998</v>
      </c>
      <c r="AC19" s="65">
        <v>19.642995280544998</v>
      </c>
      <c r="AD19" s="65">
        <v>19.250135374934096</v>
      </c>
      <c r="AE19" s="65">
        <v>18.865132667435415</v>
      </c>
      <c r="AF19" s="65">
        <v>18.487830014086708</v>
      </c>
      <c r="AG19" s="65">
        <v>18.118073413804975</v>
      </c>
      <c r="AH19" s="65">
        <v>25.255711945528876</v>
      </c>
      <c r="AI19" s="65">
        <v>24.750597706618297</v>
      </c>
      <c r="AJ19" s="65">
        <v>33.505585752485928</v>
      </c>
      <c r="AK19" s="65">
        <v>31.835474037436207</v>
      </c>
      <c r="AL19" s="65">
        <v>30.198764556687482</v>
      </c>
      <c r="AM19" s="65">
        <v>29.594789265553732</v>
      </c>
      <c r="AN19" s="65">
        <v>28.470187273462692</v>
      </c>
      <c r="AO19" s="65">
        <v>27.38832015707111</v>
      </c>
      <c r="AP19" s="65">
        <v>26.347563991102408</v>
      </c>
      <c r="AQ19" s="65">
        <v>43.846356559440515</v>
      </c>
      <c r="AR19" s="65">
        <v>42.180195010181777</v>
      </c>
      <c r="AS19" s="65">
        <v>62.992987209774505</v>
      </c>
      <c r="AT19" s="65">
        <v>52.473267721383522</v>
      </c>
      <c r="AU19" s="65">
        <v>95.374337012528173</v>
      </c>
      <c r="AV19" s="65">
        <v>72.559363532027049</v>
      </c>
      <c r="AW19" s="65">
        <v>80.30342717882435</v>
      </c>
      <c r="AX19" s="65">
        <v>94.773084460941917</v>
      </c>
      <c r="AY19" s="65">
        <v>144.29577601484772</v>
      </c>
      <c r="AZ19" s="65">
        <v>129.86619841336295</v>
      </c>
      <c r="BA19" s="65">
        <v>121.58091658789303</v>
      </c>
      <c r="BB19" s="65">
        <v>112.2070157632248</v>
      </c>
      <c r="BC19" s="65">
        <v>113.86424402927007</v>
      </c>
      <c r="BD19" s="65">
        <v>107.33917718605036</v>
      </c>
    </row>
    <row r="20" spans="3:56" x14ac:dyDescent="0.25">
      <c r="C20" s="48"/>
      <c r="D20" s="49" t="s">
        <v>36</v>
      </c>
      <c r="E20" s="65">
        <v>0</v>
      </c>
      <c r="F20" s="65">
        <v>0</v>
      </c>
      <c r="G20" s="65">
        <v>0</v>
      </c>
      <c r="H20" s="65">
        <v>0</v>
      </c>
      <c r="I20" s="65">
        <v>0</v>
      </c>
      <c r="J20" s="65">
        <v>0</v>
      </c>
      <c r="K20" s="65">
        <v>0</v>
      </c>
      <c r="L20" s="65">
        <v>0</v>
      </c>
      <c r="M20" s="65">
        <v>0</v>
      </c>
      <c r="N20" s="65">
        <v>0</v>
      </c>
      <c r="O20" s="65">
        <v>0</v>
      </c>
      <c r="P20" s="65">
        <v>0</v>
      </c>
      <c r="Q20" s="65">
        <v>0</v>
      </c>
      <c r="R20" s="65">
        <v>0</v>
      </c>
      <c r="S20" s="65">
        <v>0</v>
      </c>
      <c r="T20" s="65">
        <v>0</v>
      </c>
      <c r="U20" s="65">
        <v>0</v>
      </c>
      <c r="V20" s="65">
        <v>0</v>
      </c>
      <c r="W20" s="65">
        <v>0</v>
      </c>
      <c r="X20" s="65">
        <v>0</v>
      </c>
      <c r="Y20" s="65">
        <v>0</v>
      </c>
      <c r="Z20" s="65">
        <v>0</v>
      </c>
      <c r="AA20" s="65">
        <v>0</v>
      </c>
      <c r="AB20" s="65">
        <v>0</v>
      </c>
      <c r="AC20" s="65">
        <v>0</v>
      </c>
      <c r="AD20" s="65">
        <v>0</v>
      </c>
      <c r="AE20" s="65">
        <v>0</v>
      </c>
      <c r="AF20" s="65">
        <v>0</v>
      </c>
      <c r="AG20" s="65">
        <v>0</v>
      </c>
      <c r="AH20" s="65">
        <v>0</v>
      </c>
      <c r="AI20" s="65">
        <v>0</v>
      </c>
      <c r="AJ20" s="65">
        <v>0</v>
      </c>
      <c r="AK20" s="65">
        <v>0</v>
      </c>
      <c r="AL20" s="65">
        <v>0</v>
      </c>
      <c r="AM20" s="65">
        <v>0</v>
      </c>
      <c r="AN20" s="65">
        <v>0</v>
      </c>
      <c r="AO20" s="65">
        <v>0</v>
      </c>
      <c r="AP20" s="65">
        <v>0</v>
      </c>
      <c r="AQ20" s="65">
        <v>0</v>
      </c>
      <c r="AR20" s="65">
        <v>0</v>
      </c>
      <c r="AS20" s="65">
        <v>0</v>
      </c>
      <c r="AT20" s="65">
        <v>0</v>
      </c>
      <c r="AU20" s="65">
        <v>0</v>
      </c>
      <c r="AV20" s="65">
        <v>0</v>
      </c>
      <c r="AW20" s="65">
        <v>0</v>
      </c>
      <c r="AX20" s="65">
        <v>0</v>
      </c>
      <c r="AY20" s="65">
        <v>0</v>
      </c>
      <c r="AZ20" s="65">
        <v>0</v>
      </c>
      <c r="BA20" s="65">
        <v>0</v>
      </c>
      <c r="BB20" s="65">
        <v>0</v>
      </c>
      <c r="BC20" s="65">
        <v>0</v>
      </c>
      <c r="BD20" s="65">
        <v>0</v>
      </c>
    </row>
    <row r="21" spans="3:56" x14ac:dyDescent="0.25">
      <c r="C21" s="48"/>
      <c r="D21" s="49" t="s">
        <v>37</v>
      </c>
      <c r="E21" s="65">
        <v>0</v>
      </c>
      <c r="F21" s="65">
        <v>0</v>
      </c>
      <c r="G21" s="65">
        <v>0</v>
      </c>
      <c r="H21" s="65">
        <v>0</v>
      </c>
      <c r="I21" s="65">
        <v>0</v>
      </c>
      <c r="J21" s="65">
        <v>0</v>
      </c>
      <c r="K21" s="65">
        <v>0</v>
      </c>
      <c r="L21" s="65">
        <v>0</v>
      </c>
      <c r="M21" s="65">
        <v>0</v>
      </c>
      <c r="N21" s="65">
        <v>0</v>
      </c>
      <c r="O21" s="65">
        <v>0</v>
      </c>
      <c r="P21" s="65">
        <v>0</v>
      </c>
      <c r="Q21" s="65">
        <v>0</v>
      </c>
      <c r="R21" s="65">
        <v>0</v>
      </c>
      <c r="S21" s="65">
        <v>0</v>
      </c>
      <c r="T21" s="65">
        <v>0</v>
      </c>
      <c r="U21" s="65">
        <v>0</v>
      </c>
      <c r="V21" s="65">
        <v>0</v>
      </c>
      <c r="W21" s="65">
        <v>0</v>
      </c>
      <c r="X21" s="65">
        <v>0</v>
      </c>
      <c r="Y21" s="65">
        <v>0</v>
      </c>
      <c r="Z21" s="65">
        <v>0</v>
      </c>
      <c r="AA21" s="65">
        <v>0</v>
      </c>
      <c r="AB21" s="65">
        <v>0</v>
      </c>
      <c r="AC21" s="65">
        <v>0</v>
      </c>
      <c r="AD21" s="65">
        <v>0</v>
      </c>
      <c r="AE21" s="65">
        <v>0</v>
      </c>
      <c r="AF21" s="65">
        <v>0</v>
      </c>
      <c r="AG21" s="65">
        <v>0</v>
      </c>
      <c r="AH21" s="65">
        <v>0</v>
      </c>
      <c r="AI21" s="65">
        <v>0</v>
      </c>
      <c r="AJ21" s="65">
        <v>0</v>
      </c>
      <c r="AK21" s="65">
        <v>0</v>
      </c>
      <c r="AL21" s="65">
        <v>0</v>
      </c>
      <c r="AM21" s="65">
        <v>0</v>
      </c>
      <c r="AN21" s="65">
        <v>0</v>
      </c>
      <c r="AO21" s="65">
        <v>0</v>
      </c>
      <c r="AP21" s="65">
        <v>0</v>
      </c>
      <c r="AQ21" s="65">
        <v>0</v>
      </c>
      <c r="AR21" s="65">
        <v>0</v>
      </c>
      <c r="AS21" s="65">
        <v>0</v>
      </c>
      <c r="AT21" s="65">
        <v>0</v>
      </c>
      <c r="AU21" s="65">
        <v>0</v>
      </c>
      <c r="AV21" s="65">
        <v>0</v>
      </c>
      <c r="AW21" s="65">
        <v>0</v>
      </c>
      <c r="AX21" s="65">
        <v>0</v>
      </c>
      <c r="AY21" s="65">
        <v>0</v>
      </c>
      <c r="AZ21" s="65">
        <v>0</v>
      </c>
      <c r="BA21" s="65">
        <v>0</v>
      </c>
      <c r="BB21" s="65">
        <v>0</v>
      </c>
      <c r="BC21" s="65">
        <v>0</v>
      </c>
      <c r="BD21" s="65">
        <v>0</v>
      </c>
    </row>
    <row r="22" spans="3:56" x14ac:dyDescent="0.25">
      <c r="C22" s="48"/>
      <c r="D22" s="49" t="s">
        <v>38</v>
      </c>
      <c r="E22" s="65">
        <v>6.7062499999999998</v>
      </c>
      <c r="F22" s="65">
        <v>8.6187500000000004</v>
      </c>
      <c r="G22" s="65">
        <v>9.6187500000000004</v>
      </c>
      <c r="H22" s="65">
        <v>7.6187500000000004</v>
      </c>
      <c r="I22" s="65">
        <v>11.56875</v>
      </c>
      <c r="J22" s="65">
        <v>11.56875</v>
      </c>
      <c r="K22" s="65">
        <v>8.2562499999999996</v>
      </c>
      <c r="L22" s="65">
        <v>8.34375</v>
      </c>
      <c r="M22" s="65">
        <v>0</v>
      </c>
      <c r="N22" s="65">
        <v>0</v>
      </c>
      <c r="O22" s="65">
        <v>0</v>
      </c>
      <c r="P22" s="65">
        <v>0</v>
      </c>
      <c r="Q22" s="65">
        <v>0</v>
      </c>
      <c r="R22" s="65">
        <v>0</v>
      </c>
      <c r="S22" s="65">
        <v>0</v>
      </c>
      <c r="T22" s="65">
        <v>0</v>
      </c>
      <c r="U22" s="65">
        <v>0</v>
      </c>
      <c r="V22" s="65">
        <v>0</v>
      </c>
      <c r="W22" s="65">
        <v>0</v>
      </c>
      <c r="X22" s="65">
        <v>0</v>
      </c>
      <c r="Y22" s="65">
        <v>0</v>
      </c>
      <c r="Z22" s="65">
        <v>0</v>
      </c>
      <c r="AA22" s="65">
        <v>0</v>
      </c>
      <c r="AB22" s="65">
        <v>0</v>
      </c>
      <c r="AC22" s="65">
        <v>0</v>
      </c>
      <c r="AD22" s="65">
        <v>0</v>
      </c>
      <c r="AE22" s="65">
        <v>0</v>
      </c>
      <c r="AF22" s="65">
        <v>0</v>
      </c>
      <c r="AG22" s="65">
        <v>0</v>
      </c>
      <c r="AH22" s="65">
        <v>0</v>
      </c>
      <c r="AI22" s="65">
        <v>0</v>
      </c>
      <c r="AJ22" s="65">
        <v>0</v>
      </c>
      <c r="AK22" s="65">
        <v>0</v>
      </c>
      <c r="AL22" s="65">
        <v>0</v>
      </c>
      <c r="AM22" s="65">
        <v>0</v>
      </c>
      <c r="AN22" s="65">
        <v>0</v>
      </c>
      <c r="AO22" s="65">
        <v>0</v>
      </c>
      <c r="AP22" s="65">
        <v>0</v>
      </c>
      <c r="AQ22" s="65">
        <v>0</v>
      </c>
      <c r="AR22" s="65">
        <v>0</v>
      </c>
      <c r="AS22" s="65">
        <v>0</v>
      </c>
      <c r="AT22" s="65">
        <v>0</v>
      </c>
      <c r="AU22" s="65">
        <v>0</v>
      </c>
      <c r="AV22" s="65">
        <v>0</v>
      </c>
      <c r="AW22" s="65">
        <v>0</v>
      </c>
      <c r="AX22" s="65">
        <v>0</v>
      </c>
      <c r="AY22" s="65">
        <v>0</v>
      </c>
      <c r="AZ22" s="65">
        <v>0</v>
      </c>
      <c r="BA22" s="65">
        <v>0</v>
      </c>
      <c r="BB22" s="65">
        <v>0</v>
      </c>
      <c r="BC22" s="65">
        <v>0</v>
      </c>
      <c r="BD22" s="65">
        <v>0</v>
      </c>
    </row>
    <row r="23" spans="3:56" x14ac:dyDescent="0.25">
      <c r="C23" s="48"/>
      <c r="D23" s="49" t="s">
        <v>39</v>
      </c>
      <c r="E23" s="65">
        <v>0</v>
      </c>
      <c r="F23" s="65">
        <v>0</v>
      </c>
      <c r="G23" s="65">
        <v>0</v>
      </c>
      <c r="H23" s="65">
        <v>0</v>
      </c>
      <c r="I23" s="65">
        <v>0</v>
      </c>
      <c r="J23" s="65">
        <v>0</v>
      </c>
      <c r="K23" s="65">
        <v>0</v>
      </c>
      <c r="L23" s="65">
        <v>0</v>
      </c>
      <c r="M23" s="65">
        <v>0</v>
      </c>
      <c r="N23" s="65">
        <v>0</v>
      </c>
      <c r="O23" s="65">
        <v>0</v>
      </c>
      <c r="P23" s="65">
        <v>0</v>
      </c>
      <c r="Q23" s="65">
        <v>0</v>
      </c>
      <c r="R23" s="65">
        <v>0</v>
      </c>
      <c r="S23" s="65">
        <v>0</v>
      </c>
      <c r="T23" s="65">
        <v>0</v>
      </c>
      <c r="U23" s="65">
        <v>0</v>
      </c>
      <c r="V23" s="65">
        <v>0</v>
      </c>
      <c r="W23" s="65">
        <v>0</v>
      </c>
      <c r="X23" s="65">
        <v>0</v>
      </c>
      <c r="Y23" s="65">
        <v>0</v>
      </c>
      <c r="Z23" s="65">
        <v>0</v>
      </c>
      <c r="AA23" s="65">
        <v>0</v>
      </c>
      <c r="AB23" s="65">
        <v>0</v>
      </c>
      <c r="AC23" s="65">
        <v>0</v>
      </c>
      <c r="AD23" s="65">
        <v>0</v>
      </c>
      <c r="AE23" s="65">
        <v>0</v>
      </c>
      <c r="AF23" s="65">
        <v>0</v>
      </c>
      <c r="AG23" s="65">
        <v>0</v>
      </c>
      <c r="AH23" s="65">
        <v>0</v>
      </c>
      <c r="AI23" s="65">
        <v>0</v>
      </c>
      <c r="AJ23" s="65">
        <v>0</v>
      </c>
      <c r="AK23" s="65">
        <v>0</v>
      </c>
      <c r="AL23" s="65">
        <v>0</v>
      </c>
      <c r="AM23" s="65">
        <v>0</v>
      </c>
      <c r="AN23" s="65">
        <v>0</v>
      </c>
      <c r="AO23" s="65">
        <v>0</v>
      </c>
      <c r="AP23" s="65">
        <v>0</v>
      </c>
      <c r="AQ23" s="65">
        <v>0</v>
      </c>
      <c r="AR23" s="65">
        <v>0</v>
      </c>
      <c r="AS23" s="65">
        <v>0</v>
      </c>
      <c r="AT23" s="65">
        <v>0</v>
      </c>
      <c r="AU23" s="65">
        <v>0</v>
      </c>
      <c r="AV23" s="65">
        <v>0</v>
      </c>
      <c r="AW23" s="65">
        <v>0</v>
      </c>
      <c r="AX23" s="65">
        <v>0</v>
      </c>
      <c r="AY23" s="65">
        <v>0</v>
      </c>
      <c r="AZ23" s="65">
        <v>0</v>
      </c>
      <c r="BA23" s="65">
        <v>0</v>
      </c>
      <c r="BB23" s="65">
        <v>0</v>
      </c>
      <c r="BC23" s="65">
        <v>0</v>
      </c>
      <c r="BD23" s="65">
        <v>0</v>
      </c>
    </row>
    <row r="24" spans="3:56" x14ac:dyDescent="0.25">
      <c r="C24" s="48"/>
      <c r="D24" s="49" t="s">
        <v>40</v>
      </c>
      <c r="E24" s="65">
        <v>0</v>
      </c>
      <c r="F24" s="65">
        <v>0</v>
      </c>
      <c r="G24" s="65">
        <v>0</v>
      </c>
      <c r="H24" s="65">
        <v>0</v>
      </c>
      <c r="I24" s="65">
        <v>0</v>
      </c>
      <c r="J24" s="65">
        <v>0</v>
      </c>
      <c r="K24" s="65">
        <v>0</v>
      </c>
      <c r="L24" s="65">
        <v>0</v>
      </c>
      <c r="M24" s="65">
        <v>0</v>
      </c>
      <c r="N24" s="65">
        <v>0</v>
      </c>
      <c r="O24" s="65">
        <v>0</v>
      </c>
      <c r="P24" s="65">
        <v>0</v>
      </c>
      <c r="Q24" s="65">
        <v>0</v>
      </c>
      <c r="R24" s="65">
        <v>0</v>
      </c>
      <c r="S24" s="65">
        <v>0</v>
      </c>
      <c r="T24" s="65">
        <v>0</v>
      </c>
      <c r="U24" s="65">
        <v>0</v>
      </c>
      <c r="V24" s="65">
        <v>0</v>
      </c>
      <c r="W24" s="65">
        <v>0</v>
      </c>
      <c r="X24" s="65">
        <v>0</v>
      </c>
      <c r="Y24" s="65">
        <v>0</v>
      </c>
      <c r="Z24" s="65">
        <v>0</v>
      </c>
      <c r="AA24" s="65">
        <v>0</v>
      </c>
      <c r="AB24" s="65">
        <v>0</v>
      </c>
      <c r="AC24" s="65">
        <v>0</v>
      </c>
      <c r="AD24" s="65">
        <v>0</v>
      </c>
      <c r="AE24" s="65">
        <v>0</v>
      </c>
      <c r="AF24" s="65">
        <v>0</v>
      </c>
      <c r="AG24" s="65">
        <v>0</v>
      </c>
      <c r="AH24" s="65">
        <v>0</v>
      </c>
      <c r="AI24" s="65">
        <v>0</v>
      </c>
      <c r="AJ24" s="65">
        <v>0</v>
      </c>
      <c r="AK24" s="65">
        <v>0</v>
      </c>
      <c r="AL24" s="65">
        <v>0</v>
      </c>
      <c r="AM24" s="65">
        <v>0</v>
      </c>
      <c r="AN24" s="65">
        <v>0</v>
      </c>
      <c r="AO24" s="65">
        <v>0</v>
      </c>
      <c r="AP24" s="65">
        <v>0</v>
      </c>
      <c r="AQ24" s="65">
        <v>0</v>
      </c>
      <c r="AR24" s="65">
        <v>0</v>
      </c>
      <c r="AS24" s="65">
        <v>0</v>
      </c>
      <c r="AT24" s="65">
        <v>0</v>
      </c>
      <c r="AU24" s="65">
        <v>0</v>
      </c>
      <c r="AV24" s="65">
        <v>0</v>
      </c>
      <c r="AW24" s="65">
        <v>2</v>
      </c>
      <c r="AX24" s="65">
        <v>1.8000000000000007</v>
      </c>
      <c r="AY24" s="65">
        <v>1.6200000000000006</v>
      </c>
      <c r="AZ24" s="65">
        <v>1.4580000000000004</v>
      </c>
      <c r="BA24" s="65">
        <v>1.2976200000000004</v>
      </c>
      <c r="BB24" s="65">
        <v>1.1548818000000005</v>
      </c>
      <c r="BC24" s="65">
        <v>1.0278448020000004</v>
      </c>
      <c r="BD24" s="65">
        <v>0.91478187378000031</v>
      </c>
    </row>
    <row r="25" spans="3:56" x14ac:dyDescent="0.25">
      <c r="C25" s="48"/>
      <c r="D25" s="50" t="s">
        <v>41</v>
      </c>
      <c r="E25" s="66">
        <f t="shared" ref="E25:BD25" si="2">(SUM(E18:E24)*E27)/((40*(1-E26)+40))</f>
        <v>0</v>
      </c>
      <c r="F25" s="66">
        <f t="shared" si="2"/>
        <v>0</v>
      </c>
      <c r="G25" s="66">
        <f t="shared" si="2"/>
        <v>0</v>
      </c>
      <c r="H25" s="66">
        <f t="shared" si="2"/>
        <v>-5.4842391304347817</v>
      </c>
      <c r="I25" s="66">
        <f t="shared" si="2"/>
        <v>-5.9690217391304348</v>
      </c>
      <c r="J25" s="66">
        <f t="shared" si="2"/>
        <v>0</v>
      </c>
      <c r="K25" s="66">
        <f t="shared" si="2"/>
        <v>-8.3793478260869563</v>
      </c>
      <c r="L25" s="66">
        <f t="shared" si="2"/>
        <v>-4.2472826086956523</v>
      </c>
      <c r="M25" s="66">
        <f t="shared" si="2"/>
        <v>-4.6679347826086959</v>
      </c>
      <c r="N25" s="66">
        <f t="shared" si="2"/>
        <v>-4.6657608695652177</v>
      </c>
      <c r="O25" s="66">
        <f t="shared" si="2"/>
        <v>-4.6646739130434778</v>
      </c>
      <c r="P25" s="66">
        <f t="shared" si="2"/>
        <v>0</v>
      </c>
      <c r="Q25" s="66">
        <f t="shared" si="2"/>
        <v>-4.0788043478260869</v>
      </c>
      <c r="R25" s="66">
        <f t="shared" si="2"/>
        <v>0</v>
      </c>
      <c r="S25" s="66">
        <f t="shared" si="2"/>
        <v>0</v>
      </c>
      <c r="T25" s="66">
        <f t="shared" si="2"/>
        <v>-5.7464673913043489</v>
      </c>
      <c r="U25" s="66">
        <f t="shared" si="2"/>
        <v>-2.1540760869565219</v>
      </c>
      <c r="V25" s="66">
        <f t="shared" si="2"/>
        <v>0</v>
      </c>
      <c r="W25" s="66">
        <f t="shared" si="2"/>
        <v>0</v>
      </c>
      <c r="X25" s="66">
        <f t="shared" si="2"/>
        <v>1.9676630434782607</v>
      </c>
      <c r="Y25" s="66">
        <f t="shared" si="2"/>
        <v>0</v>
      </c>
      <c r="Z25" s="66">
        <f t="shared" si="2"/>
        <v>0</v>
      </c>
      <c r="AA25" s="66">
        <f t="shared" si="2"/>
        <v>7.2573866978260861</v>
      </c>
      <c r="AB25" s="66">
        <f t="shared" si="2"/>
        <v>5.3341792229021738</v>
      </c>
      <c r="AC25" s="66">
        <f t="shared" si="2"/>
        <v>3.4849970922960867</v>
      </c>
      <c r="AD25" s="66">
        <f t="shared" si="2"/>
        <v>-3.4152971504501646</v>
      </c>
      <c r="AE25" s="66">
        <f t="shared" si="2"/>
        <v>-3.3469912074411612</v>
      </c>
      <c r="AF25" s="66">
        <f t="shared" si="2"/>
        <v>0</v>
      </c>
      <c r="AG25" s="66">
        <f t="shared" si="2"/>
        <v>-3.2144503556264916</v>
      </c>
      <c r="AH25" s="66">
        <f t="shared" si="2"/>
        <v>0</v>
      </c>
      <c r="AI25" s="66">
        <f t="shared" si="2"/>
        <v>0</v>
      </c>
      <c r="AJ25" s="66">
        <f t="shared" si="2"/>
        <v>0</v>
      </c>
      <c r="AK25" s="66">
        <f t="shared" si="2"/>
        <v>0</v>
      </c>
      <c r="AL25" s="66">
        <f t="shared" si="2"/>
        <v>0</v>
      </c>
      <c r="AM25" s="66">
        <f t="shared" si="2"/>
        <v>0</v>
      </c>
      <c r="AN25" s="66">
        <f t="shared" si="2"/>
        <v>0</v>
      </c>
      <c r="AO25" s="66">
        <f t="shared" si="2"/>
        <v>0</v>
      </c>
      <c r="AP25" s="66">
        <f t="shared" si="2"/>
        <v>0</v>
      </c>
      <c r="AQ25" s="66">
        <f t="shared" si="2"/>
        <v>0</v>
      </c>
      <c r="AR25" s="66">
        <f t="shared" si="2"/>
        <v>0</v>
      </c>
      <c r="AS25" s="66">
        <f t="shared" si="2"/>
        <v>0</v>
      </c>
      <c r="AT25" s="66">
        <f t="shared" si="2"/>
        <v>0</v>
      </c>
      <c r="AU25" s="66">
        <f t="shared" si="2"/>
        <v>0</v>
      </c>
      <c r="AV25" s="66">
        <f t="shared" si="2"/>
        <v>0</v>
      </c>
      <c r="AW25" s="66">
        <f t="shared" si="2"/>
        <v>0</v>
      </c>
      <c r="AX25" s="66">
        <f t="shared" si="2"/>
        <v>0</v>
      </c>
      <c r="AY25" s="66">
        <f t="shared" si="2"/>
        <v>0</v>
      </c>
      <c r="AZ25" s="66">
        <f t="shared" si="2"/>
        <v>27.378427881881038</v>
      </c>
      <c r="BA25" s="66">
        <f t="shared" si="2"/>
        <v>12.705139537871844</v>
      </c>
      <c r="BB25" s="66">
        <f t="shared" si="2"/>
        <v>0</v>
      </c>
      <c r="BC25" s="66">
        <f t="shared" si="2"/>
        <v>0</v>
      </c>
      <c r="BD25" s="66">
        <f t="shared" si="2"/>
        <v>0</v>
      </c>
    </row>
    <row r="26" spans="3:56" x14ac:dyDescent="0.25">
      <c r="C26" s="48"/>
      <c r="D26" s="50" t="s">
        <v>42</v>
      </c>
      <c r="E26" s="67">
        <v>0.85</v>
      </c>
      <c r="F26" s="67">
        <v>0.85</v>
      </c>
      <c r="G26" s="67">
        <v>0.85</v>
      </c>
      <c r="H26" s="67">
        <v>0.85</v>
      </c>
      <c r="I26" s="67">
        <v>0.85</v>
      </c>
      <c r="J26" s="67">
        <v>0.85</v>
      </c>
      <c r="K26" s="67">
        <v>0.85</v>
      </c>
      <c r="L26" s="67">
        <v>0.85</v>
      </c>
      <c r="M26" s="67">
        <v>0.85</v>
      </c>
      <c r="N26" s="67">
        <v>0.85</v>
      </c>
      <c r="O26" s="67">
        <v>0.85</v>
      </c>
      <c r="P26" s="67">
        <v>0.85</v>
      </c>
      <c r="Q26" s="67">
        <v>0.85</v>
      </c>
      <c r="R26" s="67">
        <v>0.85</v>
      </c>
      <c r="S26" s="67">
        <v>0.85</v>
      </c>
      <c r="T26" s="67">
        <v>0.85</v>
      </c>
      <c r="U26" s="67">
        <v>0.85</v>
      </c>
      <c r="V26" s="67">
        <v>0.85</v>
      </c>
      <c r="W26" s="67">
        <v>0.85</v>
      </c>
      <c r="X26" s="67">
        <v>0.85</v>
      </c>
      <c r="Y26" s="67">
        <v>0.85</v>
      </c>
      <c r="Z26" s="67">
        <v>0.85</v>
      </c>
      <c r="AA26" s="67">
        <v>0.85</v>
      </c>
      <c r="AB26" s="67">
        <v>0.85</v>
      </c>
      <c r="AC26" s="67">
        <v>0.85</v>
      </c>
      <c r="AD26" s="67">
        <v>0.85</v>
      </c>
      <c r="AE26" s="67">
        <v>0.85</v>
      </c>
      <c r="AF26" s="67">
        <v>0.85</v>
      </c>
      <c r="AG26" s="67">
        <v>0.85</v>
      </c>
      <c r="AH26" s="67">
        <v>0.85</v>
      </c>
      <c r="AI26" s="67">
        <v>0.85</v>
      </c>
      <c r="AJ26" s="67">
        <v>0.85</v>
      </c>
      <c r="AK26" s="67">
        <v>0.85</v>
      </c>
      <c r="AL26" s="67">
        <v>0.85</v>
      </c>
      <c r="AM26" s="67">
        <v>0.85</v>
      </c>
      <c r="AN26" s="67">
        <v>0.85</v>
      </c>
      <c r="AO26" s="67">
        <v>0.85</v>
      </c>
      <c r="AP26" s="67">
        <v>0.85</v>
      </c>
      <c r="AQ26" s="67">
        <v>0.85</v>
      </c>
      <c r="AR26" s="67">
        <v>0.85</v>
      </c>
      <c r="AS26" s="67">
        <v>0.85</v>
      </c>
      <c r="AT26" s="67">
        <v>0.85</v>
      </c>
      <c r="AU26" s="67">
        <v>0.85</v>
      </c>
      <c r="AV26" s="67">
        <v>0.85</v>
      </c>
      <c r="AW26" s="67">
        <v>0.85</v>
      </c>
      <c r="AX26" s="67">
        <v>0.85</v>
      </c>
      <c r="AY26" s="67">
        <v>0.85</v>
      </c>
      <c r="AZ26" s="67">
        <v>0.85</v>
      </c>
      <c r="BA26" s="67">
        <v>0.85</v>
      </c>
      <c r="BB26" s="67">
        <v>0.85</v>
      </c>
      <c r="BC26" s="67">
        <v>0.85</v>
      </c>
      <c r="BD26" s="67">
        <v>0.85</v>
      </c>
    </row>
    <row r="27" spans="3:56" x14ac:dyDescent="0.25">
      <c r="C27" s="48"/>
      <c r="D27" s="50" t="s">
        <v>43</v>
      </c>
      <c r="E27" s="65"/>
      <c r="F27" s="65"/>
      <c r="G27" s="65"/>
      <c r="H27" s="65">
        <v>-4</v>
      </c>
      <c r="I27" s="65">
        <v>-4</v>
      </c>
      <c r="J27" s="65"/>
      <c r="K27" s="65">
        <v>-8</v>
      </c>
      <c r="L27" s="65">
        <v>-4</v>
      </c>
      <c r="M27" s="65">
        <v>-4</v>
      </c>
      <c r="N27" s="65">
        <v>-4</v>
      </c>
      <c r="O27" s="65">
        <v>-4</v>
      </c>
      <c r="P27" s="65"/>
      <c r="Q27" s="65">
        <v>-4</v>
      </c>
      <c r="R27" s="65"/>
      <c r="S27" s="65"/>
      <c r="T27" s="65">
        <v>-6</v>
      </c>
      <c r="U27" s="65">
        <v>-2</v>
      </c>
      <c r="V27" s="65"/>
      <c r="W27" s="65"/>
      <c r="X27" s="65">
        <v>2</v>
      </c>
      <c r="Y27" s="65"/>
      <c r="Z27" s="65"/>
      <c r="AA27" s="65">
        <v>8</v>
      </c>
      <c r="AB27" s="65">
        <v>6</v>
      </c>
      <c r="AC27" s="65">
        <v>4</v>
      </c>
      <c r="AD27" s="65">
        <v>-4</v>
      </c>
      <c r="AE27" s="65">
        <v>-4</v>
      </c>
      <c r="AF27" s="65"/>
      <c r="AG27" s="65">
        <v>-4</v>
      </c>
      <c r="AH27" s="65"/>
      <c r="AI27" s="65"/>
      <c r="AJ27" s="65"/>
      <c r="AK27" s="65"/>
      <c r="AL27" s="65"/>
      <c r="AM27" s="65"/>
      <c r="AN27" s="65"/>
      <c r="AO27" s="65"/>
      <c r="AP27" s="65"/>
      <c r="AQ27" s="65"/>
      <c r="AR27" s="65"/>
      <c r="AS27" s="65"/>
      <c r="AT27" s="65"/>
      <c r="AU27" s="65"/>
      <c r="AV27" s="65"/>
      <c r="AW27" s="65"/>
      <c r="AX27" s="65"/>
      <c r="AY27" s="65"/>
      <c r="AZ27" s="65">
        <v>8</v>
      </c>
      <c r="BA27" s="65">
        <v>4</v>
      </c>
      <c r="BB27" s="65"/>
      <c r="BC27" s="65"/>
      <c r="BD27" s="65"/>
    </row>
    <row r="28" spans="3:56" x14ac:dyDescent="0.25">
      <c r="C28" s="48"/>
      <c r="D28" s="51" t="s">
        <v>44</v>
      </c>
      <c r="E28" s="55">
        <f t="shared" ref="E28:BD28" si="3">SUM(E18:E25)</f>
        <v>121.75624999999999</v>
      </c>
      <c r="F28" s="55">
        <f t="shared" si="3"/>
        <v>97.043750000000003</v>
      </c>
      <c r="G28" s="55">
        <f t="shared" si="3"/>
        <v>70.568749999999994</v>
      </c>
      <c r="H28" s="55">
        <f t="shared" si="3"/>
        <v>57.584510869565214</v>
      </c>
      <c r="I28" s="55">
        <f t="shared" si="3"/>
        <v>62.674728260869564</v>
      </c>
      <c r="J28" s="55">
        <f t="shared" si="3"/>
        <v>68.643749999999997</v>
      </c>
      <c r="K28" s="55">
        <f t="shared" si="3"/>
        <v>39.801902173913042</v>
      </c>
      <c r="L28" s="55">
        <f t="shared" si="3"/>
        <v>44.596467391304344</v>
      </c>
      <c r="M28" s="55">
        <f t="shared" si="3"/>
        <v>49.013315217391309</v>
      </c>
      <c r="N28" s="55">
        <f t="shared" si="3"/>
        <v>48.990489130434781</v>
      </c>
      <c r="O28" s="55">
        <f t="shared" si="3"/>
        <v>48.979076086956518</v>
      </c>
      <c r="P28" s="55">
        <f t="shared" si="3"/>
        <v>47.910000000000004</v>
      </c>
      <c r="Q28" s="55">
        <f t="shared" si="3"/>
        <v>42.827445652173914</v>
      </c>
      <c r="R28" s="55">
        <f t="shared" si="3"/>
        <v>45.90625</v>
      </c>
      <c r="S28" s="55">
        <f t="shared" si="3"/>
        <v>44.931250000000006</v>
      </c>
      <c r="T28" s="55">
        <f t="shared" si="3"/>
        <v>38.309782608695656</v>
      </c>
      <c r="U28" s="55">
        <f t="shared" si="3"/>
        <v>47.389673913043481</v>
      </c>
      <c r="V28" s="55">
        <f t="shared" si="3"/>
        <v>48.431249999999999</v>
      </c>
      <c r="W28" s="55">
        <f t="shared" si="3"/>
        <v>46.506249999999994</v>
      </c>
      <c r="X28" s="55">
        <f t="shared" si="3"/>
        <v>47.223913043478255</v>
      </c>
      <c r="Y28" s="55">
        <f t="shared" si="3"/>
        <v>43.898562499999997</v>
      </c>
      <c r="Z28" s="55">
        <f t="shared" si="3"/>
        <v>42.581605624999995</v>
      </c>
      <c r="AA28" s="55">
        <f t="shared" si="3"/>
        <v>48.987360210326081</v>
      </c>
      <c r="AB28" s="55">
        <f t="shared" si="3"/>
        <v>46.22955326515217</v>
      </c>
      <c r="AC28" s="55">
        <f t="shared" si="3"/>
        <v>43.56246365370108</v>
      </c>
      <c r="AD28" s="55">
        <f t="shared" si="3"/>
        <v>35.860620079726729</v>
      </c>
      <c r="AE28" s="55">
        <f t="shared" si="3"/>
        <v>35.143407678132192</v>
      </c>
      <c r="AF28" s="55">
        <f t="shared" si="3"/>
        <v>37.72059090786189</v>
      </c>
      <c r="AG28" s="55">
        <f t="shared" si="3"/>
        <v>33.751728734078164</v>
      </c>
      <c r="AH28" s="55">
        <f t="shared" si="3"/>
        <v>43.726855507910557</v>
      </c>
      <c r="AI28" s="55">
        <f t="shared" si="3"/>
        <v>42.852318397752349</v>
      </c>
      <c r="AJ28" s="55">
        <f t="shared" si="3"/>
        <v>51.245272029797299</v>
      </c>
      <c r="AK28" s="55">
        <f t="shared" si="3"/>
        <v>49.220366589201348</v>
      </c>
      <c r="AL28" s="55">
        <f t="shared" si="3"/>
        <v>47.235959257417321</v>
      </c>
      <c r="AM28" s="55">
        <f t="shared" si="3"/>
        <v>46.291240072268977</v>
      </c>
      <c r="AN28" s="55">
        <f t="shared" si="3"/>
        <v>44.53217294952276</v>
      </c>
      <c r="AO28" s="55">
        <f t="shared" si="3"/>
        <v>42.839950377440893</v>
      </c>
      <c r="AP28" s="55">
        <f t="shared" si="3"/>
        <v>41.212032263098138</v>
      </c>
      <c r="AQ28" s="55">
        <f t="shared" si="3"/>
        <v>58.145975037100406</v>
      </c>
      <c r="AR28" s="55">
        <f t="shared" si="3"/>
        <v>55.936427985690592</v>
      </c>
      <c r="AS28" s="55">
        <f t="shared" si="3"/>
        <v>76.198970866262968</v>
      </c>
      <c r="AT28" s="55">
        <f t="shared" si="3"/>
        <v>62.151012031612446</v>
      </c>
      <c r="AU28" s="55">
        <f t="shared" si="3"/>
        <v>104.66497155034794</v>
      </c>
      <c r="AV28" s="55">
        <f t="shared" si="3"/>
        <v>81.478372688334019</v>
      </c>
      <c r="AW28" s="55">
        <f t="shared" si="3"/>
        <v>90.330535419500634</v>
      </c>
      <c r="AX28" s="55">
        <f t="shared" si="3"/>
        <v>103.79748187755057</v>
      </c>
      <c r="AY28" s="55">
        <f t="shared" si="3"/>
        <v>174.91773368979551</v>
      </c>
      <c r="AZ28" s="55">
        <f t="shared" si="3"/>
        <v>184.804388202697</v>
      </c>
      <c r="BA28" s="55">
        <f t="shared" si="3"/>
        <v>158.81424422339805</v>
      </c>
      <c r="BB28" s="55">
        <f t="shared" si="3"/>
        <v>134.03710317011831</v>
      </c>
      <c r="BC28" s="55">
        <f t="shared" si="3"/>
        <v>133.29302182140532</v>
      </c>
      <c r="BD28" s="55">
        <f t="shared" si="3"/>
        <v>124.63078942105072</v>
      </c>
    </row>
    <row r="29" spans="3:56" x14ac:dyDescent="0.25">
      <c r="C29" s="48"/>
      <c r="D29" s="52" t="s">
        <v>45</v>
      </c>
      <c r="E29" s="56">
        <f t="shared" ref="E29:BD29" si="4">E28-E7</f>
        <v>25.933478195901031</v>
      </c>
      <c r="F29" s="56">
        <f t="shared" si="4"/>
        <v>21.364789870994684</v>
      </c>
      <c r="G29" s="56">
        <f t="shared" si="4"/>
        <v>6.8806807299788915</v>
      </c>
      <c r="H29" s="56">
        <f t="shared" si="4"/>
        <v>-1.6759488390934862</v>
      </c>
      <c r="I29" s="56">
        <f t="shared" si="4"/>
        <v>5.7618501489407379</v>
      </c>
      <c r="J29" s="56">
        <f t="shared" si="4"/>
        <v>17.144622542532133</v>
      </c>
      <c r="K29" s="56">
        <f t="shared" si="4"/>
        <v>-4.7603189772642551</v>
      </c>
      <c r="L29" s="56">
        <f t="shared" si="4"/>
        <v>0.71257037513489507</v>
      </c>
      <c r="M29" s="56">
        <f t="shared" si="4"/>
        <v>7.8240115265485812</v>
      </c>
      <c r="N29" s="56">
        <f t="shared" si="4"/>
        <v>1.84887404103808</v>
      </c>
      <c r="O29" s="56">
        <f t="shared" si="4"/>
        <v>-2.6438559184303188</v>
      </c>
      <c r="P29" s="56">
        <f t="shared" si="4"/>
        <v>-2.4941127549700823</v>
      </c>
      <c r="Q29" s="56">
        <f t="shared" si="4"/>
        <v>2.7162606329740271</v>
      </c>
      <c r="R29" s="56">
        <f t="shared" si="4"/>
        <v>5.1710201029645404</v>
      </c>
      <c r="S29" s="56">
        <f t="shared" si="4"/>
        <v>2.9298562637838472</v>
      </c>
      <c r="T29" s="56">
        <f t="shared" si="4"/>
        <v>-1.890063644016017</v>
      </c>
      <c r="U29" s="56">
        <f t="shared" si="4"/>
        <v>3.0118120746151646</v>
      </c>
      <c r="V29" s="56">
        <f t="shared" si="4"/>
        <v>1.3670434548581198</v>
      </c>
      <c r="W29" s="56">
        <f t="shared" si="4"/>
        <v>0.60861070307944232</v>
      </c>
      <c r="X29" s="56">
        <f t="shared" si="4"/>
        <v>0.61017709015503385</v>
      </c>
      <c r="Y29" s="56">
        <f t="shared" si="4"/>
        <v>0.45131181840773138</v>
      </c>
      <c r="Z29" s="56">
        <f t="shared" si="4"/>
        <v>1.2212096685973393</v>
      </c>
      <c r="AA29" s="56">
        <f t="shared" si="4"/>
        <v>0.33520376393344975</v>
      </c>
      <c r="AB29" s="56">
        <f t="shared" si="4"/>
        <v>-0.32389234159990821</v>
      </c>
      <c r="AC29" s="56">
        <f t="shared" si="4"/>
        <v>0.59029835377835127</v>
      </c>
      <c r="AD29" s="56">
        <f t="shared" si="4"/>
        <v>-0.4709639610666585</v>
      </c>
      <c r="AE29" s="56">
        <f t="shared" si="4"/>
        <v>1.1023863829301419</v>
      </c>
      <c r="AF29" s="56">
        <f t="shared" si="4"/>
        <v>0.80646723706123424</v>
      </c>
      <c r="AG29" s="56">
        <f t="shared" si="4"/>
        <v>0.26688284822728292</v>
      </c>
      <c r="AH29" s="56">
        <f t="shared" si="4"/>
        <v>4.0586455115208722</v>
      </c>
      <c r="AI29" s="56">
        <f t="shared" si="4"/>
        <v>2.5730692834201818</v>
      </c>
      <c r="AJ29" s="56">
        <f t="shared" si="4"/>
        <v>6.8309843018926841</v>
      </c>
      <c r="AK29" s="56">
        <f t="shared" si="4"/>
        <v>4.7251742784612034</v>
      </c>
      <c r="AL29" s="56">
        <f t="shared" si="4"/>
        <v>3.2010429299287679</v>
      </c>
      <c r="AM29" s="56">
        <f t="shared" si="4"/>
        <v>5.4641636199664632</v>
      </c>
      <c r="AN29" s="56">
        <f t="shared" si="4"/>
        <v>8.1384055170679659</v>
      </c>
      <c r="AO29" s="56">
        <f t="shared" si="4"/>
        <v>5.8989089623545965</v>
      </c>
      <c r="AP29" s="56">
        <f t="shared" si="4"/>
        <v>1.8808452501302781</v>
      </c>
      <c r="AQ29" s="56">
        <f t="shared" si="4"/>
        <v>16.052007001379401</v>
      </c>
      <c r="AR29" s="56">
        <f t="shared" si="4"/>
        <v>8.4568111557249779</v>
      </c>
      <c r="AS29" s="56">
        <f t="shared" si="4"/>
        <v>26.269529538440651</v>
      </c>
      <c r="AT29" s="56">
        <f t="shared" si="4"/>
        <v>11.911477527001779</v>
      </c>
      <c r="AU29" s="56">
        <f t="shared" si="4"/>
        <v>47.825551099551248</v>
      </c>
      <c r="AV29" s="56">
        <f t="shared" si="4"/>
        <v>16.718553563448665</v>
      </c>
      <c r="AW29" s="56">
        <f t="shared" si="4"/>
        <v>10.497116170977307</v>
      </c>
      <c r="AX29" s="56">
        <f t="shared" si="4"/>
        <v>25.425259589577053</v>
      </c>
      <c r="AY29" s="56">
        <f t="shared" si="4"/>
        <v>49.471744556581328</v>
      </c>
      <c r="AZ29" s="56">
        <f t="shared" si="4"/>
        <v>19.104367005106354</v>
      </c>
      <c r="BA29" s="56">
        <f t="shared" si="4"/>
        <v>16.723863816144103</v>
      </c>
      <c r="BB29" s="56">
        <f t="shared" si="4"/>
        <v>14.201562642085463</v>
      </c>
      <c r="BC29" s="56">
        <f t="shared" si="4"/>
        <v>56.948303948772221</v>
      </c>
      <c r="BD29" s="56">
        <f t="shared" si="4"/>
        <v>55.07409056933102</v>
      </c>
    </row>
    <row r="30" spans="3:56" x14ac:dyDescent="0.25">
      <c r="C30" s="48"/>
      <c r="D30" s="53" t="s">
        <v>46</v>
      </c>
      <c r="E30" s="56">
        <f>SUM(E29,LauderNew!E29)</f>
        <v>19.946670028251738</v>
      </c>
      <c r="F30" s="56">
        <f>SUM(F29,LauderNew!F29)</f>
        <v>20.011985922055608</v>
      </c>
      <c r="G30" s="56">
        <f>SUM(G29,LauderNew!G29)</f>
        <v>9.8656016596479077</v>
      </c>
      <c r="H30" s="56">
        <f>SUM(H29,LauderNew!H29)</f>
        <v>7.4362562231446461</v>
      </c>
      <c r="I30" s="56">
        <f>SUM(I29,LauderNew!I29)</f>
        <v>17.20572559694245</v>
      </c>
      <c r="J30" s="56">
        <f>SUM(J29,LauderNew!J29)</f>
        <v>36.242886375091388</v>
      </c>
      <c r="K30" s="56">
        <f>SUM(K29,LauderNew!K29)</f>
        <v>4.9119074566133705</v>
      </c>
      <c r="L30" s="56">
        <f>SUM(L29,LauderNew!L29)</f>
        <v>13.937913878553889</v>
      </c>
      <c r="M30" s="56">
        <f>SUM(M29,LauderNew!M29)</f>
        <v>22.922107777393872</v>
      </c>
      <c r="N30" s="56">
        <f>SUM(N29,LauderNew!N29)</f>
        <v>12.950377600899927</v>
      </c>
      <c r="O30" s="56">
        <f>SUM(O29,LauderNew!O29)</f>
        <v>3.3985413327662783</v>
      </c>
      <c r="P30" s="56">
        <f>SUM(P29,LauderNew!P29)</f>
        <v>9.7256959495263544</v>
      </c>
      <c r="Q30" s="56">
        <f>SUM(Q29,LauderNew!Q29)</f>
        <v>18.020083809522486</v>
      </c>
      <c r="R30" s="56">
        <f>SUM(R29,LauderNew!R29)</f>
        <v>19.950491496198413</v>
      </c>
      <c r="S30" s="56">
        <f>SUM(S29,LauderNew!S29)</f>
        <v>15.142705651971653</v>
      </c>
      <c r="T30" s="56">
        <f>SUM(T29,LauderNew!T29)</f>
        <v>4.4390887575098432</v>
      </c>
      <c r="U30" s="56">
        <f>SUM(U29,LauderNew!U29)</f>
        <v>3.6921423636114596</v>
      </c>
      <c r="V30" s="56">
        <f>SUM(V29,LauderNew!V29)</f>
        <v>1.4919018399219084</v>
      </c>
      <c r="W30" s="56">
        <f>SUM(W29,LauderNew!W29)</f>
        <v>1.1969659258737835</v>
      </c>
      <c r="X30" s="56">
        <f>SUM(X29,LauderNew!X29)</f>
        <v>1.5577968955050352</v>
      </c>
      <c r="Y30" s="56">
        <f>SUM(Y29,LauderNew!Y29)</f>
        <v>1.7924538397844287</v>
      </c>
      <c r="Z30" s="56">
        <f>SUM(Z29,LauderNew!Z29)</f>
        <v>4.9694888106056574</v>
      </c>
      <c r="AA30" s="56">
        <f>SUM(AA29,LauderNew!AA29)</f>
        <v>4.2982228397782407</v>
      </c>
      <c r="AB30" s="56">
        <f>SUM(AB29,LauderNew!AB29)</f>
        <v>2.8392812228313531</v>
      </c>
      <c r="AC30" s="56">
        <f>SUM(AC29,LauderNew!AC29)</f>
        <v>3.2688821443831912</v>
      </c>
      <c r="AD30" s="56">
        <f>SUM(AD29,LauderNew!AD29)</f>
        <v>3.1005034065560579</v>
      </c>
      <c r="AE30" s="56">
        <f>SUM(AE29,LauderNew!AE29)</f>
        <v>5.5878451283829342</v>
      </c>
      <c r="AF30" s="56">
        <f>SUM(AF29,LauderNew!AF29)</f>
        <v>5.3972157394461817</v>
      </c>
      <c r="AG30" s="56">
        <f>SUM(AG29,LauderNew!AG29)</f>
        <v>3.8057003463252457</v>
      </c>
      <c r="AH30" s="56">
        <f>SUM(AH29,LauderNew!AH29)</f>
        <v>4.8375665104204586</v>
      </c>
      <c r="AI30" s="56">
        <f>SUM(AI29,LauderNew!AI29)</f>
        <v>2.5251326941080663</v>
      </c>
      <c r="AJ30" s="56">
        <f>SUM(AJ29,LauderNew!AJ29)</f>
        <v>14.003256398360975</v>
      </c>
      <c r="AK30" s="56">
        <f>SUM(AK29,LauderNew!AK29)</f>
        <v>10.616414697697984</v>
      </c>
      <c r="AL30" s="56">
        <f>SUM(AL29,LauderNew!AL29)</f>
        <v>8.5203706812428166</v>
      </c>
      <c r="AM30" s="56">
        <f>SUM(AM29,LauderNew!AM29)</f>
        <v>13.252407075827342</v>
      </c>
      <c r="AN30" s="56">
        <f>SUM(AN29,LauderNew!AN29)</f>
        <v>17.668958545631252</v>
      </c>
      <c r="AO30" s="56">
        <f>SUM(AO29,LauderNew!AO29)</f>
        <v>13.478886328628782</v>
      </c>
      <c r="AP30" s="56">
        <f>SUM(AP29,LauderNew!AP29)</f>
        <v>6.7180556840080747</v>
      </c>
      <c r="AQ30" s="56">
        <f>SUM(AQ29,LauderNew!AQ29)</f>
        <v>17.374532488842739</v>
      </c>
      <c r="AR30" s="56">
        <f>SUM(AR29,LauderNew!AR29)</f>
        <v>3.8994531884379668</v>
      </c>
      <c r="AS30" s="56">
        <f>SUM(AS29,LauderNew!AS29)</f>
        <v>18.786088372357881</v>
      </c>
      <c r="AT30" s="56">
        <f>SUM(AT29,LauderNew!AT29)</f>
        <v>7.7378090868593574</v>
      </c>
      <c r="AU30" s="56">
        <f>SUM(AU29,LauderNew!AU29)</f>
        <v>58.497014474859533</v>
      </c>
      <c r="AV30" s="56">
        <f>SUM(AV29,LauderNew!AV29)</f>
        <v>13.501995841946695</v>
      </c>
      <c r="AW30" s="56">
        <f>SUM(AW29,LauderNew!AW29)</f>
        <v>62.745890239524428</v>
      </c>
      <c r="AX30" s="56">
        <f>SUM(AX29,LauderNew!AX29)</f>
        <v>57.179139215761936</v>
      </c>
      <c r="AY30" s="56">
        <f>SUM(AY29,LauderNew!AY29)</f>
        <v>70.270788123485985</v>
      </c>
      <c r="AZ30" s="56">
        <f>SUM(AZ29,LauderNew!AZ29)</f>
        <v>15.793646787282484</v>
      </c>
      <c r="BA30" s="56">
        <f>SUM(BA29,LauderNew!BA29)</f>
        <v>16.22427573349178</v>
      </c>
      <c r="BB30" s="56">
        <f>SUM(BB29,LauderNew!BB29)</f>
        <v>15.662453450169068</v>
      </c>
      <c r="BC30" s="56">
        <f>SUM(BC29,LauderNew!BC29)</f>
        <v>94.260173351191185</v>
      </c>
      <c r="BD30" s="56">
        <f>SUM(BD29,LauderNew!BD29)</f>
        <v>86.853857433460774</v>
      </c>
    </row>
    <row r="31" spans="3:56" x14ac:dyDescent="0.25">
      <c r="C31" s="48"/>
      <c r="D31" s="52" t="s">
        <v>47</v>
      </c>
      <c r="E31" s="56">
        <f t="shared" ref="E31:BD31" si="5">E147</f>
        <v>34.708970191733755</v>
      </c>
      <c r="F31" s="56">
        <f t="shared" si="5"/>
        <v>31.198869787175425</v>
      </c>
      <c r="G31" s="56">
        <f t="shared" si="5"/>
        <v>32.292970612362552</v>
      </c>
      <c r="H31" s="56">
        <f t="shared" si="5"/>
        <v>18.675007175680491</v>
      </c>
      <c r="I31" s="56">
        <f t="shared" si="5"/>
        <v>19.121552474338699</v>
      </c>
      <c r="J31" s="56">
        <f t="shared" si="5"/>
        <v>37.545710270363784</v>
      </c>
      <c r="K31" s="56">
        <f t="shared" si="5"/>
        <v>11.45080517291187</v>
      </c>
      <c r="L31" s="56">
        <f t="shared" si="5"/>
        <v>22.211582783121457</v>
      </c>
      <c r="M31" s="56">
        <f t="shared" si="5"/>
        <v>18.492608694303385</v>
      </c>
      <c r="N31" s="56">
        <f t="shared" si="5"/>
        <v>11.15617352588032</v>
      </c>
      <c r="O31" s="56">
        <f t="shared" si="5"/>
        <v>0.85037419857633267</v>
      </c>
      <c r="P31" s="56">
        <f t="shared" si="5"/>
        <v>-5.3935376746363204</v>
      </c>
      <c r="Q31" s="56">
        <f t="shared" si="5"/>
        <v>12.485592990667101</v>
      </c>
      <c r="R31" s="56">
        <f t="shared" si="5"/>
        <v>18.127039669659752</v>
      </c>
      <c r="S31" s="56">
        <f t="shared" si="5"/>
        <v>12.639670021526129</v>
      </c>
      <c r="T31" s="56">
        <f t="shared" si="5"/>
        <v>-3.5694891899501897</v>
      </c>
      <c r="U31" s="56">
        <f t="shared" si="5"/>
        <v>7.2366389607338277</v>
      </c>
      <c r="V31" s="56">
        <f t="shared" si="5"/>
        <v>5.4027559294229661</v>
      </c>
      <c r="W31" s="56">
        <f t="shared" si="5"/>
        <v>4.6882719757897178</v>
      </c>
      <c r="X31" s="56">
        <f t="shared" si="5"/>
        <v>5.5768671832146026</v>
      </c>
      <c r="Y31" s="56">
        <f t="shared" si="5"/>
        <v>4.4409058619705064</v>
      </c>
      <c r="Z31" s="56">
        <f t="shared" si="5"/>
        <v>7.3477278430163437</v>
      </c>
      <c r="AA31" s="56">
        <f t="shared" si="5"/>
        <v>-3.0675517466480358</v>
      </c>
      <c r="AB31" s="56">
        <f t="shared" si="5"/>
        <v>-0.35831766670044374</v>
      </c>
      <c r="AC31" s="56">
        <f t="shared" si="5"/>
        <v>2.7991552899014209</v>
      </c>
      <c r="AD31" s="56">
        <f t="shared" si="5"/>
        <v>7.9672144647160792</v>
      </c>
      <c r="AE31" s="56">
        <f t="shared" si="5"/>
        <v>12.836254622475565</v>
      </c>
      <c r="AF31" s="56">
        <f t="shared" si="5"/>
        <v>10.15643401892369</v>
      </c>
      <c r="AG31" s="56">
        <f t="shared" si="5"/>
        <v>15.257945662340717</v>
      </c>
      <c r="AH31" s="56">
        <f t="shared" si="5"/>
        <v>12.586706181152167</v>
      </c>
      <c r="AI31" s="56">
        <f t="shared" si="5"/>
        <v>9.625566125813009</v>
      </c>
      <c r="AJ31" s="56">
        <f t="shared" si="5"/>
        <v>14.037565204333589</v>
      </c>
      <c r="AK31" s="56">
        <f t="shared" si="5"/>
        <v>8.5641002423805759</v>
      </c>
      <c r="AL31" s="56">
        <f t="shared" si="5"/>
        <v>5.6446154769670471</v>
      </c>
      <c r="AM31" s="56">
        <f t="shared" si="5"/>
        <v>4.2054063612949051</v>
      </c>
      <c r="AN31" s="56">
        <f t="shared" si="5"/>
        <v>15.314066379100211</v>
      </c>
      <c r="AO31" s="56">
        <f t="shared" si="5"/>
        <v>10.921152838858504</v>
      </c>
      <c r="AP31" s="56">
        <f t="shared" si="5"/>
        <v>2.6163416366352976</v>
      </c>
      <c r="AQ31" s="56">
        <f t="shared" si="5"/>
        <v>19.777632418914465</v>
      </c>
      <c r="AR31" s="56">
        <f t="shared" si="5"/>
        <v>18.342358345223317</v>
      </c>
      <c r="AS31" s="56">
        <f t="shared" si="5"/>
        <v>31.388120109410721</v>
      </c>
      <c r="AT31" s="56">
        <f t="shared" si="5"/>
        <v>31.55293485937375</v>
      </c>
      <c r="AU31" s="56">
        <f t="shared" si="5"/>
        <v>61.424393444974044</v>
      </c>
      <c r="AV31" s="56">
        <f t="shared" si="5"/>
        <v>66.64927140802186</v>
      </c>
      <c r="AW31" s="56">
        <f t="shared" si="5"/>
        <v>83.385010336573202</v>
      </c>
      <c r="AX31" s="56">
        <f t="shared" si="5"/>
        <v>167.8932677045045</v>
      </c>
      <c r="AY31" s="56">
        <f t="shared" si="5"/>
        <v>63.71286641757581</v>
      </c>
      <c r="AZ31" s="56">
        <f t="shared" si="5"/>
        <v>-24.411097127735729</v>
      </c>
      <c r="BA31" s="56">
        <f t="shared" si="5"/>
        <v>-21.368772546327307</v>
      </c>
      <c r="BB31" s="56">
        <f t="shared" si="5"/>
        <v>-21.244430660018281</v>
      </c>
      <c r="BC31" s="56">
        <f t="shared" si="5"/>
        <v>107.36667132153173</v>
      </c>
      <c r="BD31" s="56">
        <f t="shared" si="5"/>
        <v>113.5729933222525</v>
      </c>
    </row>
    <row r="32" spans="3:56" x14ac:dyDescent="0.25">
      <c r="C32" s="48"/>
      <c r="D32" s="53" t="s">
        <v>48</v>
      </c>
      <c r="E32" s="56">
        <f>SUM(E147,LauderNew!E135)</f>
        <v>57.528823147610382</v>
      </c>
      <c r="F32" s="56">
        <f>SUM(F147,LauderNew!F135)</f>
        <v>51.870167553553372</v>
      </c>
      <c r="G32" s="56">
        <f>SUM(G147,LauderNew!G135)</f>
        <v>47.405087652603328</v>
      </c>
      <c r="H32" s="56">
        <f>SUM(H147,LauderNew!H135)</f>
        <v>34.360136023516958</v>
      </c>
      <c r="I32" s="56">
        <f>SUM(I147,LauderNew!I135)</f>
        <v>42.373217561242882</v>
      </c>
      <c r="J32" s="56">
        <f>SUM(J147,LauderNew!J135)</f>
        <v>70.948522910413502</v>
      </c>
      <c r="K32" s="56">
        <f>SUM(K147,LauderNew!K135)</f>
        <v>30.786291383444407</v>
      </c>
      <c r="L32" s="56">
        <f>SUM(L147,LauderNew!L135)</f>
        <v>44.393116378741368</v>
      </c>
      <c r="M32" s="56">
        <f>SUM(M147,LauderNew!M135)</f>
        <v>39.156575532984291</v>
      </c>
      <c r="N32" s="56">
        <f>SUM(N147,LauderNew!N135)</f>
        <v>23.420239571956728</v>
      </c>
      <c r="O32" s="56">
        <f>SUM(O147,LauderNew!O135)</f>
        <v>1.644698709100652</v>
      </c>
      <c r="P32" s="56">
        <f>SUM(P147,LauderNew!P135)</f>
        <v>-0.4015581022959509</v>
      </c>
      <c r="Q32" s="56">
        <f>SUM(Q147,LauderNew!Q135)</f>
        <v>28.580453097759076</v>
      </c>
      <c r="R32" s="56">
        <f>SUM(R147,LauderNew!R135)</f>
        <v>36.895026107012441</v>
      </c>
      <c r="S32" s="56">
        <f>SUM(S147,LauderNew!S135)</f>
        <v>26.474420998803026</v>
      </c>
      <c r="T32" s="56">
        <f>SUM(T147,LauderNew!T135)</f>
        <v>-0.70166806824819616</v>
      </c>
      <c r="U32" s="56">
        <f>SUM(U147,LauderNew!U135)</f>
        <v>14.691587996126742</v>
      </c>
      <c r="V32" s="56">
        <f>SUM(V147,LauderNew!V135)</f>
        <v>6.4552100092546141</v>
      </c>
      <c r="W32" s="56">
        <f>SUM(W147,LauderNew!W135)</f>
        <v>5.6612699654620684</v>
      </c>
      <c r="X32" s="56">
        <f>SUM(X147,LauderNew!X135)</f>
        <v>1.4483206188689763</v>
      </c>
      <c r="Y32" s="56">
        <f>SUM(Y147,LauderNew!Y135)</f>
        <v>5.0801293728629844</v>
      </c>
      <c r="Z32" s="56">
        <f>SUM(Z147,LauderNew!Z135)</f>
        <v>10.235432808473817</v>
      </c>
      <c r="AA32" s="56">
        <f>SUM(AA147,LauderNew!AA135)</f>
        <v>-1.583121017553438</v>
      </c>
      <c r="AB32" s="56">
        <f>SUM(AB147,LauderNew!AB135)</f>
        <v>2.7196779602555097</v>
      </c>
      <c r="AC32" s="56">
        <f>SUM(AC147,LauderNew!AC135)</f>
        <v>6.8796708408412712</v>
      </c>
      <c r="AD32" s="56">
        <f>SUM(AD147,LauderNew!AD135)</f>
        <v>13.949054526181143</v>
      </c>
      <c r="AE32" s="56">
        <f>SUM(AE147,LauderNew!AE135)</f>
        <v>22.449408951385877</v>
      </c>
      <c r="AF32" s="56">
        <f>SUM(AF147,LauderNew!AF135)</f>
        <v>17.246388864777387</v>
      </c>
      <c r="AG32" s="56">
        <f>SUM(AG147,LauderNew!AG135)</f>
        <v>24.868448598097388</v>
      </c>
      <c r="AH32" s="56">
        <f>SUM(AH147,LauderNew!AH135)</f>
        <v>15.530265309480427</v>
      </c>
      <c r="AI32" s="56">
        <f>SUM(AI147,LauderNew!AI135)</f>
        <v>12.375733433041646</v>
      </c>
      <c r="AJ32" s="56">
        <f>SUM(AJ147,LauderNew!AJ135)</f>
        <v>22.764849600829464</v>
      </c>
      <c r="AK32" s="56">
        <f>SUM(AK147,LauderNew!AK135)</f>
        <v>13.358220959485806</v>
      </c>
      <c r="AL32" s="56">
        <f>SUM(AL147,LauderNew!AL135)</f>
        <v>11.280802498365915</v>
      </c>
      <c r="AM32" s="56">
        <f>SUM(AM147,LauderNew!AM135)</f>
        <v>17.080489178166715</v>
      </c>
      <c r="AN32" s="56">
        <f>SUM(AN147,LauderNew!AN135)</f>
        <v>34.355359646948756</v>
      </c>
      <c r="AO32" s="56">
        <f>SUM(AO147,LauderNew!AO135)</f>
        <v>26.807127394962677</v>
      </c>
      <c r="AP32" s="56">
        <f>SUM(AP147,LauderNew!AP135)</f>
        <v>13.426798803194416</v>
      </c>
      <c r="AQ32" s="56">
        <f>SUM(AQ147,LauderNew!AQ135)</f>
        <v>23.088830800742628</v>
      </c>
      <c r="AR32" s="56">
        <f>SUM(AR147,LauderNew!AR135)</f>
        <v>18.615427175180344</v>
      </c>
      <c r="AS32" s="56">
        <f>SUM(AS147,LauderNew!AS135)</f>
        <v>25.793149350299004</v>
      </c>
      <c r="AT32" s="56">
        <f>SUM(AT147,LauderNew!AT135)</f>
        <v>37.418958994981452</v>
      </c>
      <c r="AU32" s="56">
        <f>SUM(AU147,LauderNew!AU135)</f>
        <v>101.01060023027156</v>
      </c>
      <c r="AV32" s="56">
        <f>SUM(AV147,LauderNew!AV135)</f>
        <v>124.60383102022693</v>
      </c>
      <c r="AW32" s="56">
        <f>SUM(AW147,LauderNew!AW135)</f>
        <v>200.23701333201359</v>
      </c>
      <c r="AX32" s="56">
        <f>SUM(AX147,LauderNew!AX135)</f>
        <v>285.28181375796771</v>
      </c>
      <c r="AY32" s="56">
        <f>SUM(AY147,LauderNew!AY135)</f>
        <v>110.43968851138152</v>
      </c>
      <c r="AZ32" s="56">
        <f>SUM(AZ147,LauderNew!AZ135)</f>
        <v>-11.197094750528606</v>
      </c>
      <c r="BA32" s="56">
        <f>SUM(BA147,LauderNew!BA135)</f>
        <v>-5.9525759911824139</v>
      </c>
      <c r="BB32" s="56">
        <f>SUM(BB147,LauderNew!BB135)</f>
        <v>-4.4248524222859373</v>
      </c>
      <c r="BC32" s="56">
        <f>SUM(BC147,LauderNew!BC135)</f>
        <v>202.20513243935471</v>
      </c>
      <c r="BD32" s="56">
        <f>SUM(BD147,LauderNew!BD135)</f>
        <v>205.55763572865382</v>
      </c>
    </row>
    <row r="33" spans="3:56" x14ac:dyDescent="0.25">
      <c r="C33" s="48"/>
      <c r="D33" s="49" t="s">
        <v>49</v>
      </c>
      <c r="E33" s="65">
        <f>SUM(E10:E16)</f>
        <v>43</v>
      </c>
      <c r="F33" s="65">
        <f t="shared" ref="F33:BD33" si="6">SUM(F10:F16)</f>
        <v>42.5</v>
      </c>
      <c r="G33" s="65">
        <f t="shared" si="6"/>
        <v>0</v>
      </c>
      <c r="H33" s="65">
        <f t="shared" si="6"/>
        <v>2</v>
      </c>
      <c r="I33" s="65">
        <f t="shared" si="6"/>
        <v>0</v>
      </c>
      <c r="J33" s="65">
        <f t="shared" si="6"/>
        <v>34.375</v>
      </c>
      <c r="K33" s="65">
        <f t="shared" si="6"/>
        <v>10</v>
      </c>
      <c r="L33" s="65">
        <f t="shared" si="6"/>
        <v>0</v>
      </c>
      <c r="M33" s="65">
        <f t="shared" si="6"/>
        <v>0</v>
      </c>
      <c r="N33" s="65">
        <f t="shared" si="6"/>
        <v>5</v>
      </c>
      <c r="O33" s="65">
        <f t="shared" si="6"/>
        <v>6</v>
      </c>
      <c r="P33" s="65">
        <f t="shared" si="6"/>
        <v>0</v>
      </c>
      <c r="Q33" s="65">
        <f t="shared" si="6"/>
        <v>1</v>
      </c>
      <c r="R33" s="65">
        <f t="shared" si="6"/>
        <v>0</v>
      </c>
      <c r="S33" s="65">
        <f t="shared" si="6"/>
        <v>2</v>
      </c>
      <c r="T33" s="65">
        <f t="shared" si="6"/>
        <v>-2</v>
      </c>
      <c r="U33" s="65">
        <f t="shared" si="6"/>
        <v>4</v>
      </c>
      <c r="V33" s="65">
        <f t="shared" si="6"/>
        <v>0</v>
      </c>
      <c r="W33" s="65">
        <f t="shared" si="6"/>
        <v>0</v>
      </c>
      <c r="X33" s="65">
        <f t="shared" si="6"/>
        <v>5</v>
      </c>
      <c r="Y33" s="65">
        <f t="shared" si="6"/>
        <v>0</v>
      </c>
      <c r="Z33" s="65">
        <f t="shared" si="6"/>
        <v>6</v>
      </c>
      <c r="AA33" s="65">
        <f t="shared" si="6"/>
        <v>0</v>
      </c>
      <c r="AB33" s="65">
        <f t="shared" si="6"/>
        <v>0</v>
      </c>
      <c r="AC33" s="65">
        <f t="shared" si="6"/>
        <v>-3</v>
      </c>
      <c r="AD33" s="65">
        <f t="shared" si="6"/>
        <v>0</v>
      </c>
      <c r="AE33" s="65">
        <f t="shared" si="6"/>
        <v>-1</v>
      </c>
      <c r="AF33" s="65">
        <f t="shared" si="6"/>
        <v>0</v>
      </c>
      <c r="AG33" s="65">
        <f t="shared" si="6"/>
        <v>0</v>
      </c>
      <c r="AH33" s="65">
        <f t="shared" si="6"/>
        <v>-6</v>
      </c>
      <c r="AI33" s="65">
        <f t="shared" si="6"/>
        <v>0</v>
      </c>
      <c r="AJ33" s="65">
        <f t="shared" si="6"/>
        <v>0</v>
      </c>
      <c r="AK33" s="65">
        <f t="shared" si="6"/>
        <v>-3</v>
      </c>
      <c r="AL33" s="65">
        <f t="shared" si="6"/>
        <v>0</v>
      </c>
      <c r="AM33" s="65">
        <f t="shared" si="6"/>
        <v>0</v>
      </c>
      <c r="AN33" s="65">
        <f t="shared" si="6"/>
        <v>0</v>
      </c>
      <c r="AO33" s="65">
        <f t="shared" si="6"/>
        <v>0</v>
      </c>
      <c r="AP33" s="65">
        <f t="shared" si="6"/>
        <v>0</v>
      </c>
      <c r="AQ33" s="65">
        <f t="shared" si="6"/>
        <v>0</v>
      </c>
      <c r="AR33" s="65">
        <f t="shared" si="6"/>
        <v>0</v>
      </c>
      <c r="AS33" s="65">
        <f t="shared" si="6"/>
        <v>15</v>
      </c>
      <c r="AT33" s="65">
        <f t="shared" si="6"/>
        <v>0</v>
      </c>
      <c r="AU33" s="65">
        <f t="shared" si="6"/>
        <v>15</v>
      </c>
      <c r="AV33" s="65">
        <f t="shared" si="6"/>
        <v>-5</v>
      </c>
      <c r="AW33" s="65">
        <f t="shared" si="6"/>
        <v>0</v>
      </c>
      <c r="AX33" s="65">
        <f t="shared" si="6"/>
        <v>-14</v>
      </c>
      <c r="AY33" s="65">
        <f t="shared" si="6"/>
        <v>3</v>
      </c>
      <c r="AZ33" s="65">
        <f t="shared" si="6"/>
        <v>-6</v>
      </c>
      <c r="BA33" s="65">
        <f t="shared" si="6"/>
        <v>0</v>
      </c>
      <c r="BB33" s="65">
        <f t="shared" si="6"/>
        <v>0</v>
      </c>
      <c r="BC33" s="65">
        <f t="shared" si="6"/>
        <v>0</v>
      </c>
      <c r="BD33" s="65">
        <f t="shared" si="6"/>
        <v>0</v>
      </c>
    </row>
    <row r="34" spans="3:56" x14ac:dyDescent="0.25">
      <c r="C34" s="48"/>
      <c r="E34" s="45"/>
      <c r="F34" s="45"/>
      <c r="G34" s="45"/>
      <c r="H34" s="45"/>
      <c r="I34" s="45"/>
      <c r="J34" s="45"/>
      <c r="K34" s="45"/>
      <c r="L34" s="45"/>
      <c r="M34" s="45"/>
    </row>
    <row r="35" spans="3:56" x14ac:dyDescent="0.25">
      <c r="D35" s="46" t="s">
        <v>20</v>
      </c>
      <c r="E35" s="82">
        <f>E2</f>
        <v>44569</v>
      </c>
      <c r="F35" s="82">
        <f t="shared" ref="F35:BD35" si="7">F2</f>
        <v>44576</v>
      </c>
      <c r="G35" s="82">
        <f t="shared" si="7"/>
        <v>44583</v>
      </c>
      <c r="H35" s="82">
        <f t="shared" si="7"/>
        <v>44590</v>
      </c>
      <c r="I35" s="82">
        <f t="shared" si="7"/>
        <v>44597</v>
      </c>
      <c r="J35" s="82">
        <f t="shared" si="7"/>
        <v>44604</v>
      </c>
      <c r="K35" s="82">
        <f t="shared" si="7"/>
        <v>44611</v>
      </c>
      <c r="L35" s="82">
        <f t="shared" si="7"/>
        <v>44618</v>
      </c>
      <c r="M35" s="82">
        <f t="shared" si="7"/>
        <v>44625</v>
      </c>
      <c r="N35" s="82">
        <f t="shared" si="7"/>
        <v>44632</v>
      </c>
      <c r="O35" s="82">
        <f t="shared" si="7"/>
        <v>44639</v>
      </c>
      <c r="P35" s="82">
        <f t="shared" si="7"/>
        <v>44646</v>
      </c>
      <c r="Q35" s="82">
        <f t="shared" si="7"/>
        <v>44653</v>
      </c>
      <c r="R35" s="82">
        <f t="shared" si="7"/>
        <v>44660</v>
      </c>
      <c r="S35" s="82">
        <f t="shared" si="7"/>
        <v>44667</v>
      </c>
      <c r="T35" s="82">
        <f t="shared" si="7"/>
        <v>44674</v>
      </c>
      <c r="U35" s="82">
        <f t="shared" si="7"/>
        <v>44681</v>
      </c>
      <c r="V35" s="82">
        <f t="shared" si="7"/>
        <v>44688</v>
      </c>
      <c r="W35" s="82">
        <f t="shared" si="7"/>
        <v>44695</v>
      </c>
      <c r="X35" s="82">
        <f t="shared" si="7"/>
        <v>44702</v>
      </c>
      <c r="Y35" s="82">
        <f t="shared" si="7"/>
        <v>44709</v>
      </c>
      <c r="Z35" s="82">
        <f t="shared" si="7"/>
        <v>44716</v>
      </c>
      <c r="AA35" s="82">
        <f t="shared" si="7"/>
        <v>44723</v>
      </c>
      <c r="AB35" s="82">
        <f t="shared" si="7"/>
        <v>44730</v>
      </c>
      <c r="AC35" s="82">
        <f t="shared" si="7"/>
        <v>44737</v>
      </c>
      <c r="AD35" s="82">
        <f t="shared" si="7"/>
        <v>44744</v>
      </c>
      <c r="AE35" s="82">
        <f t="shared" si="7"/>
        <v>44751</v>
      </c>
      <c r="AF35" s="82">
        <f t="shared" si="7"/>
        <v>44758</v>
      </c>
      <c r="AG35" s="82">
        <f t="shared" si="7"/>
        <v>44765</v>
      </c>
      <c r="AH35" s="82">
        <f t="shared" si="7"/>
        <v>44772</v>
      </c>
      <c r="AI35" s="82">
        <f t="shared" si="7"/>
        <v>44779</v>
      </c>
      <c r="AJ35" s="82">
        <f t="shared" si="7"/>
        <v>44786</v>
      </c>
      <c r="AK35" s="82">
        <f t="shared" si="7"/>
        <v>44793</v>
      </c>
      <c r="AL35" s="82">
        <f t="shared" si="7"/>
        <v>44800</v>
      </c>
      <c r="AM35" s="82">
        <f t="shared" si="7"/>
        <v>44807</v>
      </c>
      <c r="AN35" s="82">
        <f t="shared" si="7"/>
        <v>44814</v>
      </c>
      <c r="AO35" s="82">
        <f t="shared" si="7"/>
        <v>44821</v>
      </c>
      <c r="AP35" s="82">
        <f t="shared" si="7"/>
        <v>44828</v>
      </c>
      <c r="AQ35" s="82">
        <f t="shared" si="7"/>
        <v>44835</v>
      </c>
      <c r="AR35" s="82">
        <f t="shared" si="7"/>
        <v>44842</v>
      </c>
      <c r="AS35" s="82">
        <f t="shared" si="7"/>
        <v>44849</v>
      </c>
      <c r="AT35" s="82">
        <f t="shared" si="7"/>
        <v>44856</v>
      </c>
      <c r="AU35" s="82">
        <f t="shared" si="7"/>
        <v>44863</v>
      </c>
      <c r="AV35" s="82">
        <f t="shared" si="7"/>
        <v>44870</v>
      </c>
      <c r="AW35" s="82">
        <f t="shared" si="7"/>
        <v>44877</v>
      </c>
      <c r="AX35" s="82">
        <f t="shared" si="7"/>
        <v>44884</v>
      </c>
      <c r="AY35" s="82">
        <f t="shared" si="7"/>
        <v>44891</v>
      </c>
      <c r="AZ35" s="82">
        <f t="shared" si="7"/>
        <v>44898</v>
      </c>
      <c r="BA35" s="82">
        <f t="shared" si="7"/>
        <v>44905</v>
      </c>
      <c r="BB35" s="82">
        <f t="shared" si="7"/>
        <v>44912</v>
      </c>
      <c r="BC35" s="82">
        <f t="shared" si="7"/>
        <v>44919</v>
      </c>
      <c r="BD35" s="82">
        <f t="shared" si="7"/>
        <v>44926</v>
      </c>
    </row>
    <row r="36" spans="3:56" x14ac:dyDescent="0.25">
      <c r="C36" s="107" t="s">
        <v>20</v>
      </c>
      <c r="D36" s="41" t="s">
        <v>21</v>
      </c>
      <c r="E36" s="70">
        <v>4417.7809964268517</v>
      </c>
      <c r="F36" s="70">
        <v>3374.3614328070748</v>
      </c>
      <c r="G36" s="70">
        <v>2779.7</v>
      </c>
      <c r="H36" s="70">
        <v>2635.2999999999997</v>
      </c>
      <c r="I36" s="70">
        <v>2556.4499999999998</v>
      </c>
      <c r="J36" s="70">
        <v>2196.6280000000002</v>
      </c>
      <c r="K36" s="70">
        <v>1892.8560000000002</v>
      </c>
      <c r="L36" s="70">
        <v>1852.424</v>
      </c>
      <c r="M36" s="70">
        <v>1903.4960000000001</v>
      </c>
      <c r="N36" s="70">
        <v>2057.2439999999997</v>
      </c>
      <c r="O36" s="70">
        <v>2367.4000000000005</v>
      </c>
      <c r="P36" s="70">
        <v>2368.9960000000001</v>
      </c>
      <c r="Q36" s="70">
        <v>1901.3680000000002</v>
      </c>
      <c r="R36" s="70">
        <v>1800.82</v>
      </c>
      <c r="S36" s="70">
        <v>1803.48</v>
      </c>
      <c r="T36" s="70">
        <v>2293.6381999999999</v>
      </c>
      <c r="U36" s="70">
        <v>2016.0000000000002</v>
      </c>
      <c r="V36" s="70">
        <v>2196.3856008499997</v>
      </c>
      <c r="W36" s="70">
        <v>1895.5160000000001</v>
      </c>
      <c r="X36" s="70">
        <v>1860.9359999999999</v>
      </c>
      <c r="Y36" s="70">
        <v>1845.1356000000001</v>
      </c>
      <c r="Z36" s="70">
        <v>1562.4840000000002</v>
      </c>
      <c r="AA36" s="70">
        <v>1935.9480000000001</v>
      </c>
      <c r="AB36" s="70">
        <v>1826.8880000000001</v>
      </c>
      <c r="AC36" s="70">
        <v>1726.8720000000001</v>
      </c>
      <c r="AD36" s="70">
        <v>1488.5360000000001</v>
      </c>
      <c r="AE36" s="70">
        <v>1298.08</v>
      </c>
      <c r="AF36" s="70">
        <v>1452.8920000000001</v>
      </c>
      <c r="AG36" s="70">
        <v>1304.9960000000001</v>
      </c>
      <c r="AH36" s="70">
        <v>1553.44</v>
      </c>
      <c r="AI36" s="70">
        <v>1603.98</v>
      </c>
      <c r="AJ36" s="70">
        <v>1804.0120000000002</v>
      </c>
      <c r="AK36" s="70">
        <v>1884.3440000000001</v>
      </c>
      <c r="AL36" s="70">
        <v>1863.5960000000002</v>
      </c>
      <c r="AM36" s="70">
        <v>1697.2971146828329</v>
      </c>
      <c r="AN36" s="70">
        <v>1501.5045050008723</v>
      </c>
      <c r="AO36" s="70">
        <v>1528.6630656261959</v>
      </c>
      <c r="AP36" s="70">
        <v>1602.0579956904617</v>
      </c>
      <c r="AQ36" s="70">
        <v>1743.0240508761235</v>
      </c>
      <c r="AR36" s="70">
        <v>1622.9386653557413</v>
      </c>
      <c r="AS36" s="70">
        <v>1713.6241169369378</v>
      </c>
      <c r="AT36" s="70">
        <v>1766.5385393918596</v>
      </c>
      <c r="AU36" s="70">
        <v>1872.6026289055658</v>
      </c>
      <c r="AV36" s="70">
        <v>2166.3447237767487</v>
      </c>
      <c r="AW36" s="70">
        <v>2316.1733671460465</v>
      </c>
      <c r="AX36" s="70">
        <v>2271.358720640405</v>
      </c>
      <c r="AY36" s="70">
        <v>5408.6408868478393</v>
      </c>
      <c r="AZ36" s="70">
        <v>7550.1893477880913</v>
      </c>
      <c r="BA36" s="70">
        <v>6555.0089872688932</v>
      </c>
      <c r="BB36" s="70">
        <v>5449.4886035983209</v>
      </c>
      <c r="BC36" s="70">
        <v>3071.0497734171299</v>
      </c>
      <c r="BD36" s="70">
        <v>2763.1900672575339</v>
      </c>
    </row>
    <row r="37" spans="3:56" x14ac:dyDescent="0.25">
      <c r="C37" s="108"/>
      <c r="D37" s="41" t="s">
        <v>22</v>
      </c>
      <c r="E37" s="70">
        <v>485</v>
      </c>
      <c r="F37" s="70">
        <v>485</v>
      </c>
      <c r="G37" s="70">
        <v>485</v>
      </c>
      <c r="H37" s="70">
        <v>470</v>
      </c>
      <c r="I37" s="70">
        <v>470</v>
      </c>
      <c r="J37" s="70">
        <v>470</v>
      </c>
      <c r="K37" s="70">
        <v>450</v>
      </c>
      <c r="L37" s="70">
        <v>450</v>
      </c>
      <c r="M37" s="70">
        <v>450</v>
      </c>
      <c r="N37" s="70">
        <v>425</v>
      </c>
      <c r="O37" s="70">
        <v>425</v>
      </c>
      <c r="P37" s="70">
        <v>425</v>
      </c>
      <c r="Q37" s="70">
        <v>425</v>
      </c>
      <c r="R37" s="70">
        <v>425</v>
      </c>
      <c r="S37" s="70">
        <v>425</v>
      </c>
      <c r="T37" s="70">
        <v>425</v>
      </c>
      <c r="U37" s="70">
        <v>425</v>
      </c>
      <c r="V37" s="70">
        <v>425</v>
      </c>
      <c r="W37" s="70">
        <v>425</v>
      </c>
      <c r="X37" s="70">
        <v>425</v>
      </c>
      <c r="Y37" s="70">
        <v>425</v>
      </c>
      <c r="Z37" s="70">
        <v>425</v>
      </c>
      <c r="AA37" s="70">
        <v>425</v>
      </c>
      <c r="AB37" s="70">
        <v>425</v>
      </c>
      <c r="AC37" s="70">
        <v>425</v>
      </c>
      <c r="AD37" s="70">
        <v>425</v>
      </c>
      <c r="AE37" s="70">
        <v>425</v>
      </c>
      <c r="AF37" s="70">
        <v>425</v>
      </c>
      <c r="AG37" s="70">
        <v>425</v>
      </c>
      <c r="AH37" s="70">
        <v>425</v>
      </c>
      <c r="AI37" s="70">
        <v>425</v>
      </c>
      <c r="AJ37" s="70">
        <v>425</v>
      </c>
      <c r="AK37" s="70">
        <v>425</v>
      </c>
      <c r="AL37" s="70">
        <v>425</v>
      </c>
      <c r="AM37" s="70">
        <v>425</v>
      </c>
      <c r="AN37" s="70">
        <v>425</v>
      </c>
      <c r="AO37" s="70">
        <v>425</v>
      </c>
      <c r="AP37" s="70">
        <v>425</v>
      </c>
      <c r="AQ37" s="70">
        <v>425</v>
      </c>
      <c r="AR37" s="70">
        <v>425</v>
      </c>
      <c r="AS37" s="70">
        <v>425</v>
      </c>
      <c r="AT37" s="70">
        <v>425</v>
      </c>
      <c r="AU37" s="70">
        <v>425</v>
      </c>
      <c r="AV37" s="70">
        <v>475</v>
      </c>
      <c r="AW37" s="70">
        <v>475</v>
      </c>
      <c r="AX37" s="70">
        <v>475</v>
      </c>
      <c r="AY37" s="70">
        <v>475</v>
      </c>
      <c r="AZ37" s="70">
        <v>475</v>
      </c>
      <c r="BA37" s="70">
        <v>475</v>
      </c>
      <c r="BB37" s="70">
        <v>475</v>
      </c>
      <c r="BC37" s="70">
        <v>475</v>
      </c>
      <c r="BD37" s="70">
        <v>475</v>
      </c>
    </row>
    <row r="38" spans="3:56" x14ac:dyDescent="0.25">
      <c r="C38" s="108"/>
      <c r="D38" s="41" t="s">
        <v>30</v>
      </c>
      <c r="E38" s="68">
        <v>0.95</v>
      </c>
      <c r="F38" s="68">
        <v>0.95</v>
      </c>
      <c r="G38" s="68">
        <v>0.95</v>
      </c>
      <c r="H38" s="68">
        <v>0.95</v>
      </c>
      <c r="I38" s="68">
        <v>0.95</v>
      </c>
      <c r="J38" s="68">
        <v>0.95</v>
      </c>
      <c r="K38" s="68">
        <v>0.95</v>
      </c>
      <c r="L38" s="68">
        <v>0.95</v>
      </c>
      <c r="M38" s="68">
        <v>0.95</v>
      </c>
      <c r="N38" s="68">
        <v>0.95</v>
      </c>
      <c r="O38" s="68">
        <v>0.95</v>
      </c>
      <c r="P38" s="68">
        <v>0.95</v>
      </c>
      <c r="Q38" s="68">
        <v>0.95</v>
      </c>
      <c r="R38" s="68">
        <v>0.95</v>
      </c>
      <c r="S38" s="68">
        <v>0.95</v>
      </c>
      <c r="T38" s="68">
        <v>0.95</v>
      </c>
      <c r="U38" s="68">
        <v>0.95</v>
      </c>
      <c r="V38" s="68">
        <v>0.95</v>
      </c>
      <c r="W38" s="68">
        <v>0.95</v>
      </c>
      <c r="X38" s="68">
        <v>0.95</v>
      </c>
      <c r="Y38" s="68">
        <v>0.95</v>
      </c>
      <c r="Z38" s="68">
        <v>0.95</v>
      </c>
      <c r="AA38" s="68">
        <v>0.95</v>
      </c>
      <c r="AB38" s="68">
        <v>0.95</v>
      </c>
      <c r="AC38" s="68">
        <v>0.95</v>
      </c>
      <c r="AD38" s="68">
        <v>0.95</v>
      </c>
      <c r="AE38" s="68">
        <v>0.95</v>
      </c>
      <c r="AF38" s="68">
        <v>0.95</v>
      </c>
      <c r="AG38" s="68">
        <v>0.95</v>
      </c>
      <c r="AH38" s="68">
        <v>0.95</v>
      </c>
      <c r="AI38" s="68">
        <v>0.95</v>
      </c>
      <c r="AJ38" s="68">
        <v>0.95</v>
      </c>
      <c r="AK38" s="68">
        <v>0.95</v>
      </c>
      <c r="AL38" s="68">
        <v>0.95</v>
      </c>
      <c r="AM38" s="68">
        <v>0.95</v>
      </c>
      <c r="AN38" s="68">
        <v>0.95</v>
      </c>
      <c r="AO38" s="68">
        <v>0.95</v>
      </c>
      <c r="AP38" s="68">
        <v>0.95</v>
      </c>
      <c r="AQ38" s="68">
        <v>0.95</v>
      </c>
      <c r="AR38" s="68">
        <v>0.95</v>
      </c>
      <c r="AS38" s="68">
        <v>0.95</v>
      </c>
      <c r="AT38" s="68">
        <v>0.95</v>
      </c>
      <c r="AU38" s="68">
        <v>0.95</v>
      </c>
      <c r="AV38" s="68">
        <v>0.95</v>
      </c>
      <c r="AW38" s="68">
        <v>0.95</v>
      </c>
      <c r="AX38" s="68">
        <v>0.95</v>
      </c>
      <c r="AY38" s="68">
        <v>0.95</v>
      </c>
      <c r="AZ38" s="68">
        <v>0.95</v>
      </c>
      <c r="BA38" s="68">
        <v>0.95</v>
      </c>
      <c r="BB38" s="68">
        <v>0.95</v>
      </c>
      <c r="BC38" s="68">
        <v>0.95</v>
      </c>
      <c r="BD38" s="68">
        <v>0.95</v>
      </c>
    </row>
    <row r="39" spans="3:56" x14ac:dyDescent="0.25">
      <c r="C39" s="108"/>
      <c r="D39" s="41" t="s">
        <v>31</v>
      </c>
      <c r="E39" s="94">
        <v>0.22</v>
      </c>
      <c r="F39" s="94">
        <v>0.22</v>
      </c>
      <c r="G39" s="94">
        <v>0.22</v>
      </c>
      <c r="H39" s="94">
        <v>0.22</v>
      </c>
      <c r="I39" s="94">
        <v>0.22</v>
      </c>
      <c r="J39" s="94">
        <v>0.22</v>
      </c>
      <c r="K39" s="94">
        <v>0.22</v>
      </c>
      <c r="L39" s="94">
        <v>0.22</v>
      </c>
      <c r="M39" s="94">
        <v>0.22</v>
      </c>
      <c r="N39" s="94">
        <v>0.22</v>
      </c>
      <c r="O39" s="94">
        <v>0.22</v>
      </c>
      <c r="P39" s="94">
        <v>0.22</v>
      </c>
      <c r="Q39" s="94">
        <v>0.23249999999999998</v>
      </c>
      <c r="R39" s="94">
        <v>0.21</v>
      </c>
      <c r="S39" s="94">
        <v>0.21</v>
      </c>
      <c r="T39" s="94">
        <v>0.21</v>
      </c>
      <c r="U39" s="94">
        <v>0.21</v>
      </c>
      <c r="V39" s="94">
        <v>0.21</v>
      </c>
      <c r="W39" s="94">
        <v>0.21</v>
      </c>
      <c r="X39" s="94">
        <v>0.23</v>
      </c>
      <c r="Y39" s="94">
        <v>0.23</v>
      </c>
      <c r="Z39" s="94">
        <v>0.23</v>
      </c>
      <c r="AA39" s="94">
        <v>0.23</v>
      </c>
      <c r="AB39" s="94">
        <v>0.23</v>
      </c>
      <c r="AC39" s="94">
        <v>0.23</v>
      </c>
      <c r="AD39" s="94">
        <v>0.21</v>
      </c>
      <c r="AE39" s="94">
        <v>0.19</v>
      </c>
      <c r="AF39" s="94">
        <v>0.19</v>
      </c>
      <c r="AG39" s="94">
        <v>0.19</v>
      </c>
      <c r="AH39" s="94">
        <v>0.19</v>
      </c>
      <c r="AI39" s="94">
        <v>0.19</v>
      </c>
      <c r="AJ39" s="94">
        <v>0.19</v>
      </c>
      <c r="AK39" s="94">
        <v>0.19</v>
      </c>
      <c r="AL39" s="94">
        <v>0.19</v>
      </c>
      <c r="AM39" s="94">
        <v>0.19</v>
      </c>
      <c r="AN39" s="94">
        <v>0.19</v>
      </c>
      <c r="AO39" s="94">
        <v>0.19</v>
      </c>
      <c r="AP39" s="94">
        <v>0.19</v>
      </c>
      <c r="AQ39" s="94">
        <v>0.19</v>
      </c>
      <c r="AR39" s="94">
        <v>0.21</v>
      </c>
      <c r="AS39" s="94">
        <v>0.21</v>
      </c>
      <c r="AT39" s="94">
        <v>0.21</v>
      </c>
      <c r="AU39" s="94">
        <v>0.21</v>
      </c>
      <c r="AV39" s="94">
        <v>0.21</v>
      </c>
      <c r="AW39" s="94">
        <v>0.21</v>
      </c>
      <c r="AX39" s="94">
        <v>0.21</v>
      </c>
      <c r="AY39" s="94">
        <v>0.21</v>
      </c>
      <c r="AZ39" s="94">
        <v>0.21</v>
      </c>
      <c r="BA39" s="94">
        <v>0.21</v>
      </c>
      <c r="BB39" s="94">
        <v>0.21</v>
      </c>
      <c r="BC39" s="94">
        <v>0.21</v>
      </c>
      <c r="BD39" s="94">
        <v>0.21</v>
      </c>
    </row>
    <row r="40" spans="3:56" x14ac:dyDescent="0.25">
      <c r="C40" s="108"/>
      <c r="D40" s="41" t="s">
        <v>33</v>
      </c>
      <c r="E40" s="83">
        <f>(E36*E37)/3600/40/E38/(1-E39)</f>
        <v>20.080069943648063</v>
      </c>
      <c r="F40" s="83">
        <f t="shared" ref="F40:BD40" si="8">(F36*F37)/3600/40/F38/(1-F39)</f>
        <v>15.337431538756103</v>
      </c>
      <c r="G40" s="83">
        <f t="shared" si="8"/>
        <v>12.634526353276351</v>
      </c>
      <c r="H40" s="83">
        <f t="shared" si="8"/>
        <v>11.607727920227918</v>
      </c>
      <c r="I40" s="83">
        <f t="shared" si="8"/>
        <v>11.260416666666666</v>
      </c>
      <c r="J40" s="83">
        <f t="shared" si="8"/>
        <v>9.6755056980056988</v>
      </c>
      <c r="K40" s="83">
        <f t="shared" si="8"/>
        <v>7.9826923076923082</v>
      </c>
      <c r="L40" s="83">
        <f t="shared" si="8"/>
        <v>7.8121794871794892</v>
      </c>
      <c r="M40" s="83">
        <f t="shared" si="8"/>
        <v>8.0275641025641029</v>
      </c>
      <c r="N40" s="84">
        <f t="shared" si="8"/>
        <v>8.1939636752136735</v>
      </c>
      <c r="O40" s="83">
        <f t="shared" si="8"/>
        <v>9.4293091168091188</v>
      </c>
      <c r="P40" s="83">
        <f t="shared" si="8"/>
        <v>9.4356659544159545</v>
      </c>
      <c r="Q40" s="83">
        <f t="shared" si="8"/>
        <v>7.696453130655085</v>
      </c>
      <c r="R40" s="83">
        <f t="shared" si="8"/>
        <v>7.0818389592123774</v>
      </c>
      <c r="S40" s="83">
        <f t="shared" si="8"/>
        <v>7.0922995780590723</v>
      </c>
      <c r="T40" s="83">
        <f t="shared" si="8"/>
        <v>9.019877812939523</v>
      </c>
      <c r="U40" s="83">
        <f t="shared" si="8"/>
        <v>7.9280479680213203</v>
      </c>
      <c r="V40" s="83">
        <f t="shared" si="8"/>
        <v>8.6374257935566092</v>
      </c>
      <c r="W40" s="83">
        <f t="shared" si="8"/>
        <v>7.4542369901547127</v>
      </c>
      <c r="X40" s="83">
        <f t="shared" si="8"/>
        <v>7.5083333333333337</v>
      </c>
      <c r="Y40" s="83">
        <f t="shared" si="8"/>
        <v>7.444583333333334</v>
      </c>
      <c r="Z40" s="83">
        <f t="shared" si="8"/>
        <v>6.3041666666666671</v>
      </c>
      <c r="AA40" s="83">
        <f t="shared" si="8"/>
        <v>7.8109848484848499</v>
      </c>
      <c r="AB40" s="83">
        <f t="shared" si="8"/>
        <v>7.3709595959595955</v>
      </c>
      <c r="AC40" s="83">
        <f t="shared" si="8"/>
        <v>6.967424242424241</v>
      </c>
      <c r="AD40" s="83">
        <f t="shared" si="8"/>
        <v>5.8537623066104079</v>
      </c>
      <c r="AE40" s="83">
        <f t="shared" si="8"/>
        <v>4.9787379972565162</v>
      </c>
      <c r="AF40" s="83">
        <f t="shared" si="8"/>
        <v>5.5725137174211241</v>
      </c>
      <c r="AG40" s="83">
        <f t="shared" si="8"/>
        <v>5.0052640603566534</v>
      </c>
      <c r="AH40" s="83">
        <f t="shared" si="8"/>
        <v>5.9581618655692727</v>
      </c>
      <c r="AI40" s="83">
        <f t="shared" si="8"/>
        <v>6.1520061728395063</v>
      </c>
      <c r="AJ40" s="83">
        <f t="shared" si="8"/>
        <v>6.9192215363511664</v>
      </c>
      <c r="AK40" s="83">
        <f t="shared" si="8"/>
        <v>7.2273319615912213</v>
      </c>
      <c r="AL40" s="83">
        <f t="shared" si="8"/>
        <v>7.1477537722908098</v>
      </c>
      <c r="AM40" s="83">
        <f t="shared" si="8"/>
        <v>6.5099205268591067</v>
      </c>
      <c r="AN40" s="83">
        <f t="shared" si="8"/>
        <v>5.7589651886630095</v>
      </c>
      <c r="AO40" s="83">
        <f t="shared" si="8"/>
        <v>5.8631308469707353</v>
      </c>
      <c r="AP40" s="83">
        <f t="shared" si="8"/>
        <v>6.1446343961487102</v>
      </c>
      <c r="AQ40" s="83">
        <f t="shared" si="8"/>
        <v>6.685304505291608</v>
      </c>
      <c r="AR40" s="83">
        <f t="shared" si="8"/>
        <v>6.3823093194924683</v>
      </c>
      <c r="AS40" s="83">
        <f t="shared" si="8"/>
        <v>6.7389356142034806</v>
      </c>
      <c r="AT40" s="83">
        <f t="shared" si="8"/>
        <v>6.9470249393139802</v>
      </c>
      <c r="AU40" s="83">
        <f t="shared" si="8"/>
        <v>7.3641287038720993</v>
      </c>
      <c r="AV40" s="83">
        <f t="shared" si="8"/>
        <v>9.521557330242393</v>
      </c>
      <c r="AW40" s="83">
        <f t="shared" si="8"/>
        <v>10.18008688091617</v>
      </c>
      <c r="AX40" s="83">
        <f t="shared" si="8"/>
        <v>9.9831167398048741</v>
      </c>
      <c r="AY40" s="83">
        <f t="shared" si="8"/>
        <v>23.772155796623764</v>
      </c>
      <c r="AZ40" s="83">
        <f t="shared" si="8"/>
        <v>33.184728146044705</v>
      </c>
      <c r="BA40" s="83">
        <f t="shared" si="8"/>
        <v>28.810693509444846</v>
      </c>
      <c r="BB40" s="83">
        <f t="shared" si="8"/>
        <v>23.951690416659286</v>
      </c>
      <c r="BC40" s="83">
        <f t="shared" si="8"/>
        <v>13.497933251657567</v>
      </c>
      <c r="BD40" s="83">
        <f t="shared" si="8"/>
        <v>12.144822728804211</v>
      </c>
    </row>
    <row r="41" spans="3:56" x14ac:dyDescent="0.25">
      <c r="C41" s="108"/>
      <c r="E41" s="45"/>
      <c r="F41" s="45"/>
      <c r="G41" s="45"/>
      <c r="H41" s="45"/>
      <c r="I41" s="45"/>
      <c r="J41" s="45"/>
      <c r="K41" s="45"/>
      <c r="L41" s="45"/>
      <c r="M41" s="45"/>
    </row>
    <row r="42" spans="3:56" x14ac:dyDescent="0.25">
      <c r="C42" s="108"/>
      <c r="D42" s="59" t="s">
        <v>34</v>
      </c>
      <c r="E42" s="65">
        <v>0</v>
      </c>
      <c r="F42" s="65">
        <v>0</v>
      </c>
      <c r="G42" s="65">
        <v>0</v>
      </c>
      <c r="H42" s="65">
        <v>0</v>
      </c>
      <c r="I42" s="65">
        <v>0</v>
      </c>
      <c r="J42" s="65">
        <v>0</v>
      </c>
      <c r="K42" s="65">
        <v>0</v>
      </c>
      <c r="L42" s="65">
        <v>0</v>
      </c>
      <c r="M42" s="65">
        <v>0</v>
      </c>
      <c r="N42" s="65">
        <v>0</v>
      </c>
      <c r="O42" s="65">
        <v>0</v>
      </c>
      <c r="P42" s="65">
        <v>0</v>
      </c>
      <c r="Q42" s="65">
        <v>0</v>
      </c>
      <c r="R42" s="65">
        <v>0</v>
      </c>
      <c r="S42" s="65">
        <v>0</v>
      </c>
      <c r="T42" s="65">
        <v>0</v>
      </c>
      <c r="U42" s="65">
        <v>0</v>
      </c>
      <c r="V42" s="65">
        <v>0</v>
      </c>
      <c r="W42" s="65">
        <v>0</v>
      </c>
      <c r="X42" s="65">
        <v>0</v>
      </c>
      <c r="Y42" s="65">
        <v>0</v>
      </c>
      <c r="Z42" s="65">
        <v>0</v>
      </c>
      <c r="AA42" s="65">
        <v>0</v>
      </c>
      <c r="AB42" s="65">
        <v>0</v>
      </c>
      <c r="AC42" s="65">
        <v>0</v>
      </c>
      <c r="AD42" s="65">
        <v>0</v>
      </c>
      <c r="AE42" s="65">
        <v>0</v>
      </c>
      <c r="AF42" s="65">
        <v>0</v>
      </c>
      <c r="AG42" s="65">
        <v>0</v>
      </c>
      <c r="AH42" s="65">
        <v>0</v>
      </c>
      <c r="AI42" s="65">
        <v>0</v>
      </c>
      <c r="AJ42" s="65">
        <v>0</v>
      </c>
      <c r="AK42" s="65">
        <v>0</v>
      </c>
      <c r="AL42" s="65">
        <v>0</v>
      </c>
      <c r="AM42" s="65">
        <v>0</v>
      </c>
      <c r="AN42" s="65">
        <v>0</v>
      </c>
      <c r="AO42" s="65">
        <v>0</v>
      </c>
      <c r="AP42" s="65">
        <v>0</v>
      </c>
      <c r="AQ42" s="65">
        <v>0</v>
      </c>
      <c r="AR42" s="65">
        <v>0</v>
      </c>
      <c r="AS42" s="65">
        <v>0</v>
      </c>
      <c r="AT42" s="65">
        <v>0</v>
      </c>
      <c r="AU42" s="65">
        <v>0</v>
      </c>
      <c r="AV42" s="65">
        <v>0</v>
      </c>
      <c r="AW42" s="65">
        <v>0</v>
      </c>
      <c r="AX42" s="65">
        <v>0</v>
      </c>
      <c r="AY42" s="65">
        <v>0</v>
      </c>
      <c r="AZ42" s="65">
        <v>0</v>
      </c>
      <c r="BA42" s="65">
        <v>0</v>
      </c>
      <c r="BB42" s="65">
        <v>0</v>
      </c>
      <c r="BC42" s="65">
        <v>0</v>
      </c>
      <c r="BD42" s="65">
        <v>0</v>
      </c>
    </row>
    <row r="43" spans="3:56" x14ac:dyDescent="0.25">
      <c r="C43" s="108"/>
      <c r="D43" s="59" t="s">
        <v>35</v>
      </c>
      <c r="E43" s="65">
        <v>0</v>
      </c>
      <c r="F43" s="65">
        <v>0</v>
      </c>
      <c r="G43" s="65">
        <v>0</v>
      </c>
      <c r="H43" s="65">
        <v>0</v>
      </c>
      <c r="I43" s="65">
        <v>0</v>
      </c>
      <c r="J43" s="65">
        <v>0</v>
      </c>
      <c r="K43" s="65">
        <v>0</v>
      </c>
      <c r="L43" s="65">
        <v>0</v>
      </c>
      <c r="M43" s="65">
        <v>0</v>
      </c>
      <c r="N43" s="65">
        <v>0</v>
      </c>
      <c r="O43" s="65">
        <v>0</v>
      </c>
      <c r="P43" s="65">
        <v>0</v>
      </c>
      <c r="Q43" s="65">
        <v>0</v>
      </c>
      <c r="R43" s="65">
        <v>0</v>
      </c>
      <c r="S43" s="65">
        <v>0</v>
      </c>
      <c r="T43" s="65">
        <v>0</v>
      </c>
      <c r="U43" s="65">
        <v>0</v>
      </c>
      <c r="V43" s="65">
        <v>0</v>
      </c>
      <c r="W43" s="65">
        <v>0</v>
      </c>
      <c r="X43" s="65">
        <v>0</v>
      </c>
      <c r="Y43" s="65">
        <v>0</v>
      </c>
      <c r="Z43" s="65">
        <v>0</v>
      </c>
      <c r="AA43" s="65">
        <v>0</v>
      </c>
      <c r="AB43" s="65">
        <v>0</v>
      </c>
      <c r="AC43" s="65">
        <v>0</v>
      </c>
      <c r="AD43" s="65">
        <v>0</v>
      </c>
      <c r="AE43" s="65">
        <v>0</v>
      </c>
      <c r="AF43" s="65">
        <v>0</v>
      </c>
      <c r="AG43" s="65">
        <v>0</v>
      </c>
      <c r="AH43" s="65">
        <v>0</v>
      </c>
      <c r="AI43" s="65">
        <v>0</v>
      </c>
      <c r="AJ43" s="65">
        <v>0</v>
      </c>
      <c r="AK43" s="65">
        <v>0</v>
      </c>
      <c r="AL43" s="65">
        <v>0</v>
      </c>
      <c r="AM43" s="65">
        <v>0</v>
      </c>
      <c r="AN43" s="65">
        <v>0</v>
      </c>
      <c r="AO43" s="65">
        <v>0</v>
      </c>
      <c r="AP43" s="65">
        <v>0</v>
      </c>
      <c r="AQ43" s="65">
        <v>0</v>
      </c>
      <c r="AR43" s="65">
        <v>0</v>
      </c>
      <c r="AS43" s="65">
        <v>0</v>
      </c>
      <c r="AT43" s="65">
        <v>0</v>
      </c>
      <c r="AU43" s="65">
        <v>0</v>
      </c>
      <c r="AV43" s="65">
        <v>0</v>
      </c>
      <c r="AW43" s="65">
        <v>0</v>
      </c>
      <c r="AX43" s="65">
        <v>0</v>
      </c>
      <c r="AY43" s="65">
        <v>0</v>
      </c>
      <c r="AZ43" s="65">
        <v>0</v>
      </c>
      <c r="BA43" s="65">
        <v>0</v>
      </c>
      <c r="BB43" s="65">
        <v>0</v>
      </c>
      <c r="BC43" s="65">
        <v>0</v>
      </c>
      <c r="BD43" s="65">
        <v>0</v>
      </c>
    </row>
    <row r="44" spans="3:56" x14ac:dyDescent="0.25">
      <c r="C44" s="108"/>
      <c r="D44" s="59" t="s">
        <v>36</v>
      </c>
      <c r="E44" s="65">
        <v>0</v>
      </c>
      <c r="F44" s="65">
        <v>0</v>
      </c>
      <c r="G44" s="65">
        <v>0</v>
      </c>
      <c r="H44" s="65">
        <v>0</v>
      </c>
      <c r="I44" s="65">
        <v>0</v>
      </c>
      <c r="J44" s="65">
        <v>0</v>
      </c>
      <c r="K44" s="65">
        <v>0</v>
      </c>
      <c r="L44" s="65">
        <v>0</v>
      </c>
      <c r="M44" s="65">
        <v>0</v>
      </c>
      <c r="N44" s="65">
        <v>0</v>
      </c>
      <c r="O44" s="65">
        <v>0</v>
      </c>
      <c r="P44" s="65">
        <v>0</v>
      </c>
      <c r="Q44" s="65">
        <v>0</v>
      </c>
      <c r="R44" s="65">
        <v>0</v>
      </c>
      <c r="S44" s="65">
        <v>0</v>
      </c>
      <c r="T44" s="65">
        <v>0</v>
      </c>
      <c r="U44" s="65">
        <v>0</v>
      </c>
      <c r="V44" s="65">
        <v>0</v>
      </c>
      <c r="W44" s="65">
        <v>0</v>
      </c>
      <c r="X44" s="65">
        <v>0</v>
      </c>
      <c r="Y44" s="65">
        <v>0</v>
      </c>
      <c r="Z44" s="65">
        <v>0</v>
      </c>
      <c r="AA44" s="65">
        <v>0</v>
      </c>
      <c r="AB44" s="65">
        <v>0</v>
      </c>
      <c r="AC44" s="65">
        <v>0</v>
      </c>
      <c r="AD44" s="65">
        <v>0</v>
      </c>
      <c r="AE44" s="65">
        <v>0</v>
      </c>
      <c r="AF44" s="65">
        <v>0</v>
      </c>
      <c r="AG44" s="65">
        <v>0</v>
      </c>
      <c r="AH44" s="65">
        <v>0</v>
      </c>
      <c r="AI44" s="65">
        <v>0</v>
      </c>
      <c r="AJ44" s="65">
        <v>0</v>
      </c>
      <c r="AK44" s="65">
        <v>0</v>
      </c>
      <c r="AL44" s="65">
        <v>0</v>
      </c>
      <c r="AM44" s="65">
        <v>0</v>
      </c>
      <c r="AN44" s="65">
        <v>0</v>
      </c>
      <c r="AO44" s="65">
        <v>0</v>
      </c>
      <c r="AP44" s="65">
        <v>0</v>
      </c>
      <c r="AQ44" s="65">
        <v>0</v>
      </c>
      <c r="AR44" s="65">
        <v>0</v>
      </c>
      <c r="AS44" s="65">
        <v>0</v>
      </c>
      <c r="AT44" s="65">
        <v>0</v>
      </c>
      <c r="AU44" s="65">
        <v>0</v>
      </c>
      <c r="AV44" s="65">
        <v>0</v>
      </c>
      <c r="AW44" s="65">
        <v>0</v>
      </c>
      <c r="AX44" s="65">
        <v>0</v>
      </c>
      <c r="AY44" s="65">
        <v>0</v>
      </c>
      <c r="AZ44" s="65">
        <v>0</v>
      </c>
      <c r="BA44" s="65">
        <v>0</v>
      </c>
      <c r="BB44" s="65">
        <v>0</v>
      </c>
      <c r="BC44" s="65">
        <v>0</v>
      </c>
      <c r="BD44" s="65">
        <v>0</v>
      </c>
    </row>
    <row r="45" spans="3:56" x14ac:dyDescent="0.25">
      <c r="C45" s="108"/>
      <c r="D45" s="59" t="s">
        <v>37</v>
      </c>
      <c r="E45" s="65">
        <v>0</v>
      </c>
      <c r="F45" s="65">
        <v>0</v>
      </c>
      <c r="G45" s="65">
        <v>0</v>
      </c>
      <c r="H45" s="65">
        <v>0</v>
      </c>
      <c r="I45" s="65">
        <v>0</v>
      </c>
      <c r="J45" s="65">
        <v>0</v>
      </c>
      <c r="K45" s="65">
        <v>0</v>
      </c>
      <c r="L45" s="65">
        <v>0</v>
      </c>
      <c r="M45" s="65">
        <v>0</v>
      </c>
      <c r="N45" s="65">
        <v>0</v>
      </c>
      <c r="O45" s="65">
        <v>0</v>
      </c>
      <c r="P45" s="65">
        <v>0</v>
      </c>
      <c r="Q45" s="65">
        <v>0</v>
      </c>
      <c r="R45" s="65">
        <v>0</v>
      </c>
      <c r="S45" s="65">
        <v>0</v>
      </c>
      <c r="T45" s="65">
        <v>0</v>
      </c>
      <c r="U45" s="65">
        <v>0</v>
      </c>
      <c r="V45" s="65">
        <v>0</v>
      </c>
      <c r="W45" s="65">
        <v>0</v>
      </c>
      <c r="X45" s="65">
        <v>0</v>
      </c>
      <c r="Y45" s="65">
        <v>0</v>
      </c>
      <c r="Z45" s="65">
        <v>0</v>
      </c>
      <c r="AA45" s="65">
        <v>0</v>
      </c>
      <c r="AB45" s="65">
        <v>0</v>
      </c>
      <c r="AC45" s="65">
        <v>0</v>
      </c>
      <c r="AD45" s="65">
        <v>0</v>
      </c>
      <c r="AE45" s="65">
        <v>0</v>
      </c>
      <c r="AF45" s="65">
        <v>0</v>
      </c>
      <c r="AG45" s="65">
        <v>0</v>
      </c>
      <c r="AH45" s="65">
        <v>0</v>
      </c>
      <c r="AI45" s="65">
        <v>0</v>
      </c>
      <c r="AJ45" s="65">
        <v>0</v>
      </c>
      <c r="AK45" s="65">
        <v>0</v>
      </c>
      <c r="AL45" s="65">
        <v>0</v>
      </c>
      <c r="AM45" s="65">
        <v>0</v>
      </c>
      <c r="AN45" s="65">
        <v>0</v>
      </c>
      <c r="AO45" s="65">
        <v>0</v>
      </c>
      <c r="AP45" s="65">
        <v>0</v>
      </c>
      <c r="AQ45" s="65">
        <v>0</v>
      </c>
      <c r="AR45" s="65">
        <v>0</v>
      </c>
      <c r="AS45" s="65">
        <v>0</v>
      </c>
      <c r="AT45" s="65">
        <v>0</v>
      </c>
      <c r="AU45" s="65">
        <v>0</v>
      </c>
      <c r="AV45" s="65">
        <v>0</v>
      </c>
      <c r="AW45" s="65">
        <v>0</v>
      </c>
      <c r="AX45" s="65">
        <v>0</v>
      </c>
      <c r="AY45" s="65">
        <v>0</v>
      </c>
      <c r="AZ45" s="65">
        <v>0</v>
      </c>
      <c r="BA45" s="65">
        <v>0</v>
      </c>
      <c r="BB45" s="65">
        <v>0</v>
      </c>
      <c r="BC45" s="65">
        <v>0</v>
      </c>
      <c r="BD45" s="65">
        <v>0</v>
      </c>
    </row>
    <row r="46" spans="3:56" x14ac:dyDescent="0.25">
      <c r="C46" s="108"/>
      <c r="D46" s="59" t="s">
        <v>38</v>
      </c>
      <c r="E46" s="65">
        <v>0</v>
      </c>
      <c r="F46" s="65">
        <v>0</v>
      </c>
      <c r="G46" s="65">
        <v>0</v>
      </c>
      <c r="H46" s="65">
        <v>0</v>
      </c>
      <c r="I46" s="65">
        <v>0</v>
      </c>
      <c r="J46" s="65">
        <v>0</v>
      </c>
      <c r="K46" s="65">
        <v>0</v>
      </c>
      <c r="L46" s="65">
        <v>0</v>
      </c>
      <c r="M46" s="65">
        <v>0</v>
      </c>
      <c r="N46" s="65">
        <v>0</v>
      </c>
      <c r="O46" s="65">
        <v>0</v>
      </c>
      <c r="P46" s="65">
        <v>0</v>
      </c>
      <c r="Q46" s="65">
        <v>0</v>
      </c>
      <c r="R46" s="65">
        <v>0</v>
      </c>
      <c r="S46" s="65">
        <v>0</v>
      </c>
      <c r="T46" s="65">
        <v>0</v>
      </c>
      <c r="U46" s="65">
        <v>0</v>
      </c>
      <c r="V46" s="65">
        <v>0</v>
      </c>
      <c r="W46" s="65">
        <v>0</v>
      </c>
      <c r="X46" s="65">
        <v>0</v>
      </c>
      <c r="Y46" s="65">
        <v>0</v>
      </c>
      <c r="Z46" s="65">
        <v>0</v>
      </c>
      <c r="AA46" s="65">
        <v>0</v>
      </c>
      <c r="AB46" s="65">
        <v>0</v>
      </c>
      <c r="AC46" s="65">
        <v>0</v>
      </c>
      <c r="AD46" s="65">
        <v>0</v>
      </c>
      <c r="AE46" s="65">
        <v>0</v>
      </c>
      <c r="AF46" s="65">
        <v>0</v>
      </c>
      <c r="AG46" s="65">
        <v>0</v>
      </c>
      <c r="AH46" s="65">
        <v>0</v>
      </c>
      <c r="AI46" s="65">
        <v>0</v>
      </c>
      <c r="AJ46" s="65">
        <v>0</v>
      </c>
      <c r="AK46" s="65">
        <v>0</v>
      </c>
      <c r="AL46" s="65">
        <v>0</v>
      </c>
      <c r="AM46" s="65">
        <v>0</v>
      </c>
      <c r="AN46" s="65">
        <v>0</v>
      </c>
      <c r="AO46" s="65">
        <v>0</v>
      </c>
      <c r="AP46" s="65">
        <v>0</v>
      </c>
      <c r="AQ46" s="65">
        <v>0</v>
      </c>
      <c r="AR46" s="65">
        <v>0</v>
      </c>
      <c r="AS46" s="65">
        <v>0</v>
      </c>
      <c r="AT46" s="65">
        <v>0</v>
      </c>
      <c r="AU46" s="65">
        <v>0</v>
      </c>
      <c r="AV46" s="65">
        <v>0</v>
      </c>
      <c r="AW46" s="65">
        <v>0</v>
      </c>
      <c r="AX46" s="65">
        <v>0</v>
      </c>
      <c r="AY46" s="65">
        <v>0</v>
      </c>
      <c r="AZ46" s="65">
        <v>0</v>
      </c>
      <c r="BA46" s="65">
        <v>0</v>
      </c>
      <c r="BB46" s="65">
        <v>0</v>
      </c>
      <c r="BC46" s="65">
        <v>0</v>
      </c>
      <c r="BD46" s="65">
        <v>0</v>
      </c>
    </row>
    <row r="47" spans="3:56" x14ac:dyDescent="0.25">
      <c r="C47" s="108"/>
      <c r="D47" s="59" t="s">
        <v>39</v>
      </c>
      <c r="E47" s="65">
        <v>23</v>
      </c>
      <c r="F47" s="65">
        <v>19</v>
      </c>
      <c r="G47" s="65">
        <v>8</v>
      </c>
      <c r="H47" s="65">
        <v>7</v>
      </c>
      <c r="I47" s="65">
        <v>7</v>
      </c>
      <c r="J47" s="65">
        <v>7</v>
      </c>
      <c r="K47" s="65">
        <v>7</v>
      </c>
      <c r="L47" s="65">
        <v>7</v>
      </c>
      <c r="M47" s="65">
        <v>6</v>
      </c>
      <c r="N47" s="65">
        <v>6</v>
      </c>
      <c r="O47" s="65">
        <v>6</v>
      </c>
      <c r="P47" s="65">
        <v>6</v>
      </c>
      <c r="Q47" s="65">
        <v>6</v>
      </c>
      <c r="R47" s="65">
        <v>6</v>
      </c>
      <c r="S47" s="65">
        <v>6</v>
      </c>
      <c r="T47" s="65">
        <v>6</v>
      </c>
      <c r="U47" s="65">
        <v>6</v>
      </c>
      <c r="V47" s="65">
        <v>3</v>
      </c>
      <c r="W47" s="65">
        <v>3</v>
      </c>
      <c r="X47" s="65">
        <v>3</v>
      </c>
      <c r="Y47" s="65">
        <v>3.9849999999999999</v>
      </c>
      <c r="Z47" s="65">
        <v>3.9650749999999997</v>
      </c>
      <c r="AA47" s="65">
        <v>4.9452496249999998</v>
      </c>
      <c r="AB47" s="65">
        <v>4.9205233768749999</v>
      </c>
      <c r="AC47" s="65">
        <v>4.8959207599906245</v>
      </c>
      <c r="AD47" s="65">
        <v>4.871441156190671</v>
      </c>
      <c r="AE47" s="65">
        <v>4.8470839504097176</v>
      </c>
      <c r="AF47" s="65">
        <v>4.8228485306576694</v>
      </c>
      <c r="AG47" s="65">
        <v>4.7987342880043808</v>
      </c>
      <c r="AH47" s="65">
        <v>4.7747406165643591</v>
      </c>
      <c r="AI47" s="65">
        <v>4.7508669134815369</v>
      </c>
      <c r="AJ47" s="65">
        <v>5.7271125789141291</v>
      </c>
      <c r="AK47" s="65">
        <v>5.6984770160195586</v>
      </c>
      <c r="AL47" s="65">
        <v>5.669984630939461</v>
      </c>
      <c r="AM47" s="65">
        <v>5.6416347077847639</v>
      </c>
      <c r="AN47" s="65">
        <v>5.61342653424584</v>
      </c>
      <c r="AO47" s="65">
        <v>5.5853594015746104</v>
      </c>
      <c r="AP47" s="65">
        <v>5.5574326045667375</v>
      </c>
      <c r="AQ47" s="65">
        <v>5.529645441543904</v>
      </c>
      <c r="AR47" s="65">
        <v>5.5019972143361846</v>
      </c>
      <c r="AS47" s="65">
        <v>5.4744872282645041</v>
      </c>
      <c r="AT47" s="65">
        <v>5.4471147921231813</v>
      </c>
      <c r="AU47" s="65">
        <v>5.4198792181625652</v>
      </c>
      <c r="AV47" s="65">
        <v>15.392779822071752</v>
      </c>
      <c r="AW47" s="65">
        <v>25.315815922961391</v>
      </c>
      <c r="AX47" s="65">
        <v>25.189236843346585</v>
      </c>
      <c r="AY47" s="65">
        <v>25.063290659129851</v>
      </c>
      <c r="AZ47" s="65">
        <v>24.937974205834202</v>
      </c>
      <c r="BA47" s="65">
        <v>24.813284334805029</v>
      </c>
      <c r="BB47" s="65">
        <v>24.689217913131003</v>
      </c>
      <c r="BC47" s="65">
        <v>24.565771823565349</v>
      </c>
      <c r="BD47" s="65">
        <v>24.442942964447521</v>
      </c>
    </row>
    <row r="48" spans="3:56" x14ac:dyDescent="0.25">
      <c r="C48" s="108"/>
      <c r="D48" s="59" t="s">
        <v>40</v>
      </c>
      <c r="E48" s="65">
        <v>9</v>
      </c>
      <c r="F48" s="65">
        <v>7.875</v>
      </c>
      <c r="G48" s="65">
        <v>4.5</v>
      </c>
      <c r="H48" s="65">
        <v>4.5</v>
      </c>
      <c r="I48" s="65">
        <v>4.5</v>
      </c>
      <c r="J48" s="65">
        <v>4.5</v>
      </c>
      <c r="K48" s="65">
        <v>1.125</v>
      </c>
      <c r="L48" s="65">
        <v>3.375</v>
      </c>
      <c r="M48" s="65">
        <v>2.25</v>
      </c>
      <c r="N48" s="65">
        <v>2.25</v>
      </c>
      <c r="O48" s="65">
        <v>2.25</v>
      </c>
      <c r="P48" s="65">
        <v>2.25</v>
      </c>
      <c r="Q48" s="65">
        <v>2.25</v>
      </c>
      <c r="R48" s="65">
        <v>2.25</v>
      </c>
      <c r="S48" s="65">
        <v>2.25</v>
      </c>
      <c r="T48" s="65">
        <v>2.25</v>
      </c>
      <c r="U48" s="65">
        <v>2.25</v>
      </c>
      <c r="V48" s="65">
        <v>2.25</v>
      </c>
      <c r="W48" s="65">
        <v>3.375</v>
      </c>
      <c r="X48" s="65">
        <v>3.375</v>
      </c>
      <c r="Y48" s="65">
        <v>3.3581249999999998</v>
      </c>
      <c r="Z48" s="65">
        <v>3.3413343749999997</v>
      </c>
      <c r="AA48" s="65">
        <v>3.3246277031249996</v>
      </c>
      <c r="AB48" s="65">
        <v>3.3080045646093748</v>
      </c>
      <c r="AC48" s="65">
        <v>3.2914645417863277</v>
      </c>
      <c r="AD48" s="65">
        <v>3.2750072190773962</v>
      </c>
      <c r="AE48" s="65">
        <v>3.2586321829820091</v>
      </c>
      <c r="AF48" s="65">
        <v>3.2423390220670991</v>
      </c>
      <c r="AG48" s="65">
        <v>3.2261273269567634</v>
      </c>
      <c r="AH48" s="65">
        <v>3.2099966903219794</v>
      </c>
      <c r="AI48" s="65">
        <v>3.1939467068703697</v>
      </c>
      <c r="AJ48" s="65">
        <v>3.1779769733360177</v>
      </c>
      <c r="AK48" s="65">
        <v>3.1620870884693377</v>
      </c>
      <c r="AL48" s="65">
        <v>3.146276653026991</v>
      </c>
      <c r="AM48" s="65">
        <v>3.1305452697618561</v>
      </c>
      <c r="AN48" s="65">
        <v>3.1148925434130468</v>
      </c>
      <c r="AO48" s="65">
        <v>3.0993180806959817</v>
      </c>
      <c r="AP48" s="65">
        <v>3.0838214902925016</v>
      </c>
      <c r="AQ48" s="65">
        <v>3.0684023828410392</v>
      </c>
      <c r="AR48" s="65">
        <v>3.053060370926834</v>
      </c>
      <c r="AS48" s="65">
        <v>3.0377950690722</v>
      </c>
      <c r="AT48" s="65">
        <v>3.0226060937268389</v>
      </c>
      <c r="AU48" s="65">
        <v>3.0074930632582046</v>
      </c>
      <c r="AV48" s="65">
        <v>12.992455597941913</v>
      </c>
      <c r="AW48" s="65">
        <v>12.927493319952204</v>
      </c>
      <c r="AX48" s="65">
        <v>12.862855853352443</v>
      </c>
      <c r="AY48" s="65">
        <v>12.79854157408568</v>
      </c>
      <c r="AZ48" s="65">
        <v>12.734548866215253</v>
      </c>
      <c r="BA48" s="65">
        <v>12.670876121884177</v>
      </c>
      <c r="BB48" s="65">
        <v>12.607521741274756</v>
      </c>
      <c r="BC48" s="65">
        <v>12.544484132568382</v>
      </c>
      <c r="BD48" s="65">
        <v>12.48176171190554</v>
      </c>
    </row>
    <row r="49" spans="3:56" x14ac:dyDescent="0.25">
      <c r="C49" s="108"/>
      <c r="D49" s="59" t="s">
        <v>41</v>
      </c>
      <c r="E49" s="54">
        <f t="shared" ref="E49:BD49" si="9">(SUM(E42:E48)*E51)/((40*(1-E50)+40))</f>
        <v>0</v>
      </c>
      <c r="F49" s="54">
        <f t="shared" si="9"/>
        <v>0</v>
      </c>
      <c r="G49" s="54">
        <f t="shared" si="9"/>
        <v>0</v>
      </c>
      <c r="H49" s="54">
        <f t="shared" si="9"/>
        <v>0</v>
      </c>
      <c r="I49" s="54">
        <f t="shared" si="9"/>
        <v>0</v>
      </c>
      <c r="J49" s="54">
        <f t="shared" si="9"/>
        <v>0</v>
      </c>
      <c r="K49" s="54">
        <f t="shared" si="9"/>
        <v>0</v>
      </c>
      <c r="L49" s="54">
        <f t="shared" si="9"/>
        <v>0</v>
      </c>
      <c r="M49" s="54">
        <f t="shared" si="9"/>
        <v>0</v>
      </c>
      <c r="N49" s="54">
        <f t="shared" si="9"/>
        <v>0</v>
      </c>
      <c r="O49" s="54">
        <f t="shared" si="9"/>
        <v>0.71739130434782605</v>
      </c>
      <c r="P49" s="54">
        <f t="shared" si="9"/>
        <v>0</v>
      </c>
      <c r="Q49" s="54">
        <f t="shared" si="9"/>
        <v>0</v>
      </c>
      <c r="R49" s="54">
        <f t="shared" si="9"/>
        <v>0</v>
      </c>
      <c r="S49" s="54">
        <f t="shared" si="9"/>
        <v>0</v>
      </c>
      <c r="T49" s="54">
        <f t="shared" si="9"/>
        <v>0</v>
      </c>
      <c r="U49" s="54">
        <f t="shared" si="9"/>
        <v>1.4347826086956521</v>
      </c>
      <c r="V49" s="54">
        <f t="shared" si="9"/>
        <v>0.91304347826086951</v>
      </c>
      <c r="W49" s="54">
        <f t="shared" si="9"/>
        <v>1.1086956521739131</v>
      </c>
      <c r="X49" s="54">
        <f t="shared" si="9"/>
        <v>0.83152173913043481</v>
      </c>
      <c r="Y49" s="54">
        <f t="shared" si="9"/>
        <v>0</v>
      </c>
      <c r="Z49" s="54">
        <f t="shared" si="9"/>
        <v>-0.63533994565217389</v>
      </c>
      <c r="AA49" s="54">
        <f t="shared" si="9"/>
        <v>0</v>
      </c>
      <c r="AB49" s="54">
        <f t="shared" si="9"/>
        <v>0</v>
      </c>
      <c r="AC49" s="54">
        <f t="shared" si="9"/>
        <v>0</v>
      </c>
      <c r="AD49" s="54">
        <f t="shared" si="9"/>
        <v>-0.17709670381017537</v>
      </c>
      <c r="AE49" s="54">
        <f t="shared" si="9"/>
        <v>-0.70484488116449806</v>
      </c>
      <c r="AF49" s="54">
        <f t="shared" si="9"/>
        <v>0</v>
      </c>
      <c r="AG49" s="54">
        <f t="shared" si="9"/>
        <v>0</v>
      </c>
      <c r="AH49" s="54">
        <f t="shared" si="9"/>
        <v>0</v>
      </c>
      <c r="AI49" s="54">
        <f t="shared" si="9"/>
        <v>0</v>
      </c>
      <c r="AJ49" s="54">
        <f t="shared" si="9"/>
        <v>0</v>
      </c>
      <c r="AK49" s="54">
        <f t="shared" si="9"/>
        <v>0</v>
      </c>
      <c r="AL49" s="54">
        <f t="shared" si="9"/>
        <v>0</v>
      </c>
      <c r="AM49" s="54">
        <f t="shared" si="9"/>
        <v>0</v>
      </c>
      <c r="AN49" s="54">
        <f t="shared" si="9"/>
        <v>0</v>
      </c>
      <c r="AO49" s="54">
        <f t="shared" si="9"/>
        <v>0</v>
      </c>
      <c r="AP49" s="54">
        <f t="shared" si="9"/>
        <v>0</v>
      </c>
      <c r="AQ49" s="54">
        <f t="shared" si="9"/>
        <v>0</v>
      </c>
      <c r="AR49" s="54">
        <f t="shared" si="9"/>
        <v>0</v>
      </c>
      <c r="AS49" s="54">
        <f t="shared" si="9"/>
        <v>0</v>
      </c>
      <c r="AT49" s="54">
        <f t="shared" si="9"/>
        <v>0</v>
      </c>
      <c r="AU49" s="54">
        <f t="shared" si="9"/>
        <v>0</v>
      </c>
      <c r="AV49" s="54">
        <f t="shared" si="9"/>
        <v>0</v>
      </c>
      <c r="AW49" s="54">
        <f t="shared" si="9"/>
        <v>0</v>
      </c>
      <c r="AX49" s="54">
        <f t="shared" si="9"/>
        <v>0</v>
      </c>
      <c r="AY49" s="54">
        <f t="shared" si="9"/>
        <v>0</v>
      </c>
      <c r="AZ49" s="54">
        <f t="shared" si="9"/>
        <v>6.5517431429651234</v>
      </c>
      <c r="BA49" s="54">
        <f t="shared" si="9"/>
        <v>0</v>
      </c>
      <c r="BB49" s="54">
        <f t="shared" si="9"/>
        <v>0</v>
      </c>
      <c r="BC49" s="54">
        <f t="shared" si="9"/>
        <v>0</v>
      </c>
      <c r="BD49" s="54">
        <f t="shared" si="9"/>
        <v>0</v>
      </c>
    </row>
    <row r="50" spans="3:56" x14ac:dyDescent="0.25">
      <c r="C50" s="108"/>
      <c r="D50" s="59" t="s">
        <v>42</v>
      </c>
      <c r="E50" s="67">
        <v>0.85</v>
      </c>
      <c r="F50" s="67">
        <v>0.85</v>
      </c>
      <c r="G50" s="67">
        <v>0.85</v>
      </c>
      <c r="H50" s="67">
        <v>0.85</v>
      </c>
      <c r="I50" s="67">
        <v>0.85</v>
      </c>
      <c r="J50" s="67">
        <v>0.85</v>
      </c>
      <c r="K50" s="67">
        <v>0.85</v>
      </c>
      <c r="L50" s="67">
        <v>0.85</v>
      </c>
      <c r="M50" s="67">
        <v>0.85</v>
      </c>
      <c r="N50" s="67">
        <v>0.85</v>
      </c>
      <c r="O50" s="67">
        <v>0.85</v>
      </c>
      <c r="P50" s="67">
        <v>0.85</v>
      </c>
      <c r="Q50" s="67">
        <v>0.85</v>
      </c>
      <c r="R50" s="67">
        <v>0.85</v>
      </c>
      <c r="S50" s="67">
        <v>0.85</v>
      </c>
      <c r="T50" s="67">
        <v>0.85</v>
      </c>
      <c r="U50" s="67">
        <v>0.85</v>
      </c>
      <c r="V50" s="67">
        <v>0.85</v>
      </c>
      <c r="W50" s="67">
        <v>0.85</v>
      </c>
      <c r="X50" s="67">
        <v>0.85</v>
      </c>
      <c r="Y50" s="67">
        <v>0.85</v>
      </c>
      <c r="Z50" s="67">
        <v>0.85</v>
      </c>
      <c r="AA50" s="67">
        <v>0.85</v>
      </c>
      <c r="AB50" s="67">
        <v>0.85</v>
      </c>
      <c r="AC50" s="67">
        <v>0.85</v>
      </c>
      <c r="AD50" s="67">
        <v>0.85</v>
      </c>
      <c r="AE50" s="67">
        <v>0.85</v>
      </c>
      <c r="AF50" s="67">
        <v>0.85</v>
      </c>
      <c r="AG50" s="67">
        <v>0.85</v>
      </c>
      <c r="AH50" s="67">
        <v>0.85</v>
      </c>
      <c r="AI50" s="67">
        <v>0.85</v>
      </c>
      <c r="AJ50" s="67">
        <v>0.85</v>
      </c>
      <c r="AK50" s="67">
        <v>0.85</v>
      </c>
      <c r="AL50" s="67">
        <v>0.85</v>
      </c>
      <c r="AM50" s="67">
        <v>0.85</v>
      </c>
      <c r="AN50" s="67">
        <v>0.85</v>
      </c>
      <c r="AO50" s="67">
        <v>0.85</v>
      </c>
      <c r="AP50" s="67">
        <v>0.85</v>
      </c>
      <c r="AQ50" s="67">
        <v>0.85</v>
      </c>
      <c r="AR50" s="67">
        <v>0.85</v>
      </c>
      <c r="AS50" s="67">
        <v>0.85</v>
      </c>
      <c r="AT50" s="67">
        <v>0.85</v>
      </c>
      <c r="AU50" s="67">
        <v>0.85</v>
      </c>
      <c r="AV50" s="67">
        <v>0.85</v>
      </c>
      <c r="AW50" s="67">
        <v>0.85</v>
      </c>
      <c r="AX50" s="67">
        <v>0.85</v>
      </c>
      <c r="AY50" s="67">
        <v>0.85</v>
      </c>
      <c r="AZ50" s="67">
        <v>0.85</v>
      </c>
      <c r="BA50" s="67">
        <v>0.85</v>
      </c>
      <c r="BB50" s="67">
        <v>0.85</v>
      </c>
      <c r="BC50" s="67">
        <v>0.85</v>
      </c>
      <c r="BD50" s="67">
        <v>0.85</v>
      </c>
    </row>
    <row r="51" spans="3:56" x14ac:dyDescent="0.25">
      <c r="C51" s="108"/>
      <c r="D51" s="59" t="s">
        <v>43</v>
      </c>
      <c r="E51" s="65">
        <v>0</v>
      </c>
      <c r="F51" s="65"/>
      <c r="G51" s="65"/>
      <c r="H51" s="65"/>
      <c r="I51" s="65"/>
      <c r="J51" s="65"/>
      <c r="K51" s="65"/>
      <c r="L51" s="65"/>
      <c r="M51" s="65"/>
      <c r="N51" s="65"/>
      <c r="O51" s="65">
        <v>4</v>
      </c>
      <c r="P51" s="65"/>
      <c r="Q51" s="65"/>
      <c r="R51" s="65"/>
      <c r="S51" s="65"/>
      <c r="T51" s="65"/>
      <c r="U51" s="65">
        <v>8</v>
      </c>
      <c r="V51" s="65">
        <v>8</v>
      </c>
      <c r="W51" s="65">
        <v>8</v>
      </c>
      <c r="X51" s="65">
        <v>6</v>
      </c>
      <c r="Y51" s="65"/>
      <c r="Z51" s="65">
        <v>-4</v>
      </c>
      <c r="AA51" s="65"/>
      <c r="AB51" s="65"/>
      <c r="AC51" s="65"/>
      <c r="AD51" s="65">
        <v>-1</v>
      </c>
      <c r="AE51" s="65">
        <v>-4</v>
      </c>
      <c r="AF51" s="65"/>
      <c r="AG51" s="65"/>
      <c r="AH51" s="65"/>
      <c r="AI51" s="65"/>
      <c r="AJ51" s="65"/>
      <c r="AK51" s="65"/>
      <c r="AL51" s="65"/>
      <c r="AM51" s="65"/>
      <c r="AN51" s="65"/>
      <c r="AO51" s="65"/>
      <c r="AP51" s="65"/>
      <c r="AQ51" s="65"/>
      <c r="AR51" s="65"/>
      <c r="AS51" s="65"/>
      <c r="AT51" s="65"/>
      <c r="AU51" s="65"/>
      <c r="AV51" s="65"/>
      <c r="AW51" s="65"/>
      <c r="AX51" s="65"/>
      <c r="AY51" s="65"/>
      <c r="AZ51" s="65">
        <v>8</v>
      </c>
      <c r="BA51" s="65"/>
      <c r="BB51" s="65"/>
      <c r="BC51" s="65"/>
      <c r="BD51" s="65"/>
    </row>
    <row r="52" spans="3:56" x14ac:dyDescent="0.25">
      <c r="C52" s="108"/>
      <c r="D52" s="60" t="s">
        <v>44</v>
      </c>
      <c r="E52" s="61">
        <f t="shared" ref="E52:BD52" si="10">SUM(E42:E49)</f>
        <v>32</v>
      </c>
      <c r="F52" s="61">
        <f t="shared" si="10"/>
        <v>26.875</v>
      </c>
      <c r="G52" s="61">
        <f t="shared" si="10"/>
        <v>12.5</v>
      </c>
      <c r="H52" s="61">
        <f t="shared" si="10"/>
        <v>11.5</v>
      </c>
      <c r="I52" s="61">
        <f t="shared" si="10"/>
        <v>11.5</v>
      </c>
      <c r="J52" s="61">
        <f t="shared" si="10"/>
        <v>11.5</v>
      </c>
      <c r="K52" s="61">
        <f t="shared" si="10"/>
        <v>8.125</v>
      </c>
      <c r="L52" s="61">
        <f t="shared" si="10"/>
        <v>10.375</v>
      </c>
      <c r="M52" s="61">
        <f t="shared" si="10"/>
        <v>8.25</v>
      </c>
      <c r="N52" s="61">
        <f t="shared" si="10"/>
        <v>8.25</v>
      </c>
      <c r="O52" s="61">
        <f t="shared" si="10"/>
        <v>8.9673913043478262</v>
      </c>
      <c r="P52" s="61">
        <f t="shared" si="10"/>
        <v>8.25</v>
      </c>
      <c r="Q52" s="61">
        <f t="shared" si="10"/>
        <v>8.25</v>
      </c>
      <c r="R52" s="61">
        <f t="shared" si="10"/>
        <v>8.25</v>
      </c>
      <c r="S52" s="61">
        <f t="shared" si="10"/>
        <v>8.25</v>
      </c>
      <c r="T52" s="61">
        <f t="shared" si="10"/>
        <v>8.25</v>
      </c>
      <c r="U52" s="61">
        <f t="shared" si="10"/>
        <v>9.6847826086956523</v>
      </c>
      <c r="V52" s="61">
        <f t="shared" si="10"/>
        <v>6.1630434782608692</v>
      </c>
      <c r="W52" s="61">
        <f t="shared" si="10"/>
        <v>7.4836956521739131</v>
      </c>
      <c r="X52" s="61">
        <f t="shared" si="10"/>
        <v>7.2065217391304346</v>
      </c>
      <c r="Y52" s="61">
        <f t="shared" si="10"/>
        <v>7.3431249999999997</v>
      </c>
      <c r="Z52" s="61">
        <f t="shared" si="10"/>
        <v>6.6710694293478259</v>
      </c>
      <c r="AA52" s="61">
        <f t="shared" si="10"/>
        <v>8.2698773281249984</v>
      </c>
      <c r="AB52" s="61">
        <f t="shared" si="10"/>
        <v>8.2285279414843746</v>
      </c>
      <c r="AC52" s="61">
        <f t="shared" si="10"/>
        <v>8.1873853017769527</v>
      </c>
      <c r="AD52" s="61">
        <f t="shared" si="10"/>
        <v>7.9693516714578916</v>
      </c>
      <c r="AE52" s="61">
        <f t="shared" si="10"/>
        <v>7.4008712522272289</v>
      </c>
      <c r="AF52" s="61">
        <f t="shared" si="10"/>
        <v>8.0651875527247689</v>
      </c>
      <c r="AG52" s="61">
        <f t="shared" si="10"/>
        <v>8.0248616149611447</v>
      </c>
      <c r="AH52" s="61">
        <f t="shared" si="10"/>
        <v>7.9847373068863385</v>
      </c>
      <c r="AI52" s="61">
        <f t="shared" si="10"/>
        <v>7.9448136203519066</v>
      </c>
      <c r="AJ52" s="61">
        <f t="shared" si="10"/>
        <v>8.9050895522501463</v>
      </c>
      <c r="AK52" s="61">
        <f t="shared" si="10"/>
        <v>8.8605641044888959</v>
      </c>
      <c r="AL52" s="61">
        <f t="shared" si="10"/>
        <v>8.8162612839664511</v>
      </c>
      <c r="AM52" s="61">
        <f t="shared" si="10"/>
        <v>8.7721799775466209</v>
      </c>
      <c r="AN52" s="61">
        <f t="shared" si="10"/>
        <v>8.7283190776588864</v>
      </c>
      <c r="AO52" s="61">
        <f t="shared" si="10"/>
        <v>8.6846774822705921</v>
      </c>
      <c r="AP52" s="61">
        <f t="shared" si="10"/>
        <v>8.6412540948592387</v>
      </c>
      <c r="AQ52" s="61">
        <f t="shared" si="10"/>
        <v>8.5980478243849436</v>
      </c>
      <c r="AR52" s="61">
        <f t="shared" si="10"/>
        <v>8.5550575852630182</v>
      </c>
      <c r="AS52" s="61">
        <f t="shared" si="10"/>
        <v>8.5122822973367036</v>
      </c>
      <c r="AT52" s="61">
        <f t="shared" si="10"/>
        <v>8.4697208858500197</v>
      </c>
      <c r="AU52" s="61">
        <f t="shared" si="10"/>
        <v>8.4273722814207694</v>
      </c>
      <c r="AV52" s="61">
        <f t="shared" si="10"/>
        <v>28.385235420013665</v>
      </c>
      <c r="AW52" s="61">
        <f t="shared" si="10"/>
        <v>38.243309242913597</v>
      </c>
      <c r="AX52" s="61">
        <f t="shared" si="10"/>
        <v>38.052092696699027</v>
      </c>
      <c r="AY52" s="61">
        <f t="shared" si="10"/>
        <v>37.86183223321553</v>
      </c>
      <c r="AZ52" s="61">
        <f t="shared" si="10"/>
        <v>44.22426621501458</v>
      </c>
      <c r="BA52" s="61">
        <f t="shared" si="10"/>
        <v>37.48416045668921</v>
      </c>
      <c r="BB52" s="61">
        <f t="shared" si="10"/>
        <v>37.296739654405755</v>
      </c>
      <c r="BC52" s="61">
        <f t="shared" si="10"/>
        <v>37.110255956133727</v>
      </c>
      <c r="BD52" s="61">
        <f t="shared" si="10"/>
        <v>36.924704676353059</v>
      </c>
    </row>
    <row r="53" spans="3:56" x14ac:dyDescent="0.25">
      <c r="C53" s="108"/>
      <c r="D53" s="59" t="s">
        <v>52</v>
      </c>
      <c r="E53" s="56">
        <f>E52-E40</f>
        <v>11.919930056351937</v>
      </c>
      <c r="F53" s="56">
        <f t="shared" ref="F53:BD53" si="11">F52-F40</f>
        <v>11.537568461243897</v>
      </c>
      <c r="G53" s="56">
        <f t="shared" si="11"/>
        <v>-0.13452635327635143</v>
      </c>
      <c r="H53" s="56">
        <f t="shared" si="11"/>
        <v>-0.10772792022791755</v>
      </c>
      <c r="I53" s="56">
        <f t="shared" si="11"/>
        <v>0.23958333333333393</v>
      </c>
      <c r="J53" s="56">
        <f t="shared" si="11"/>
        <v>1.8244943019943012</v>
      </c>
      <c r="K53" s="56">
        <f t="shared" si="11"/>
        <v>0.1423076923076918</v>
      </c>
      <c r="L53" s="56">
        <f t="shared" si="11"/>
        <v>2.5628205128205108</v>
      </c>
      <c r="M53" s="56">
        <f t="shared" si="11"/>
        <v>0.22243589743589709</v>
      </c>
      <c r="N53" s="56">
        <f t="shared" si="11"/>
        <v>5.6036324786326475E-2</v>
      </c>
      <c r="O53" s="56">
        <f t="shared" si="11"/>
        <v>-0.4619178124612926</v>
      </c>
      <c r="P53" s="56">
        <f t="shared" si="11"/>
        <v>-1.1856659544159545</v>
      </c>
      <c r="Q53" s="56">
        <f t="shared" si="11"/>
        <v>0.55354686934491504</v>
      </c>
      <c r="R53" s="56">
        <f t="shared" si="11"/>
        <v>1.1681610407876226</v>
      </c>
      <c r="S53" s="56">
        <f t="shared" si="11"/>
        <v>1.1577004219409277</v>
      </c>
      <c r="T53" s="56">
        <f t="shared" si="11"/>
        <v>-0.76987781293952295</v>
      </c>
      <c r="U53" s="56">
        <f t="shared" si="11"/>
        <v>1.756734640674332</v>
      </c>
      <c r="V53" s="56">
        <f t="shared" si="11"/>
        <v>-2.47438231529574</v>
      </c>
      <c r="W53" s="56">
        <f t="shared" si="11"/>
        <v>2.9458662019200332E-2</v>
      </c>
      <c r="X53" s="56">
        <f t="shared" si="11"/>
        <v>-0.30181159420289916</v>
      </c>
      <c r="Y53" s="56">
        <f t="shared" si="11"/>
        <v>-0.10145833333333432</v>
      </c>
      <c r="Z53" s="56">
        <f t="shared" si="11"/>
        <v>0.36690276268115873</v>
      </c>
      <c r="AA53" s="56">
        <f t="shared" si="11"/>
        <v>0.45889247964014857</v>
      </c>
      <c r="AB53" s="56">
        <f t="shared" si="11"/>
        <v>0.85756834552477912</v>
      </c>
      <c r="AC53" s="56">
        <f t="shared" si="11"/>
        <v>1.2199610593527117</v>
      </c>
      <c r="AD53" s="56">
        <f t="shared" si="11"/>
        <v>2.1155893648474837</v>
      </c>
      <c r="AE53" s="56">
        <f t="shared" si="11"/>
        <v>2.4221332549707126</v>
      </c>
      <c r="AF53" s="56">
        <f t="shared" si="11"/>
        <v>2.4926738353036448</v>
      </c>
      <c r="AG53" s="56">
        <f t="shared" si="11"/>
        <v>3.0195975546044913</v>
      </c>
      <c r="AH53" s="56">
        <f t="shared" si="11"/>
        <v>2.0265754413170658</v>
      </c>
      <c r="AI53" s="56">
        <f t="shared" si="11"/>
        <v>1.7928074475124003</v>
      </c>
      <c r="AJ53" s="56">
        <f t="shared" si="11"/>
        <v>1.9858680158989799</v>
      </c>
      <c r="AK53" s="56">
        <f t="shared" si="11"/>
        <v>1.6332321428976746</v>
      </c>
      <c r="AL53" s="56">
        <f t="shared" si="11"/>
        <v>1.6685075116756414</v>
      </c>
      <c r="AM53" s="56">
        <f t="shared" si="11"/>
        <v>2.2622594506875142</v>
      </c>
      <c r="AN53" s="56">
        <f t="shared" si="11"/>
        <v>2.9693538889958768</v>
      </c>
      <c r="AO53" s="56">
        <f t="shared" si="11"/>
        <v>2.8215466352998568</v>
      </c>
      <c r="AP53" s="56">
        <f t="shared" si="11"/>
        <v>2.4966196987105285</v>
      </c>
      <c r="AQ53" s="56">
        <f t="shared" si="11"/>
        <v>1.9127433190933356</v>
      </c>
      <c r="AR53" s="56">
        <f t="shared" si="11"/>
        <v>2.1727482657705499</v>
      </c>
      <c r="AS53" s="56">
        <f t="shared" si="11"/>
        <v>1.773346683133223</v>
      </c>
      <c r="AT53" s="56">
        <f t="shared" si="11"/>
        <v>1.5226959465360395</v>
      </c>
      <c r="AU53" s="56">
        <f t="shared" si="11"/>
        <v>1.0632435775486702</v>
      </c>
      <c r="AV53" s="56">
        <f t="shared" si="11"/>
        <v>18.86367808977127</v>
      </c>
      <c r="AW53" s="56">
        <f t="shared" si="11"/>
        <v>28.063222361997425</v>
      </c>
      <c r="AX53" s="56">
        <f t="shared" si="11"/>
        <v>28.068975956894153</v>
      </c>
      <c r="AY53" s="56">
        <f t="shared" si="11"/>
        <v>14.089676436591766</v>
      </c>
      <c r="AZ53" s="56">
        <f t="shared" si="11"/>
        <v>11.039538068969875</v>
      </c>
      <c r="BA53" s="56">
        <f t="shared" si="11"/>
        <v>8.6734669472443642</v>
      </c>
      <c r="BB53" s="56">
        <f t="shared" si="11"/>
        <v>13.345049237746469</v>
      </c>
      <c r="BC53" s="56">
        <f t="shared" si="11"/>
        <v>23.61232270447616</v>
      </c>
      <c r="BD53" s="56">
        <f t="shared" si="11"/>
        <v>24.779881947548848</v>
      </c>
    </row>
    <row r="54" spans="3:56" x14ac:dyDescent="0.25">
      <c r="C54" s="108"/>
      <c r="D54" s="59" t="s">
        <v>46</v>
      </c>
      <c r="E54" s="56">
        <f>E53+LauderNew!E51</f>
        <v>24.005208333333339</v>
      </c>
      <c r="F54" s="56">
        <f>F53+LauderNew!F51</f>
        <v>29.352163461538463</v>
      </c>
      <c r="G54" s="56">
        <f>G53+LauderNew!G51</f>
        <v>2.4383457977208032</v>
      </c>
      <c r="H54" s="56">
        <f>H53+LauderNew!H51</f>
        <v>2.2701210826210865</v>
      </c>
      <c r="I54" s="56">
        <f>I53+LauderNew!I51</f>
        <v>2.8901193732193722</v>
      </c>
      <c r="J54" s="56">
        <f>J53+LauderNew!J51</f>
        <v>4.5973112535612541</v>
      </c>
      <c r="K54" s="56">
        <f>K53+LauderNew!K51</f>
        <v>2.3701923076923066</v>
      </c>
      <c r="L54" s="56">
        <f>L53+LauderNew!L51</f>
        <v>2.6746794871794854</v>
      </c>
      <c r="M54" s="56">
        <f>M53+LauderNew!M51</f>
        <v>1.2900641025641031</v>
      </c>
      <c r="N54" s="56">
        <f>N53+LauderNew!N51</f>
        <v>0.99292200854701029</v>
      </c>
      <c r="O54" s="56">
        <f>O53+LauderNew!O51</f>
        <v>0.14564365787191491</v>
      </c>
      <c r="P54" s="56">
        <f>P53+LauderNew!P51</f>
        <v>-1.34014840103195</v>
      </c>
      <c r="Q54" s="56">
        <f>Q53+LauderNew!Q51</f>
        <v>1.8015024982411401</v>
      </c>
      <c r="R54" s="56">
        <f>R53+LauderNew!R51</f>
        <v>3.6820962259728081</v>
      </c>
      <c r="S54" s="56">
        <f>S53+LauderNew!S51</f>
        <v>3.6629781997187063</v>
      </c>
      <c r="T54" s="56">
        <f>T53+LauderNew!T51</f>
        <v>0.14009950187529174</v>
      </c>
      <c r="U54" s="56">
        <f>U53+LauderNew!U51</f>
        <v>5.0268528710328386</v>
      </c>
      <c r="V54" s="56">
        <f>V53+LauderNew!V51</f>
        <v>-0.96527172878708445</v>
      </c>
      <c r="W54" s="56">
        <f>W53+LauderNew!W51</f>
        <v>2.348777783850978</v>
      </c>
      <c r="X54" s="56">
        <f>X53+LauderNew!X51</f>
        <v>1.6371989181465603</v>
      </c>
      <c r="Y54" s="56">
        <f>Y53+LauderNew!Y51</f>
        <v>0.89304284037558634</v>
      </c>
      <c r="Z54" s="56">
        <f>Z53+LauderNew!Z51</f>
        <v>1.6615694720861383</v>
      </c>
      <c r="AA54" s="56">
        <f>AA53+LauderNew!AA51</f>
        <v>1.0679804808872113</v>
      </c>
      <c r="AB54" s="56">
        <f>AB53+LauderNew!AB51</f>
        <v>1.8052828062178774</v>
      </c>
      <c r="AC54" s="56">
        <f>AC53+LauderNew!AC51</f>
        <v>2.4753900971946141</v>
      </c>
      <c r="AD54" s="56">
        <f>AD53+LauderNew!AD51</f>
        <v>5.117355177450726</v>
      </c>
      <c r="AE54" s="56">
        <f>AE53+LauderNew!AE51</f>
        <v>5.7170543322660823</v>
      </c>
      <c r="AF54" s="56">
        <f>AF53+LauderNew!AF51</f>
        <v>5.9619568570693176</v>
      </c>
      <c r="AG54" s="56">
        <f>AG53+LauderNew!AG51</f>
        <v>6.9173541017375264</v>
      </c>
      <c r="AH54" s="56">
        <f>AH53+LauderNew!AH51</f>
        <v>5.0965589795239588</v>
      </c>
      <c r="AI54" s="56">
        <f>AI53+LauderNew!AI51</f>
        <v>4.6625997981869904</v>
      </c>
      <c r="AJ54" s="56">
        <f>AJ53+LauderNew!AJ51</f>
        <v>4.181760313550356</v>
      </c>
      <c r="AK54" s="56">
        <f>AK53+LauderNew!AK51</f>
        <v>3.5348875385846004</v>
      </c>
      <c r="AL54" s="56">
        <f>AL53+LauderNew!AL51</f>
        <v>3.5965603843523883</v>
      </c>
      <c r="AM54" s="56">
        <f>AM53+LauderNew!AM51</f>
        <v>4.6783215753497567</v>
      </c>
      <c r="AN54" s="56">
        <f>AN53+LauderNew!AN51</f>
        <v>5.9671200354889509</v>
      </c>
      <c r="AO54" s="56">
        <f>AO53+LauderNew!AO51</f>
        <v>5.6944280406080745</v>
      </c>
      <c r="AP54" s="56">
        <f>AP53+LauderNew!AP51</f>
        <v>5.0982351104979289</v>
      </c>
      <c r="AQ54" s="56">
        <f>AQ53+LauderNew!AQ51</f>
        <v>4.0290766153420536</v>
      </c>
      <c r="AR54" s="56">
        <f>AR53+LauderNew!AR51</f>
        <v>4.5638615055581075</v>
      </c>
      <c r="AS54" s="56">
        <f>AS53+LauderNew!AS51</f>
        <v>3.6070621361670954</v>
      </c>
      <c r="AT54" s="56">
        <f>AT53+LauderNew!AT51</f>
        <v>12.929642683688328</v>
      </c>
      <c r="AU54" s="56">
        <f>AU53+LauderNew!AU51</f>
        <v>11.531701939304538</v>
      </c>
      <c r="AV54" s="56">
        <f>AV53+LauderNew!AV51</f>
        <v>34.993197691906985</v>
      </c>
      <c r="AW54" s="56">
        <f>AW53+LauderNew!AW51</f>
        <v>42.818189656127153</v>
      </c>
      <c r="AX54" s="56">
        <f>AX53+LauderNew!AX51</f>
        <v>54.833637544359647</v>
      </c>
      <c r="AY54" s="56">
        <f>AY53+LauderNew!AY51</f>
        <v>28.370289684269672</v>
      </c>
      <c r="AZ54" s="56">
        <f>AZ53+LauderNew!AZ51</f>
        <v>22.108339277340139</v>
      </c>
      <c r="BA54" s="56">
        <f>BA53+LauderNew!BA51</f>
        <v>17.171847615746685</v>
      </c>
      <c r="BB54" s="56">
        <f>BB53+LauderNew!BB51</f>
        <v>25.331486430934639</v>
      </c>
      <c r="BC54" s="56">
        <f>BC53+LauderNew!BC51</f>
        <v>43.663422636576044</v>
      </c>
      <c r="BD54" s="56">
        <f>BD53+LauderNew!BD51</f>
        <v>45.469978053998254</v>
      </c>
    </row>
    <row r="55" spans="3:56" x14ac:dyDescent="0.25">
      <c r="C55" s="48"/>
      <c r="E55" s="45"/>
      <c r="F55" s="45"/>
      <c r="G55" s="45"/>
      <c r="H55" s="45"/>
      <c r="I55" s="45"/>
      <c r="J55" s="45"/>
      <c r="K55" s="45"/>
      <c r="L55" s="45"/>
      <c r="M55" s="45"/>
    </row>
    <row r="56" spans="3:56" x14ac:dyDescent="0.25">
      <c r="D56" s="46" t="s">
        <v>19</v>
      </c>
      <c r="E56" s="82">
        <f>E2</f>
        <v>44569</v>
      </c>
      <c r="F56" s="82">
        <f t="shared" ref="F56:BD56" si="12">F2</f>
        <v>44576</v>
      </c>
      <c r="G56" s="82">
        <f t="shared" si="12"/>
        <v>44583</v>
      </c>
      <c r="H56" s="82">
        <f t="shared" si="12"/>
        <v>44590</v>
      </c>
      <c r="I56" s="82">
        <f t="shared" si="12"/>
        <v>44597</v>
      </c>
      <c r="J56" s="82">
        <f t="shared" si="12"/>
        <v>44604</v>
      </c>
      <c r="K56" s="82">
        <f t="shared" si="12"/>
        <v>44611</v>
      </c>
      <c r="L56" s="82">
        <f t="shared" si="12"/>
        <v>44618</v>
      </c>
      <c r="M56" s="82">
        <f t="shared" si="12"/>
        <v>44625</v>
      </c>
      <c r="N56" s="82">
        <f t="shared" si="12"/>
        <v>44632</v>
      </c>
      <c r="O56" s="82">
        <f t="shared" si="12"/>
        <v>44639</v>
      </c>
      <c r="P56" s="82">
        <f t="shared" si="12"/>
        <v>44646</v>
      </c>
      <c r="Q56" s="82">
        <f t="shared" si="12"/>
        <v>44653</v>
      </c>
      <c r="R56" s="82">
        <f t="shared" si="12"/>
        <v>44660</v>
      </c>
      <c r="S56" s="82">
        <f t="shared" si="12"/>
        <v>44667</v>
      </c>
      <c r="T56" s="82">
        <f t="shared" si="12"/>
        <v>44674</v>
      </c>
      <c r="U56" s="82">
        <f t="shared" si="12"/>
        <v>44681</v>
      </c>
      <c r="V56" s="82">
        <f t="shared" si="12"/>
        <v>44688</v>
      </c>
      <c r="W56" s="82">
        <f t="shared" si="12"/>
        <v>44695</v>
      </c>
      <c r="X56" s="82">
        <f t="shared" si="12"/>
        <v>44702</v>
      </c>
      <c r="Y56" s="82">
        <f t="shared" si="12"/>
        <v>44709</v>
      </c>
      <c r="Z56" s="82">
        <f t="shared" si="12"/>
        <v>44716</v>
      </c>
      <c r="AA56" s="82">
        <f t="shared" si="12"/>
        <v>44723</v>
      </c>
      <c r="AB56" s="82">
        <f t="shared" si="12"/>
        <v>44730</v>
      </c>
      <c r="AC56" s="82">
        <f t="shared" si="12"/>
        <v>44737</v>
      </c>
      <c r="AD56" s="82">
        <f t="shared" si="12"/>
        <v>44744</v>
      </c>
      <c r="AE56" s="82">
        <f t="shared" si="12"/>
        <v>44751</v>
      </c>
      <c r="AF56" s="82">
        <f t="shared" si="12"/>
        <v>44758</v>
      </c>
      <c r="AG56" s="82">
        <f t="shared" si="12"/>
        <v>44765</v>
      </c>
      <c r="AH56" s="82">
        <f t="shared" si="12"/>
        <v>44772</v>
      </c>
      <c r="AI56" s="82">
        <f t="shared" si="12"/>
        <v>44779</v>
      </c>
      <c r="AJ56" s="82">
        <f t="shared" si="12"/>
        <v>44786</v>
      </c>
      <c r="AK56" s="82">
        <f t="shared" si="12"/>
        <v>44793</v>
      </c>
      <c r="AL56" s="82">
        <f t="shared" si="12"/>
        <v>44800</v>
      </c>
      <c r="AM56" s="82">
        <f t="shared" si="12"/>
        <v>44807</v>
      </c>
      <c r="AN56" s="82">
        <f t="shared" si="12"/>
        <v>44814</v>
      </c>
      <c r="AO56" s="82">
        <f t="shared" si="12"/>
        <v>44821</v>
      </c>
      <c r="AP56" s="82">
        <f t="shared" si="12"/>
        <v>44828</v>
      </c>
      <c r="AQ56" s="82">
        <f t="shared" si="12"/>
        <v>44835</v>
      </c>
      <c r="AR56" s="82">
        <f t="shared" si="12"/>
        <v>44842</v>
      </c>
      <c r="AS56" s="82">
        <f t="shared" si="12"/>
        <v>44849</v>
      </c>
      <c r="AT56" s="82">
        <f t="shared" si="12"/>
        <v>44856</v>
      </c>
      <c r="AU56" s="82">
        <f t="shared" si="12"/>
        <v>44863</v>
      </c>
      <c r="AV56" s="82">
        <f t="shared" si="12"/>
        <v>44870</v>
      </c>
      <c r="AW56" s="82">
        <f t="shared" si="12"/>
        <v>44877</v>
      </c>
      <c r="AX56" s="82">
        <f t="shared" si="12"/>
        <v>44884</v>
      </c>
      <c r="AY56" s="82">
        <f t="shared" si="12"/>
        <v>44891</v>
      </c>
      <c r="AZ56" s="82">
        <f t="shared" si="12"/>
        <v>44898</v>
      </c>
      <c r="BA56" s="82">
        <f t="shared" si="12"/>
        <v>44905</v>
      </c>
      <c r="BB56" s="82">
        <f t="shared" si="12"/>
        <v>44912</v>
      </c>
      <c r="BC56" s="82">
        <f t="shared" si="12"/>
        <v>44919</v>
      </c>
      <c r="BD56" s="82">
        <f t="shared" si="12"/>
        <v>44926</v>
      </c>
    </row>
    <row r="57" spans="3:56" x14ac:dyDescent="0.25">
      <c r="C57" s="105" t="s">
        <v>19</v>
      </c>
      <c r="D57" s="41" t="s">
        <v>21</v>
      </c>
      <c r="E57" s="70">
        <v>15119.395200000003</v>
      </c>
      <c r="F57" s="70">
        <v>11547.8272</v>
      </c>
      <c r="G57" s="70">
        <v>9509</v>
      </c>
      <c r="H57" s="70">
        <v>9016</v>
      </c>
      <c r="I57" s="70">
        <v>8746</v>
      </c>
      <c r="J57" s="70">
        <v>8324</v>
      </c>
      <c r="K57" s="70">
        <v>7172</v>
      </c>
      <c r="L57" s="70">
        <v>7020.1600000000008</v>
      </c>
      <c r="M57" s="70">
        <v>7213.920000000001</v>
      </c>
      <c r="N57" s="70">
        <v>8353.52</v>
      </c>
      <c r="O57" s="70">
        <v>10003.84</v>
      </c>
      <c r="P57" s="70">
        <v>9975.2800000000007</v>
      </c>
      <c r="Q57" s="70">
        <v>8148.0000000000009</v>
      </c>
      <c r="R57" s="70">
        <v>7719.04</v>
      </c>
      <c r="S57" s="70">
        <v>7729.1200000000008</v>
      </c>
      <c r="T57" s="70">
        <v>8547.84</v>
      </c>
      <c r="U57" s="70">
        <v>8333.36</v>
      </c>
      <c r="V57" s="70">
        <v>9636.4800000000014</v>
      </c>
      <c r="W57" s="70">
        <v>9477.44</v>
      </c>
      <c r="X57" s="70">
        <v>9303.2800000000007</v>
      </c>
      <c r="Y57" s="70">
        <v>9056.880000000001</v>
      </c>
      <c r="Z57" s="70">
        <v>7813.1200000000008</v>
      </c>
      <c r="AA57" s="70">
        <v>9679.6</v>
      </c>
      <c r="AB57" s="70">
        <v>9133.6</v>
      </c>
      <c r="AC57" s="70">
        <v>8635.2000000000007</v>
      </c>
      <c r="AD57" s="70">
        <v>7442.9600000000009</v>
      </c>
      <c r="AE57" s="70">
        <v>6489.84</v>
      </c>
      <c r="AF57" s="70">
        <v>7263.2000000000007</v>
      </c>
      <c r="AG57" s="70">
        <v>6524.56</v>
      </c>
      <c r="AH57" s="70">
        <v>7767.2000000000007</v>
      </c>
      <c r="AI57" s="70">
        <v>8019.7600000000011</v>
      </c>
      <c r="AJ57" s="70">
        <v>9020.4800000000014</v>
      </c>
      <c r="AK57" s="70">
        <v>9422</v>
      </c>
      <c r="AL57" s="70">
        <v>9318.9600000000009</v>
      </c>
      <c r="AM57" s="70">
        <v>8487.3111873428952</v>
      </c>
      <c r="AN57" s="70">
        <v>7508.2528998000598</v>
      </c>
      <c r="AO57" s="70">
        <v>7644.0589136284143</v>
      </c>
      <c r="AP57" s="70">
        <v>8011.0692653458227</v>
      </c>
      <c r="AQ57" s="70">
        <v>8715.9681112007729</v>
      </c>
      <c r="AR57" s="70">
        <v>8115.4827706279884</v>
      </c>
      <c r="AS57" s="70">
        <v>8568.9541405349337</v>
      </c>
      <c r="AT57" s="70">
        <v>8833.5519919001435</v>
      </c>
      <c r="AU57" s="70">
        <v>9363.9240320795871</v>
      </c>
      <c r="AV57" s="70">
        <v>10832.777391003488</v>
      </c>
      <c r="AW57" s="70">
        <v>11581.993488793343</v>
      </c>
      <c r="AX57" s="70">
        <v>11357.898457137544</v>
      </c>
      <c r="AY57" s="70">
        <v>27045.835352074995</v>
      </c>
      <c r="AZ57" s="70">
        <v>37754.61936728358</v>
      </c>
      <c r="BA57" s="70">
        <v>32778.233480457347</v>
      </c>
      <c r="BB57" s="70">
        <v>27250.093805326745</v>
      </c>
      <c r="BC57" s="70">
        <v>15356.742713653124</v>
      </c>
      <c r="BD57" s="70">
        <v>13817.294431076683</v>
      </c>
    </row>
    <row r="58" spans="3:56" x14ac:dyDescent="0.25">
      <c r="C58" s="106"/>
      <c r="D58" s="41" t="s">
        <v>22</v>
      </c>
      <c r="E58" s="70">
        <v>700</v>
      </c>
      <c r="F58" s="70">
        <v>700</v>
      </c>
      <c r="G58" s="70">
        <v>620</v>
      </c>
      <c r="H58" s="70">
        <v>620</v>
      </c>
      <c r="I58" s="70">
        <v>620</v>
      </c>
      <c r="J58" s="70">
        <v>620</v>
      </c>
      <c r="K58" s="70">
        <v>620</v>
      </c>
      <c r="L58" s="70">
        <v>620</v>
      </c>
      <c r="M58" s="70">
        <v>620</v>
      </c>
      <c r="N58" s="70">
        <v>620</v>
      </c>
      <c r="O58" s="70">
        <v>620</v>
      </c>
      <c r="P58" s="70">
        <v>600</v>
      </c>
      <c r="Q58" s="70">
        <v>600</v>
      </c>
      <c r="R58" s="70">
        <v>600</v>
      </c>
      <c r="S58" s="70">
        <v>600</v>
      </c>
      <c r="T58" s="70">
        <v>600</v>
      </c>
      <c r="U58" s="70">
        <v>600</v>
      </c>
      <c r="V58" s="70">
        <v>600</v>
      </c>
      <c r="W58" s="70">
        <v>600</v>
      </c>
      <c r="X58" s="70">
        <v>600</v>
      </c>
      <c r="Y58" s="70">
        <v>600</v>
      </c>
      <c r="Z58" s="70">
        <v>600</v>
      </c>
      <c r="AA58" s="70">
        <v>600</v>
      </c>
      <c r="AB58" s="70">
        <v>600</v>
      </c>
      <c r="AC58" s="70">
        <v>600</v>
      </c>
      <c r="AD58" s="70">
        <v>600</v>
      </c>
      <c r="AE58" s="70">
        <v>600</v>
      </c>
      <c r="AF58" s="70">
        <v>600</v>
      </c>
      <c r="AG58" s="70">
        <v>600</v>
      </c>
      <c r="AH58" s="70">
        <v>600</v>
      </c>
      <c r="AI58" s="70">
        <v>600</v>
      </c>
      <c r="AJ58" s="70">
        <v>600</v>
      </c>
      <c r="AK58" s="70">
        <v>600</v>
      </c>
      <c r="AL58" s="70">
        <v>600</v>
      </c>
      <c r="AM58" s="70">
        <v>600</v>
      </c>
      <c r="AN58" s="70">
        <v>600</v>
      </c>
      <c r="AO58" s="70">
        <v>600</v>
      </c>
      <c r="AP58" s="70">
        <v>600</v>
      </c>
      <c r="AQ58" s="70">
        <v>600</v>
      </c>
      <c r="AR58" s="70">
        <v>600</v>
      </c>
      <c r="AS58" s="70">
        <v>600</v>
      </c>
      <c r="AT58" s="70">
        <v>600</v>
      </c>
      <c r="AU58" s="70">
        <v>600</v>
      </c>
      <c r="AV58" s="70">
        <v>700</v>
      </c>
      <c r="AW58" s="70">
        <v>700</v>
      </c>
      <c r="AX58" s="70">
        <v>700</v>
      </c>
      <c r="AY58" s="70">
        <v>700</v>
      </c>
      <c r="AZ58" s="70">
        <v>700</v>
      </c>
      <c r="BA58" s="70">
        <v>700</v>
      </c>
      <c r="BB58" s="70">
        <v>700</v>
      </c>
      <c r="BC58" s="70">
        <v>700</v>
      </c>
      <c r="BD58" s="70">
        <v>700</v>
      </c>
    </row>
    <row r="59" spans="3:56" x14ac:dyDescent="0.25">
      <c r="C59" s="106"/>
      <c r="D59" s="41" t="s">
        <v>30</v>
      </c>
      <c r="E59" s="68">
        <v>0.75</v>
      </c>
      <c r="F59" s="68">
        <v>0.75</v>
      </c>
      <c r="G59" s="68">
        <v>0.75</v>
      </c>
      <c r="H59" s="68">
        <v>0.75</v>
      </c>
      <c r="I59" s="68">
        <v>0.75</v>
      </c>
      <c r="J59" s="68">
        <v>0.75</v>
      </c>
      <c r="K59" s="68">
        <v>0.75</v>
      </c>
      <c r="L59" s="68">
        <v>0.75</v>
      </c>
      <c r="M59" s="68">
        <v>0.75</v>
      </c>
      <c r="N59" s="68">
        <v>0.75</v>
      </c>
      <c r="O59" s="68">
        <v>0.75</v>
      </c>
      <c r="P59" s="68">
        <v>0.75</v>
      </c>
      <c r="Q59" s="68">
        <v>0.75</v>
      </c>
      <c r="R59" s="68">
        <v>0.75</v>
      </c>
      <c r="S59" s="68">
        <v>0.75</v>
      </c>
      <c r="T59" s="68">
        <v>0.75</v>
      </c>
      <c r="U59" s="68">
        <v>0.75</v>
      </c>
      <c r="V59" s="68">
        <v>0.75</v>
      </c>
      <c r="W59" s="68">
        <v>0.75</v>
      </c>
      <c r="X59" s="68">
        <v>0.75</v>
      </c>
      <c r="Y59" s="68">
        <v>0.75</v>
      </c>
      <c r="Z59" s="68">
        <v>0.75</v>
      </c>
      <c r="AA59" s="68">
        <v>0.75</v>
      </c>
      <c r="AB59" s="68">
        <v>0.75</v>
      </c>
      <c r="AC59" s="68">
        <v>0.75</v>
      </c>
      <c r="AD59" s="68">
        <v>0.75</v>
      </c>
      <c r="AE59" s="68">
        <v>0.75</v>
      </c>
      <c r="AF59" s="68">
        <v>0.75</v>
      </c>
      <c r="AG59" s="68">
        <v>0.75</v>
      </c>
      <c r="AH59" s="68">
        <v>0.75</v>
      </c>
      <c r="AI59" s="68">
        <v>0.75</v>
      </c>
      <c r="AJ59" s="68">
        <v>0.75</v>
      </c>
      <c r="AK59" s="68">
        <v>0.75</v>
      </c>
      <c r="AL59" s="68">
        <v>0.75</v>
      </c>
      <c r="AM59" s="68">
        <v>0.75</v>
      </c>
      <c r="AN59" s="68">
        <v>0.75</v>
      </c>
      <c r="AO59" s="68">
        <v>0.75</v>
      </c>
      <c r="AP59" s="68">
        <v>0.75</v>
      </c>
      <c r="AQ59" s="68">
        <v>0.75</v>
      </c>
      <c r="AR59" s="68">
        <v>0.75</v>
      </c>
      <c r="AS59" s="68">
        <v>0.75</v>
      </c>
      <c r="AT59" s="68">
        <v>0.75</v>
      </c>
      <c r="AU59" s="68">
        <v>0.75</v>
      </c>
      <c r="AV59" s="68">
        <v>0.75</v>
      </c>
      <c r="AW59" s="68">
        <v>0.75</v>
      </c>
      <c r="AX59" s="68">
        <v>0.75</v>
      </c>
      <c r="AY59" s="68">
        <v>0.79</v>
      </c>
      <c r="AZ59" s="68">
        <v>0.79999999999999993</v>
      </c>
      <c r="BA59" s="68">
        <v>0.78</v>
      </c>
      <c r="BB59" s="68">
        <v>0.77</v>
      </c>
      <c r="BC59" s="68">
        <v>0.75</v>
      </c>
      <c r="BD59" s="68">
        <v>0.75</v>
      </c>
    </row>
    <row r="60" spans="3:56" x14ac:dyDescent="0.25">
      <c r="C60" s="106"/>
      <c r="D60" s="41" t="s">
        <v>31</v>
      </c>
      <c r="E60" s="68">
        <v>0.22</v>
      </c>
      <c r="F60" s="68">
        <v>0.22</v>
      </c>
      <c r="G60" s="68">
        <v>0.22</v>
      </c>
      <c r="H60" s="68">
        <v>0.22</v>
      </c>
      <c r="I60" s="68">
        <v>0.22</v>
      </c>
      <c r="J60" s="68">
        <v>0.22</v>
      </c>
      <c r="K60" s="68">
        <v>0.22</v>
      </c>
      <c r="L60" s="68">
        <v>0.22</v>
      </c>
      <c r="M60" s="68">
        <v>0.22</v>
      </c>
      <c r="N60" s="68">
        <v>0.22</v>
      </c>
      <c r="O60" s="68">
        <v>0.22</v>
      </c>
      <c r="P60" s="68">
        <v>0.22</v>
      </c>
      <c r="Q60" s="68">
        <v>0.23250000000000001</v>
      </c>
      <c r="R60" s="68">
        <v>0.26</v>
      </c>
      <c r="S60" s="68">
        <v>0.26</v>
      </c>
      <c r="T60" s="68">
        <v>0.26</v>
      </c>
      <c r="U60" s="68">
        <v>0.26</v>
      </c>
      <c r="V60" s="68">
        <v>0.26</v>
      </c>
      <c r="W60" s="68">
        <v>0.26</v>
      </c>
      <c r="X60" s="68">
        <v>0.28000000000000003</v>
      </c>
      <c r="Y60" s="68">
        <v>0.28000000000000003</v>
      </c>
      <c r="Z60" s="68">
        <v>0.28000000000000003</v>
      </c>
      <c r="AA60" s="68">
        <v>0.28000000000000003</v>
      </c>
      <c r="AB60" s="68">
        <v>0.28000000000000003</v>
      </c>
      <c r="AC60" s="68">
        <v>0.28000000000000003</v>
      </c>
      <c r="AD60" s="68">
        <v>0.26</v>
      </c>
      <c r="AE60" s="68">
        <v>0.27</v>
      </c>
      <c r="AF60" s="68">
        <v>0.27</v>
      </c>
      <c r="AG60" s="68">
        <v>0.27</v>
      </c>
      <c r="AH60" s="68">
        <v>0.27</v>
      </c>
      <c r="AI60" s="68">
        <v>0.27</v>
      </c>
      <c r="AJ60" s="68">
        <v>0.27</v>
      </c>
      <c r="AK60" s="68">
        <v>0.27</v>
      </c>
      <c r="AL60" s="68">
        <v>0.27</v>
      </c>
      <c r="AM60" s="68">
        <v>0.27</v>
      </c>
      <c r="AN60" s="68">
        <v>0.27</v>
      </c>
      <c r="AO60" s="68">
        <v>0.27</v>
      </c>
      <c r="AP60" s="68">
        <v>0.27</v>
      </c>
      <c r="AQ60" s="68">
        <v>0.27</v>
      </c>
      <c r="AR60" s="68">
        <v>0.26</v>
      </c>
      <c r="AS60" s="68">
        <v>0.26</v>
      </c>
      <c r="AT60" s="68">
        <v>0.26</v>
      </c>
      <c r="AU60" s="68">
        <v>0.26</v>
      </c>
      <c r="AV60" s="68">
        <v>0.26</v>
      </c>
      <c r="AW60" s="68">
        <v>0.26</v>
      </c>
      <c r="AX60" s="68">
        <v>0.26</v>
      </c>
      <c r="AY60" s="68">
        <v>0.26</v>
      </c>
      <c r="AZ60" s="68">
        <v>0.26</v>
      </c>
      <c r="BA60" s="68">
        <v>0.26</v>
      </c>
      <c r="BB60" s="68">
        <v>0.26</v>
      </c>
      <c r="BC60" s="68">
        <v>0.26</v>
      </c>
      <c r="BD60" s="68">
        <v>0.26</v>
      </c>
    </row>
    <row r="61" spans="3:56" x14ac:dyDescent="0.25">
      <c r="C61" s="106"/>
      <c r="D61" s="41" t="s">
        <v>24</v>
      </c>
      <c r="E61" s="69">
        <v>2</v>
      </c>
      <c r="F61" s="69">
        <v>2</v>
      </c>
      <c r="G61" s="69">
        <v>2</v>
      </c>
      <c r="H61" s="69">
        <v>2</v>
      </c>
      <c r="I61" s="69">
        <v>2</v>
      </c>
      <c r="J61" s="69">
        <v>2</v>
      </c>
      <c r="K61" s="69">
        <v>2</v>
      </c>
      <c r="L61" s="69">
        <v>2</v>
      </c>
      <c r="M61" s="69">
        <v>2</v>
      </c>
      <c r="N61" s="69">
        <v>2</v>
      </c>
      <c r="O61" s="69">
        <v>2</v>
      </c>
      <c r="P61" s="69">
        <v>2</v>
      </c>
      <c r="Q61" s="69">
        <v>2</v>
      </c>
      <c r="R61" s="69">
        <v>2</v>
      </c>
      <c r="S61" s="69">
        <v>2</v>
      </c>
      <c r="T61" s="69">
        <v>2</v>
      </c>
      <c r="U61" s="69">
        <v>2</v>
      </c>
      <c r="V61" s="69">
        <v>2</v>
      </c>
      <c r="W61" s="69">
        <v>2</v>
      </c>
      <c r="X61" s="69">
        <v>2</v>
      </c>
      <c r="Y61" s="69">
        <v>2</v>
      </c>
      <c r="Z61" s="69">
        <v>2</v>
      </c>
      <c r="AA61" s="69">
        <v>2.6</v>
      </c>
      <c r="AB61" s="69">
        <v>2.6</v>
      </c>
      <c r="AC61" s="69">
        <v>2.6</v>
      </c>
      <c r="AD61" s="69">
        <v>2</v>
      </c>
      <c r="AE61" s="69">
        <v>2</v>
      </c>
      <c r="AF61" s="69">
        <v>2</v>
      </c>
      <c r="AG61" s="69">
        <v>2</v>
      </c>
      <c r="AH61" s="69">
        <v>2</v>
      </c>
      <c r="AI61" s="69">
        <v>2</v>
      </c>
      <c r="AJ61" s="69">
        <v>2</v>
      </c>
      <c r="AK61" s="69">
        <v>2</v>
      </c>
      <c r="AL61" s="69">
        <v>2</v>
      </c>
      <c r="AM61" s="69">
        <v>2</v>
      </c>
      <c r="AN61" s="69">
        <v>2</v>
      </c>
      <c r="AO61" s="69">
        <v>2</v>
      </c>
      <c r="AP61" s="69">
        <v>2</v>
      </c>
      <c r="AQ61" s="69">
        <v>2</v>
      </c>
      <c r="AR61" s="69">
        <v>2</v>
      </c>
      <c r="AS61" s="69">
        <v>2</v>
      </c>
      <c r="AT61" s="69">
        <v>2</v>
      </c>
      <c r="AU61" s="69">
        <v>2</v>
      </c>
      <c r="AV61" s="69">
        <v>2</v>
      </c>
      <c r="AW61" s="69">
        <v>2</v>
      </c>
      <c r="AX61" s="69">
        <v>2</v>
      </c>
      <c r="AY61" s="69">
        <v>2.6</v>
      </c>
      <c r="AZ61" s="69">
        <v>2.6</v>
      </c>
      <c r="BA61" s="69">
        <v>2.2000000000000002</v>
      </c>
      <c r="BB61" s="69">
        <v>2.2000000000000002</v>
      </c>
      <c r="BC61" s="69">
        <v>2.2000000000000002</v>
      </c>
      <c r="BD61" s="69">
        <v>2.2000000000000002</v>
      </c>
    </row>
    <row r="62" spans="3:56" x14ac:dyDescent="0.25">
      <c r="C62" s="106"/>
      <c r="D62" s="41" t="s">
        <v>33</v>
      </c>
      <c r="E62" s="83">
        <f>(E57*E58)/3600/40/E59/(1-E60)/E61</f>
        <v>62.818000000000012</v>
      </c>
      <c r="F62" s="83">
        <f t="shared" ref="F62:BD62" si="13">(F57*F58)/3600/40/F59/(1-F60)/F61</f>
        <v>47.978864197530868</v>
      </c>
      <c r="G62" s="83">
        <f t="shared" si="13"/>
        <v>34.992758784425455</v>
      </c>
      <c r="H62" s="83">
        <f t="shared" si="13"/>
        <v>33.178537511870843</v>
      </c>
      <c r="I62" s="83">
        <f t="shared" si="13"/>
        <v>32.184947768281091</v>
      </c>
      <c r="J62" s="83">
        <f t="shared" si="13"/>
        <v>30.632003798670468</v>
      </c>
      <c r="K62" s="83">
        <f t="shared" si="13"/>
        <v>26.392687559354222</v>
      </c>
      <c r="L62" s="83">
        <f t="shared" si="13"/>
        <v>25.833922127255462</v>
      </c>
      <c r="M62" s="83">
        <f t="shared" si="13"/>
        <v>26.546951566951567</v>
      </c>
      <c r="N62" s="84">
        <f t="shared" si="13"/>
        <v>30.740636277302944</v>
      </c>
      <c r="O62" s="83">
        <f t="shared" si="13"/>
        <v>36.813751187084513</v>
      </c>
      <c r="P62" s="83">
        <f t="shared" si="13"/>
        <v>35.524501424501423</v>
      </c>
      <c r="Q62" s="83">
        <f t="shared" si="13"/>
        <v>29.489685124864284</v>
      </c>
      <c r="R62" s="83">
        <f t="shared" si="13"/>
        <v>28.975375375375375</v>
      </c>
      <c r="S62" s="83">
        <f t="shared" si="13"/>
        <v>29.01321321321322</v>
      </c>
      <c r="T62" s="83">
        <f t="shared" si="13"/>
        <v>32.086486486486486</v>
      </c>
      <c r="U62" s="83">
        <f t="shared" si="13"/>
        <v>31.281381381381387</v>
      </c>
      <c r="V62" s="83">
        <f t="shared" si="13"/>
        <v>36.172972972972971</v>
      </c>
      <c r="W62" s="83">
        <f t="shared" si="13"/>
        <v>35.575975975975979</v>
      </c>
      <c r="X62" s="83">
        <f t="shared" si="13"/>
        <v>35.892283950617283</v>
      </c>
      <c r="Y62" s="83">
        <f t="shared" si="13"/>
        <v>34.941666666666677</v>
      </c>
      <c r="Z62" s="83">
        <f t="shared" si="13"/>
        <v>30.143209876543217</v>
      </c>
      <c r="AA62" s="83">
        <f t="shared" si="13"/>
        <v>28.726258309591639</v>
      </c>
      <c r="AB62" s="83">
        <f t="shared" si="13"/>
        <v>27.105887939221269</v>
      </c>
      <c r="AC62" s="83">
        <f t="shared" si="13"/>
        <v>25.626780626780626</v>
      </c>
      <c r="AD62" s="83">
        <f t="shared" si="13"/>
        <v>27.939039039039042</v>
      </c>
      <c r="AE62" s="83">
        <f t="shared" si="13"/>
        <v>24.694977168949773</v>
      </c>
      <c r="AF62" s="83">
        <f t="shared" si="13"/>
        <v>27.637747336377473</v>
      </c>
      <c r="AG62" s="83">
        <f t="shared" si="13"/>
        <v>24.827092846270929</v>
      </c>
      <c r="AH62" s="83">
        <f t="shared" si="13"/>
        <v>29.555555555555554</v>
      </c>
      <c r="AI62" s="83">
        <f t="shared" si="13"/>
        <v>30.516590563165913</v>
      </c>
      <c r="AJ62" s="83">
        <f t="shared" si="13"/>
        <v>34.324505327245056</v>
      </c>
      <c r="AK62" s="83">
        <f t="shared" si="13"/>
        <v>35.852359208523588</v>
      </c>
      <c r="AL62" s="83">
        <f t="shared" si="13"/>
        <v>35.460273972602749</v>
      </c>
      <c r="AM62" s="83">
        <f t="shared" si="13"/>
        <v>32.295704670254544</v>
      </c>
      <c r="AN62" s="83">
        <f t="shared" si="13"/>
        <v>28.570216513698856</v>
      </c>
      <c r="AO62" s="83">
        <f t="shared" si="13"/>
        <v>29.086982167535826</v>
      </c>
      <c r="AP62" s="83">
        <f t="shared" si="13"/>
        <v>30.483520796597496</v>
      </c>
      <c r="AQ62" s="83">
        <f t="shared" si="13"/>
        <v>33.165784289196246</v>
      </c>
      <c r="AR62" s="83">
        <f t="shared" si="13"/>
        <v>30.463523913768725</v>
      </c>
      <c r="AS62" s="83">
        <f t="shared" si="13"/>
        <v>32.165743770776771</v>
      </c>
      <c r="AT62" s="83">
        <f t="shared" si="13"/>
        <v>33.158978948574116</v>
      </c>
      <c r="AU62" s="83">
        <f t="shared" si="13"/>
        <v>35.149864985283735</v>
      </c>
      <c r="AV62" s="83">
        <f t="shared" si="13"/>
        <v>47.440841927567831</v>
      </c>
      <c r="AW62" s="83">
        <f t="shared" si="13"/>
        <v>50.721943456927811</v>
      </c>
      <c r="AX62" s="83">
        <f t="shared" si="13"/>
        <v>49.740546296273024</v>
      </c>
      <c r="AY62" s="83">
        <f t="shared" si="13"/>
        <v>86.497546474416069</v>
      </c>
      <c r="AZ62" s="83">
        <f t="shared" si="13"/>
        <v>119.23687610581662</v>
      </c>
      <c r="BA62" s="83">
        <f t="shared" si="13"/>
        <v>125.47930052167631</v>
      </c>
      <c r="BB62" s="83">
        <f t="shared" si="13"/>
        <v>105.67163420649503</v>
      </c>
      <c r="BC62" s="83">
        <f t="shared" si="13"/>
        <v>61.139093067824561</v>
      </c>
      <c r="BD62" s="83">
        <f t="shared" si="13"/>
        <v>55.010158463882497</v>
      </c>
    </row>
    <row r="63" spans="3:56" x14ac:dyDescent="0.25">
      <c r="C63" s="106"/>
      <c r="E63" s="44"/>
      <c r="F63" s="44"/>
      <c r="G63" s="44"/>
      <c r="H63" s="44"/>
      <c r="I63" s="44"/>
      <c r="J63" s="44"/>
      <c r="K63" s="44"/>
      <c r="L63" s="44"/>
      <c r="M63" s="44"/>
    </row>
    <row r="64" spans="3:56" x14ac:dyDescent="0.25">
      <c r="C64" s="106"/>
      <c r="D64" s="49" t="s">
        <v>34</v>
      </c>
      <c r="E64" s="65">
        <v>0</v>
      </c>
      <c r="F64" s="65">
        <v>0</v>
      </c>
      <c r="G64" s="65">
        <v>0</v>
      </c>
      <c r="H64" s="65">
        <v>0</v>
      </c>
      <c r="I64" s="65">
        <v>0</v>
      </c>
      <c r="J64" s="65">
        <v>0</v>
      </c>
      <c r="K64" s="65">
        <v>0</v>
      </c>
      <c r="L64" s="65">
        <v>0</v>
      </c>
      <c r="M64" s="65">
        <v>0</v>
      </c>
      <c r="N64" s="65">
        <v>0</v>
      </c>
      <c r="O64" s="65">
        <v>0</v>
      </c>
      <c r="P64" s="65">
        <v>0</v>
      </c>
      <c r="Q64" s="65">
        <v>0</v>
      </c>
      <c r="R64" s="65">
        <v>0</v>
      </c>
      <c r="S64" s="65">
        <v>0</v>
      </c>
      <c r="T64" s="65">
        <v>0</v>
      </c>
      <c r="U64" s="65">
        <v>0</v>
      </c>
      <c r="V64" s="65">
        <v>0</v>
      </c>
      <c r="W64" s="65">
        <v>0</v>
      </c>
      <c r="X64" s="65">
        <v>0</v>
      </c>
      <c r="Y64" s="65">
        <v>0</v>
      </c>
      <c r="Z64" s="65">
        <v>0</v>
      </c>
      <c r="AA64" s="65">
        <v>0</v>
      </c>
      <c r="AB64" s="65">
        <v>0</v>
      </c>
      <c r="AC64" s="65">
        <v>0</v>
      </c>
      <c r="AD64" s="65">
        <v>0</v>
      </c>
      <c r="AE64" s="65">
        <v>0</v>
      </c>
      <c r="AF64" s="65">
        <v>0</v>
      </c>
      <c r="AG64" s="65">
        <v>0</v>
      </c>
      <c r="AH64" s="65">
        <v>0</v>
      </c>
      <c r="AI64" s="65">
        <v>0</v>
      </c>
      <c r="AJ64" s="65">
        <v>0</v>
      </c>
      <c r="AK64" s="65">
        <v>0</v>
      </c>
      <c r="AL64" s="65">
        <v>0</v>
      </c>
      <c r="AM64" s="65">
        <v>0</v>
      </c>
      <c r="AN64" s="65">
        <v>0</v>
      </c>
      <c r="AO64" s="65">
        <v>0</v>
      </c>
      <c r="AP64" s="65">
        <v>0</v>
      </c>
      <c r="AQ64" s="65">
        <v>0</v>
      </c>
      <c r="AR64" s="65">
        <v>0</v>
      </c>
      <c r="AS64" s="65">
        <v>0</v>
      </c>
      <c r="AT64" s="65">
        <v>0</v>
      </c>
      <c r="AU64" s="65">
        <v>0</v>
      </c>
      <c r="AV64" s="65">
        <v>0</v>
      </c>
      <c r="AW64" s="65">
        <v>0</v>
      </c>
      <c r="AX64" s="65">
        <v>0</v>
      </c>
      <c r="AY64" s="65">
        <v>0</v>
      </c>
      <c r="AZ64" s="65">
        <v>0</v>
      </c>
      <c r="BA64" s="65">
        <v>0</v>
      </c>
      <c r="BB64" s="65">
        <v>0</v>
      </c>
      <c r="BC64" s="65">
        <v>0</v>
      </c>
      <c r="BD64" s="65">
        <v>0</v>
      </c>
    </row>
    <row r="65" spans="3:56" x14ac:dyDescent="0.25">
      <c r="C65" s="106"/>
      <c r="D65" s="49" t="s">
        <v>35</v>
      </c>
      <c r="E65" s="65">
        <v>0</v>
      </c>
      <c r="F65" s="65">
        <v>0</v>
      </c>
      <c r="G65" s="65">
        <v>0</v>
      </c>
      <c r="H65" s="65">
        <v>0</v>
      </c>
      <c r="I65" s="65">
        <v>0</v>
      </c>
      <c r="J65" s="65">
        <v>0</v>
      </c>
      <c r="K65" s="65">
        <v>0</v>
      </c>
      <c r="L65" s="65">
        <v>0</v>
      </c>
      <c r="M65" s="65">
        <v>0</v>
      </c>
      <c r="N65" s="65">
        <v>0</v>
      </c>
      <c r="O65" s="65">
        <v>0</v>
      </c>
      <c r="P65" s="65">
        <v>0</v>
      </c>
      <c r="Q65" s="65">
        <v>0</v>
      </c>
      <c r="R65" s="65">
        <v>0</v>
      </c>
      <c r="S65" s="65">
        <v>0</v>
      </c>
      <c r="T65" s="65">
        <v>0</v>
      </c>
      <c r="U65" s="65">
        <v>0</v>
      </c>
      <c r="V65" s="65">
        <v>0</v>
      </c>
      <c r="W65" s="65">
        <v>0</v>
      </c>
      <c r="X65" s="65">
        <v>0</v>
      </c>
      <c r="Y65" s="65">
        <v>0</v>
      </c>
      <c r="Z65" s="65">
        <v>0</v>
      </c>
      <c r="AA65" s="65">
        <v>0</v>
      </c>
      <c r="AB65" s="65">
        <v>0</v>
      </c>
      <c r="AC65" s="65">
        <v>0</v>
      </c>
      <c r="AD65" s="65">
        <v>0</v>
      </c>
      <c r="AE65" s="65">
        <v>0</v>
      </c>
      <c r="AF65" s="65">
        <v>0</v>
      </c>
      <c r="AG65" s="65">
        <v>0</v>
      </c>
      <c r="AH65" s="65">
        <v>0</v>
      </c>
      <c r="AI65" s="65">
        <v>0</v>
      </c>
      <c r="AJ65" s="65">
        <v>0</v>
      </c>
      <c r="AK65" s="65">
        <v>0</v>
      </c>
      <c r="AL65" s="65">
        <v>0</v>
      </c>
      <c r="AM65" s="65">
        <v>0</v>
      </c>
      <c r="AN65" s="65">
        <v>0</v>
      </c>
      <c r="AO65" s="65">
        <v>0</v>
      </c>
      <c r="AP65" s="65">
        <v>0</v>
      </c>
      <c r="AQ65" s="65">
        <v>0</v>
      </c>
      <c r="AR65" s="65">
        <v>0</v>
      </c>
      <c r="AS65" s="65">
        <v>0</v>
      </c>
      <c r="AT65" s="65">
        <v>0</v>
      </c>
      <c r="AU65" s="65">
        <v>0</v>
      </c>
      <c r="AV65" s="65">
        <v>0</v>
      </c>
      <c r="AW65" s="65">
        <v>0</v>
      </c>
      <c r="AX65" s="65">
        <v>0</v>
      </c>
      <c r="AY65" s="65">
        <v>0</v>
      </c>
      <c r="AZ65" s="65">
        <v>0</v>
      </c>
      <c r="BA65" s="65">
        <v>0</v>
      </c>
      <c r="BB65" s="65">
        <v>0</v>
      </c>
      <c r="BC65" s="65">
        <v>0</v>
      </c>
      <c r="BD65" s="65">
        <v>0</v>
      </c>
    </row>
    <row r="66" spans="3:56" x14ac:dyDescent="0.25">
      <c r="C66" s="106"/>
      <c r="D66" s="49" t="s">
        <v>36</v>
      </c>
      <c r="E66" s="65">
        <v>0</v>
      </c>
      <c r="F66" s="65">
        <v>0</v>
      </c>
      <c r="G66" s="65">
        <v>0</v>
      </c>
      <c r="H66" s="65">
        <v>0</v>
      </c>
      <c r="I66" s="65">
        <v>0</v>
      </c>
      <c r="J66" s="65">
        <v>0</v>
      </c>
      <c r="K66" s="65">
        <v>0</v>
      </c>
      <c r="L66" s="65">
        <v>0</v>
      </c>
      <c r="M66" s="65">
        <v>0</v>
      </c>
      <c r="N66" s="65">
        <v>0</v>
      </c>
      <c r="O66" s="65">
        <v>0</v>
      </c>
      <c r="P66" s="65">
        <v>0</v>
      </c>
      <c r="Q66" s="65">
        <v>0</v>
      </c>
      <c r="R66" s="65">
        <v>0</v>
      </c>
      <c r="S66" s="65">
        <v>0</v>
      </c>
      <c r="T66" s="65">
        <v>0</v>
      </c>
      <c r="U66" s="65">
        <v>0</v>
      </c>
      <c r="V66" s="65">
        <v>0</v>
      </c>
      <c r="W66" s="65">
        <v>0</v>
      </c>
      <c r="X66" s="65">
        <v>0</v>
      </c>
      <c r="Y66" s="65">
        <v>0</v>
      </c>
      <c r="Z66" s="65">
        <v>0</v>
      </c>
      <c r="AA66" s="65">
        <v>0</v>
      </c>
      <c r="AB66" s="65">
        <v>0</v>
      </c>
      <c r="AC66" s="65">
        <v>0</v>
      </c>
      <c r="AD66" s="65">
        <v>0</v>
      </c>
      <c r="AE66" s="65">
        <v>0</v>
      </c>
      <c r="AF66" s="65">
        <v>0</v>
      </c>
      <c r="AG66" s="65">
        <v>0</v>
      </c>
      <c r="AH66" s="65">
        <v>0</v>
      </c>
      <c r="AI66" s="65">
        <v>0</v>
      </c>
      <c r="AJ66" s="65">
        <v>0</v>
      </c>
      <c r="AK66" s="65">
        <v>0</v>
      </c>
      <c r="AL66" s="65">
        <v>0</v>
      </c>
      <c r="AM66" s="65">
        <v>0</v>
      </c>
      <c r="AN66" s="65">
        <v>0</v>
      </c>
      <c r="AO66" s="65">
        <v>0</v>
      </c>
      <c r="AP66" s="65">
        <v>0</v>
      </c>
      <c r="AQ66" s="65">
        <v>0</v>
      </c>
      <c r="AR66" s="65">
        <v>0</v>
      </c>
      <c r="AS66" s="65">
        <v>0</v>
      </c>
      <c r="AT66" s="65">
        <v>0</v>
      </c>
      <c r="AU66" s="65">
        <v>0</v>
      </c>
      <c r="AV66" s="65">
        <v>0</v>
      </c>
      <c r="AW66" s="65">
        <v>0</v>
      </c>
      <c r="AX66" s="65">
        <v>0</v>
      </c>
      <c r="AY66" s="65">
        <v>0</v>
      </c>
      <c r="AZ66" s="65">
        <v>0</v>
      </c>
      <c r="BA66" s="65">
        <v>0</v>
      </c>
      <c r="BB66" s="65">
        <v>0</v>
      </c>
      <c r="BC66" s="65">
        <v>0</v>
      </c>
      <c r="BD66" s="65">
        <v>0</v>
      </c>
    </row>
    <row r="67" spans="3:56" x14ac:dyDescent="0.25">
      <c r="C67" s="106"/>
      <c r="D67" s="49" t="s">
        <v>37</v>
      </c>
      <c r="E67" s="65">
        <v>0</v>
      </c>
      <c r="F67" s="65">
        <v>0</v>
      </c>
      <c r="G67" s="65">
        <v>0</v>
      </c>
      <c r="H67" s="65">
        <v>0</v>
      </c>
      <c r="I67" s="65">
        <v>0</v>
      </c>
      <c r="J67" s="65">
        <v>0</v>
      </c>
      <c r="K67" s="65">
        <v>0</v>
      </c>
      <c r="L67" s="65">
        <v>0</v>
      </c>
      <c r="M67" s="65">
        <v>0</v>
      </c>
      <c r="N67" s="65">
        <v>0</v>
      </c>
      <c r="O67" s="65">
        <v>0</v>
      </c>
      <c r="P67" s="65">
        <v>0</v>
      </c>
      <c r="Q67" s="65">
        <v>0</v>
      </c>
      <c r="R67" s="65">
        <v>0</v>
      </c>
      <c r="S67" s="65">
        <v>0</v>
      </c>
      <c r="T67" s="65">
        <v>0</v>
      </c>
      <c r="U67" s="65">
        <v>0</v>
      </c>
      <c r="V67" s="65">
        <v>0</v>
      </c>
      <c r="W67" s="65">
        <v>0</v>
      </c>
      <c r="X67" s="65">
        <v>0</v>
      </c>
      <c r="Y67" s="65">
        <v>0</v>
      </c>
      <c r="Z67" s="65">
        <v>0</v>
      </c>
      <c r="AA67" s="65">
        <v>0</v>
      </c>
      <c r="AB67" s="65">
        <v>0</v>
      </c>
      <c r="AC67" s="65">
        <v>0</v>
      </c>
      <c r="AD67" s="65">
        <v>0</v>
      </c>
      <c r="AE67" s="65">
        <v>0</v>
      </c>
      <c r="AF67" s="65">
        <v>0</v>
      </c>
      <c r="AG67" s="65">
        <v>0</v>
      </c>
      <c r="AH67" s="65">
        <v>0</v>
      </c>
      <c r="AI67" s="65">
        <v>0</v>
      </c>
      <c r="AJ67" s="65">
        <v>0</v>
      </c>
      <c r="AK67" s="65">
        <v>0</v>
      </c>
      <c r="AL67" s="65">
        <v>0</v>
      </c>
      <c r="AM67" s="65">
        <v>0</v>
      </c>
      <c r="AN67" s="65">
        <v>0</v>
      </c>
      <c r="AO67" s="65">
        <v>0</v>
      </c>
      <c r="AP67" s="65">
        <v>0</v>
      </c>
      <c r="AQ67" s="65">
        <v>0</v>
      </c>
      <c r="AR67" s="65">
        <v>0</v>
      </c>
      <c r="AS67" s="65">
        <v>0</v>
      </c>
      <c r="AT67" s="65">
        <v>0</v>
      </c>
      <c r="AU67" s="65">
        <v>0</v>
      </c>
      <c r="AV67" s="65">
        <v>0</v>
      </c>
      <c r="AW67" s="65">
        <v>0</v>
      </c>
      <c r="AX67" s="65">
        <v>0</v>
      </c>
      <c r="AY67" s="65">
        <v>0</v>
      </c>
      <c r="AZ67" s="65">
        <v>0</v>
      </c>
      <c r="BA67" s="65">
        <v>0</v>
      </c>
      <c r="BB67" s="65">
        <v>0</v>
      </c>
      <c r="BC67" s="65">
        <v>0</v>
      </c>
      <c r="BD67" s="65">
        <v>0</v>
      </c>
    </row>
    <row r="68" spans="3:56" x14ac:dyDescent="0.25">
      <c r="C68" s="106"/>
      <c r="D68" s="49" t="s">
        <v>38</v>
      </c>
      <c r="E68" s="65">
        <v>0</v>
      </c>
      <c r="F68" s="65">
        <v>0</v>
      </c>
      <c r="G68" s="65">
        <v>0</v>
      </c>
      <c r="H68" s="65">
        <v>0</v>
      </c>
      <c r="I68" s="65">
        <v>0</v>
      </c>
      <c r="J68" s="65">
        <v>0</v>
      </c>
      <c r="K68" s="65">
        <v>0</v>
      </c>
      <c r="L68" s="65">
        <v>0</v>
      </c>
      <c r="M68" s="65">
        <v>0</v>
      </c>
      <c r="N68" s="65">
        <v>0</v>
      </c>
      <c r="O68" s="65">
        <v>0</v>
      </c>
      <c r="P68" s="65">
        <v>0</v>
      </c>
      <c r="Q68" s="65">
        <v>0</v>
      </c>
      <c r="R68" s="65">
        <v>0</v>
      </c>
      <c r="S68" s="65">
        <v>0</v>
      </c>
      <c r="T68" s="65">
        <v>0</v>
      </c>
      <c r="U68" s="65">
        <v>0</v>
      </c>
      <c r="V68" s="65">
        <v>0</v>
      </c>
      <c r="W68" s="65">
        <v>0</v>
      </c>
      <c r="X68" s="65">
        <v>0</v>
      </c>
      <c r="Y68" s="65">
        <v>0</v>
      </c>
      <c r="Z68" s="65">
        <v>0</v>
      </c>
      <c r="AA68" s="65">
        <v>0</v>
      </c>
      <c r="AB68" s="65">
        <v>0</v>
      </c>
      <c r="AC68" s="65">
        <v>0</v>
      </c>
      <c r="AD68" s="65">
        <v>0</v>
      </c>
      <c r="AE68" s="65">
        <v>0</v>
      </c>
      <c r="AF68" s="65">
        <v>0</v>
      </c>
      <c r="AG68" s="65">
        <v>0</v>
      </c>
      <c r="AH68" s="65">
        <v>0</v>
      </c>
      <c r="AI68" s="65">
        <v>0</v>
      </c>
      <c r="AJ68" s="65">
        <v>0</v>
      </c>
      <c r="AK68" s="65">
        <v>0</v>
      </c>
      <c r="AL68" s="65">
        <v>0</v>
      </c>
      <c r="AM68" s="65">
        <v>0</v>
      </c>
      <c r="AN68" s="65">
        <v>0</v>
      </c>
      <c r="AO68" s="65">
        <v>0</v>
      </c>
      <c r="AP68" s="65">
        <v>0</v>
      </c>
      <c r="AQ68" s="65">
        <v>0</v>
      </c>
      <c r="AR68" s="65">
        <v>0</v>
      </c>
      <c r="AS68" s="65">
        <v>0</v>
      </c>
      <c r="AT68" s="65">
        <v>0</v>
      </c>
      <c r="AU68" s="65">
        <v>0</v>
      </c>
      <c r="AV68" s="65">
        <v>0</v>
      </c>
      <c r="AW68" s="65">
        <v>0</v>
      </c>
      <c r="AX68" s="65">
        <v>0</v>
      </c>
      <c r="AY68" s="65">
        <v>0</v>
      </c>
      <c r="AZ68" s="65">
        <v>0</v>
      </c>
      <c r="BA68" s="65">
        <v>0</v>
      </c>
      <c r="BB68" s="65">
        <v>0</v>
      </c>
      <c r="BC68" s="65">
        <v>0</v>
      </c>
      <c r="BD68" s="65">
        <v>0</v>
      </c>
    </row>
    <row r="69" spans="3:56" x14ac:dyDescent="0.25">
      <c r="C69" s="106"/>
      <c r="D69" s="49" t="s">
        <v>39</v>
      </c>
      <c r="E69" s="65">
        <v>35</v>
      </c>
      <c r="F69" s="65">
        <v>27</v>
      </c>
      <c r="G69" s="65">
        <v>36</v>
      </c>
      <c r="H69" s="65">
        <v>29</v>
      </c>
      <c r="I69" s="65">
        <v>22</v>
      </c>
      <c r="J69" s="65">
        <v>21</v>
      </c>
      <c r="K69" s="65">
        <v>20</v>
      </c>
      <c r="L69" s="65">
        <v>21</v>
      </c>
      <c r="M69" s="65">
        <v>20</v>
      </c>
      <c r="N69" s="65">
        <v>19</v>
      </c>
      <c r="O69" s="65">
        <v>23</v>
      </c>
      <c r="P69" s="65">
        <v>22</v>
      </c>
      <c r="Q69" s="65">
        <v>22</v>
      </c>
      <c r="R69" s="65">
        <v>22</v>
      </c>
      <c r="S69" s="65">
        <v>22</v>
      </c>
      <c r="T69" s="65">
        <v>22</v>
      </c>
      <c r="U69" s="65">
        <v>22</v>
      </c>
      <c r="V69" s="65">
        <v>33</v>
      </c>
      <c r="W69" s="65">
        <v>33</v>
      </c>
      <c r="X69" s="65">
        <v>33</v>
      </c>
      <c r="Y69" s="65">
        <v>35.43</v>
      </c>
      <c r="Z69" s="65">
        <v>34.012799999999999</v>
      </c>
      <c r="AA69" s="65">
        <v>24.502607999999995</v>
      </c>
      <c r="AB69" s="65">
        <v>24.135068879999995</v>
      </c>
      <c r="AC69" s="65">
        <v>25.773042846799996</v>
      </c>
      <c r="AD69" s="65">
        <v>28.386447204097994</v>
      </c>
      <c r="AE69" s="65">
        <v>27.960650496036525</v>
      </c>
      <c r="AF69" s="65">
        <v>28.541240738595977</v>
      </c>
      <c r="AG69" s="65">
        <v>28.113122127517038</v>
      </c>
      <c r="AH69" s="65">
        <v>27.691425295604283</v>
      </c>
      <c r="AI69" s="65">
        <v>33.27605391617022</v>
      </c>
      <c r="AJ69" s="65">
        <v>33.776913107427667</v>
      </c>
      <c r="AK69" s="65">
        <v>33.270259410816251</v>
      </c>
      <c r="AL69" s="65">
        <v>35.771205519654011</v>
      </c>
      <c r="AM69" s="65">
        <v>35.234637436859202</v>
      </c>
      <c r="AN69" s="65">
        <v>33.706117875306312</v>
      </c>
      <c r="AO69" s="65">
        <v>33.200526107176714</v>
      </c>
      <c r="AP69" s="65">
        <v>32.702518215569064</v>
      </c>
      <c r="AQ69" s="65">
        <v>39.71198044233553</v>
      </c>
      <c r="AR69" s="65">
        <v>38.116300735700499</v>
      </c>
      <c r="AS69" s="65">
        <v>35.544556224664994</v>
      </c>
      <c r="AT69" s="65">
        <v>47.511387881295022</v>
      </c>
      <c r="AU69" s="65">
        <v>44.7987170630756</v>
      </c>
      <c r="AV69" s="65">
        <v>46.626736307129462</v>
      </c>
      <c r="AW69" s="65">
        <v>30.461067899451223</v>
      </c>
      <c r="AX69" s="65">
        <v>57.699541201964941</v>
      </c>
      <c r="AY69" s="65">
        <v>56.257052671915815</v>
      </c>
      <c r="AZ69" s="65">
        <v>51.850626355117917</v>
      </c>
      <c r="BA69" s="65">
        <v>55.258095037362018</v>
      </c>
      <c r="BB69" s="65">
        <v>56.495190285493919</v>
      </c>
      <c r="BC69" s="65">
        <v>67.67043077121923</v>
      </c>
      <c r="BD69" s="65">
        <v>64.286909232658275</v>
      </c>
    </row>
    <row r="70" spans="3:56" x14ac:dyDescent="0.25">
      <c r="C70" s="106"/>
      <c r="D70" s="49" t="s">
        <v>40</v>
      </c>
      <c r="E70" s="65">
        <v>22.5</v>
      </c>
      <c r="F70" s="65">
        <v>20.25</v>
      </c>
      <c r="G70" s="65">
        <v>15.75</v>
      </c>
      <c r="H70" s="65">
        <v>14.625</v>
      </c>
      <c r="I70" s="65">
        <v>14.625</v>
      </c>
      <c r="J70" s="65">
        <v>14.625</v>
      </c>
      <c r="K70" s="65">
        <v>14.625</v>
      </c>
      <c r="L70" s="65">
        <v>14.625</v>
      </c>
      <c r="M70" s="65">
        <v>13.5</v>
      </c>
      <c r="N70" s="65">
        <v>14.625</v>
      </c>
      <c r="O70" s="65">
        <v>14.625</v>
      </c>
      <c r="P70" s="65">
        <v>14.63</v>
      </c>
      <c r="Q70" s="65">
        <v>13.5</v>
      </c>
      <c r="R70" s="65">
        <v>13.5</v>
      </c>
      <c r="S70" s="65">
        <v>13.5</v>
      </c>
      <c r="T70" s="65">
        <v>12.375</v>
      </c>
      <c r="U70" s="65">
        <v>12.375</v>
      </c>
      <c r="V70" s="65">
        <v>12.375</v>
      </c>
      <c r="W70" s="65">
        <v>11.25</v>
      </c>
      <c r="X70" s="65">
        <v>11.25</v>
      </c>
      <c r="Y70" s="65">
        <v>10.8</v>
      </c>
      <c r="Z70" s="65">
        <v>10.368</v>
      </c>
      <c r="AA70" s="65">
        <v>10.212480000000001</v>
      </c>
      <c r="AB70" s="65">
        <v>10.059292800000001</v>
      </c>
      <c r="AC70" s="65">
        <v>9.9084034080000016</v>
      </c>
      <c r="AD70" s="65">
        <v>9.7597773568800008</v>
      </c>
      <c r="AE70" s="65">
        <v>9.6133806965268001</v>
      </c>
      <c r="AF70" s="65">
        <v>9.4691799860788972</v>
      </c>
      <c r="AG70" s="65">
        <v>9.3271422862877138</v>
      </c>
      <c r="AH70" s="65">
        <v>9.1872351519933986</v>
      </c>
      <c r="AI70" s="65">
        <v>9.0494266247134973</v>
      </c>
      <c r="AJ70" s="65">
        <v>8.9136852253427943</v>
      </c>
      <c r="AK70" s="65">
        <v>8.7799799469626532</v>
      </c>
      <c r="AL70" s="65">
        <v>8.6482802477582137</v>
      </c>
      <c r="AM70" s="65">
        <v>8.5185560440418406</v>
      </c>
      <c r="AN70" s="65">
        <v>8.3907777033812128</v>
      </c>
      <c r="AO70" s="65">
        <v>8.2649160378304938</v>
      </c>
      <c r="AP70" s="65">
        <v>8.1409422972630363</v>
      </c>
      <c r="AQ70" s="65">
        <v>8.0188281628040912</v>
      </c>
      <c r="AR70" s="65">
        <v>7.8985457403620298</v>
      </c>
      <c r="AS70" s="65">
        <v>7.7800675542565996</v>
      </c>
      <c r="AT70" s="65">
        <v>7.6633665409427509</v>
      </c>
      <c r="AU70" s="65">
        <v>7.5484160428286096</v>
      </c>
      <c r="AV70" s="65">
        <v>26.96643980218618</v>
      </c>
      <c r="AW70" s="65">
        <v>26.292278807131524</v>
      </c>
      <c r="AX70" s="65">
        <v>55.166221836953234</v>
      </c>
      <c r="AY70" s="65">
        <v>53.787066291029404</v>
      </c>
      <c r="AZ70" s="65">
        <v>52.44238963375367</v>
      </c>
      <c r="BA70" s="65">
        <v>49.820270152065987</v>
      </c>
      <c r="BB70" s="65">
        <v>47.329256644462689</v>
      </c>
      <c r="BC70" s="65">
        <v>44.962793812239553</v>
      </c>
      <c r="BD70" s="65">
        <v>42.714654121627575</v>
      </c>
    </row>
    <row r="71" spans="3:56" x14ac:dyDescent="0.25">
      <c r="C71" s="106"/>
      <c r="D71" s="50" t="s">
        <v>41</v>
      </c>
      <c r="E71" s="54">
        <f t="shared" ref="E71:BD71" si="14">(SUM(E64:E70)*E73)/((40*(1-E72)+40))</f>
        <v>0</v>
      </c>
      <c r="F71" s="54">
        <f t="shared" si="14"/>
        <v>0</v>
      </c>
      <c r="G71" s="54">
        <f t="shared" si="14"/>
        <v>0</v>
      </c>
      <c r="H71" s="54">
        <f t="shared" si="14"/>
        <v>-5.6902173913043477</v>
      </c>
      <c r="I71" s="54">
        <f t="shared" si="14"/>
        <v>0</v>
      </c>
      <c r="J71" s="54">
        <f t="shared" si="14"/>
        <v>0</v>
      </c>
      <c r="K71" s="54">
        <f t="shared" si="14"/>
        <v>-6.0217391304347823</v>
      </c>
      <c r="L71" s="54">
        <f t="shared" si="14"/>
        <v>-4.6467391304347823</v>
      </c>
      <c r="M71" s="54">
        <f t="shared" si="14"/>
        <v>-2.9130434782608696</v>
      </c>
      <c r="N71" s="54">
        <f t="shared" si="14"/>
        <v>0</v>
      </c>
      <c r="O71" s="54">
        <f t="shared" si="14"/>
        <v>3.2717391304347827</v>
      </c>
      <c r="P71" s="54">
        <f t="shared" si="14"/>
        <v>0</v>
      </c>
      <c r="Q71" s="54">
        <f t="shared" si="14"/>
        <v>0</v>
      </c>
      <c r="R71" s="54">
        <f t="shared" si="14"/>
        <v>0</v>
      </c>
      <c r="S71" s="54">
        <f t="shared" si="14"/>
        <v>0</v>
      </c>
      <c r="T71" s="54">
        <f t="shared" si="14"/>
        <v>0</v>
      </c>
      <c r="U71" s="54">
        <f t="shared" si="14"/>
        <v>5.9782608695652177</v>
      </c>
      <c r="V71" s="54">
        <f t="shared" si="14"/>
        <v>7.8913043478260869</v>
      </c>
      <c r="W71" s="54">
        <f t="shared" si="14"/>
        <v>7.6956521739130439</v>
      </c>
      <c r="X71" s="54">
        <f t="shared" si="14"/>
        <v>5.7717391304347823</v>
      </c>
      <c r="Y71" s="54">
        <f t="shared" si="14"/>
        <v>0</v>
      </c>
      <c r="Z71" s="54">
        <f t="shared" si="14"/>
        <v>-3.8592</v>
      </c>
      <c r="AA71" s="54">
        <f t="shared" si="14"/>
        <v>0</v>
      </c>
      <c r="AB71" s="54">
        <f t="shared" si="14"/>
        <v>0</v>
      </c>
      <c r="AC71" s="54">
        <f t="shared" si="14"/>
        <v>-0.77568361423478249</v>
      </c>
      <c r="AD71" s="54">
        <f t="shared" si="14"/>
        <v>-0.82926575132560865</v>
      </c>
      <c r="AE71" s="54">
        <f t="shared" si="14"/>
        <v>-3.267307060222898</v>
      </c>
      <c r="AF71" s="54">
        <f t="shared" si="14"/>
        <v>0</v>
      </c>
      <c r="AG71" s="54">
        <f t="shared" si="14"/>
        <v>0</v>
      </c>
      <c r="AH71" s="54">
        <f t="shared" si="14"/>
        <v>4.8102600583823065</v>
      </c>
      <c r="AI71" s="54">
        <f t="shared" si="14"/>
        <v>0</v>
      </c>
      <c r="AJ71" s="54">
        <f t="shared" si="14"/>
        <v>7.4244518839600806</v>
      </c>
      <c r="AK71" s="54">
        <f t="shared" si="14"/>
        <v>7.3130851057006794</v>
      </c>
      <c r="AL71" s="54">
        <f t="shared" si="14"/>
        <v>1.931281989887488</v>
      </c>
      <c r="AM71" s="54">
        <f t="shared" si="14"/>
        <v>0</v>
      </c>
      <c r="AN71" s="54">
        <f t="shared" si="14"/>
        <v>0</v>
      </c>
      <c r="AO71" s="54">
        <f t="shared" si="14"/>
        <v>0</v>
      </c>
      <c r="AP71" s="54">
        <f t="shared" si="14"/>
        <v>0</v>
      </c>
      <c r="AQ71" s="54">
        <f t="shared" si="14"/>
        <v>0</v>
      </c>
      <c r="AR71" s="54">
        <f t="shared" si="14"/>
        <v>0</v>
      </c>
      <c r="AS71" s="54">
        <f t="shared" si="14"/>
        <v>0</v>
      </c>
      <c r="AT71" s="54">
        <f t="shared" si="14"/>
        <v>0</v>
      </c>
      <c r="AU71" s="54">
        <f t="shared" si="14"/>
        <v>0</v>
      </c>
      <c r="AV71" s="54">
        <f t="shared" si="14"/>
        <v>0</v>
      </c>
      <c r="AW71" s="54">
        <f t="shared" si="14"/>
        <v>0</v>
      </c>
      <c r="AX71" s="54">
        <f t="shared" si="14"/>
        <v>0</v>
      </c>
      <c r="AY71" s="54">
        <f t="shared" si="14"/>
        <v>0</v>
      </c>
      <c r="AZ71" s="54">
        <f t="shared" si="14"/>
        <v>13.603436868113684</v>
      </c>
      <c r="BA71" s="54">
        <f t="shared" si="14"/>
        <v>18.274498293813568</v>
      </c>
      <c r="BB71" s="54">
        <f t="shared" si="14"/>
        <v>0</v>
      </c>
      <c r="BC71" s="54">
        <f t="shared" si="14"/>
        <v>0</v>
      </c>
      <c r="BD71" s="54">
        <f t="shared" si="14"/>
        <v>0</v>
      </c>
    </row>
    <row r="72" spans="3:56" x14ac:dyDescent="0.25">
      <c r="C72" s="106"/>
      <c r="D72" s="50" t="s">
        <v>42</v>
      </c>
      <c r="E72" s="67">
        <v>0.85</v>
      </c>
      <c r="F72" s="67">
        <v>0.85</v>
      </c>
      <c r="G72" s="67">
        <v>0.85</v>
      </c>
      <c r="H72" s="67">
        <v>0.85</v>
      </c>
      <c r="I72" s="67">
        <v>0.85</v>
      </c>
      <c r="J72" s="67">
        <v>0.85</v>
      </c>
      <c r="K72" s="67">
        <v>0.85</v>
      </c>
      <c r="L72" s="67">
        <v>0.85</v>
      </c>
      <c r="M72" s="67">
        <v>0.85</v>
      </c>
      <c r="N72" s="67">
        <v>0.85</v>
      </c>
      <c r="O72" s="67">
        <v>0.85</v>
      </c>
      <c r="P72" s="67">
        <v>0.85</v>
      </c>
      <c r="Q72" s="67">
        <v>0.85</v>
      </c>
      <c r="R72" s="67">
        <v>0.85</v>
      </c>
      <c r="S72" s="67">
        <v>0.85</v>
      </c>
      <c r="T72" s="67">
        <v>0.85</v>
      </c>
      <c r="U72" s="67">
        <v>0.85</v>
      </c>
      <c r="V72" s="67">
        <v>0.85</v>
      </c>
      <c r="W72" s="67">
        <v>0.85</v>
      </c>
      <c r="X72" s="67">
        <v>0.85</v>
      </c>
      <c r="Y72" s="67">
        <v>0.85</v>
      </c>
      <c r="Z72" s="67">
        <v>0.85</v>
      </c>
      <c r="AA72" s="67">
        <v>0.85</v>
      </c>
      <c r="AB72" s="67">
        <v>0.85</v>
      </c>
      <c r="AC72" s="67">
        <v>0.85</v>
      </c>
      <c r="AD72" s="67">
        <v>0.85</v>
      </c>
      <c r="AE72" s="67">
        <v>0.85</v>
      </c>
      <c r="AF72" s="67">
        <v>0.85</v>
      </c>
      <c r="AG72" s="67">
        <v>0.85</v>
      </c>
      <c r="AH72" s="67">
        <v>0.85</v>
      </c>
      <c r="AI72" s="67">
        <v>0.85</v>
      </c>
      <c r="AJ72" s="67">
        <v>0.85</v>
      </c>
      <c r="AK72" s="67">
        <v>0.85</v>
      </c>
      <c r="AL72" s="67">
        <v>0.85</v>
      </c>
      <c r="AM72" s="67">
        <v>0.85</v>
      </c>
      <c r="AN72" s="67">
        <v>0.85</v>
      </c>
      <c r="AO72" s="67">
        <v>0.85</v>
      </c>
      <c r="AP72" s="67">
        <v>0.85</v>
      </c>
      <c r="AQ72" s="67">
        <v>0.85</v>
      </c>
      <c r="AR72" s="67">
        <v>0.85</v>
      </c>
      <c r="AS72" s="67">
        <v>0.85</v>
      </c>
      <c r="AT72" s="67">
        <v>0.85</v>
      </c>
      <c r="AU72" s="67">
        <v>0.85</v>
      </c>
      <c r="AV72" s="67">
        <v>0.85</v>
      </c>
      <c r="AW72" s="67">
        <v>0.85</v>
      </c>
      <c r="AX72" s="67">
        <v>0.85</v>
      </c>
      <c r="AY72" s="67">
        <v>0.85</v>
      </c>
      <c r="AZ72" s="67">
        <v>0.85</v>
      </c>
      <c r="BA72" s="67">
        <v>0.85</v>
      </c>
      <c r="BB72" s="67">
        <v>0.85</v>
      </c>
      <c r="BC72" s="67">
        <v>0.85</v>
      </c>
      <c r="BD72" s="67">
        <v>0.85</v>
      </c>
    </row>
    <row r="73" spans="3:56" x14ac:dyDescent="0.25">
      <c r="C73" s="106"/>
      <c r="D73" s="50" t="s">
        <v>43</v>
      </c>
      <c r="E73" s="65"/>
      <c r="F73" s="65"/>
      <c r="G73" s="65"/>
      <c r="H73" s="65">
        <v>-6</v>
      </c>
      <c r="I73" s="65"/>
      <c r="J73" s="65"/>
      <c r="K73" s="65">
        <v>-8</v>
      </c>
      <c r="L73" s="65">
        <v>-6</v>
      </c>
      <c r="M73" s="65">
        <v>-4</v>
      </c>
      <c r="N73" s="65"/>
      <c r="O73" s="65">
        <v>4</v>
      </c>
      <c r="P73" s="65"/>
      <c r="Q73" s="65"/>
      <c r="R73" s="65"/>
      <c r="S73" s="65"/>
      <c r="T73" s="65"/>
      <c r="U73" s="65">
        <v>8</v>
      </c>
      <c r="V73" s="65">
        <v>8</v>
      </c>
      <c r="W73" s="65">
        <v>8</v>
      </c>
      <c r="X73" s="65">
        <v>6</v>
      </c>
      <c r="Y73" s="65"/>
      <c r="Z73" s="65">
        <v>-4</v>
      </c>
      <c r="AA73" s="65"/>
      <c r="AB73" s="65"/>
      <c r="AC73" s="65">
        <v>-1</v>
      </c>
      <c r="AD73" s="65">
        <v>-1</v>
      </c>
      <c r="AE73" s="65">
        <v>-4</v>
      </c>
      <c r="AF73" s="65"/>
      <c r="AG73" s="65"/>
      <c r="AH73" s="65">
        <v>6</v>
      </c>
      <c r="AI73" s="65"/>
      <c r="AJ73" s="65">
        <v>8</v>
      </c>
      <c r="AK73" s="65">
        <v>8</v>
      </c>
      <c r="AL73" s="65">
        <v>2</v>
      </c>
      <c r="AM73" s="65"/>
      <c r="AN73" s="65"/>
      <c r="AO73" s="65"/>
      <c r="AP73" s="65"/>
      <c r="AQ73" s="65"/>
      <c r="AR73" s="65"/>
      <c r="AS73" s="65"/>
      <c r="AT73" s="65"/>
      <c r="AU73" s="65"/>
      <c r="AV73" s="65"/>
      <c r="AW73" s="65"/>
      <c r="AX73" s="65"/>
      <c r="AY73" s="65"/>
      <c r="AZ73" s="65">
        <v>6</v>
      </c>
      <c r="BA73" s="65">
        <v>8</v>
      </c>
      <c r="BB73" s="65"/>
      <c r="BC73" s="65"/>
      <c r="BD73" s="65"/>
    </row>
    <row r="74" spans="3:56" x14ac:dyDescent="0.25">
      <c r="C74" s="106"/>
      <c r="D74" s="51" t="s">
        <v>44</v>
      </c>
      <c r="E74" s="61">
        <f t="shared" ref="E74:L74" si="15">SUM(E64:E71)</f>
        <v>57.5</v>
      </c>
      <c r="F74" s="61">
        <f t="shared" si="15"/>
        <v>47.25</v>
      </c>
      <c r="G74" s="61">
        <f t="shared" si="15"/>
        <v>51.75</v>
      </c>
      <c r="H74" s="61">
        <f t="shared" si="15"/>
        <v>37.934782608695656</v>
      </c>
      <c r="I74" s="61">
        <f t="shared" si="15"/>
        <v>36.625</v>
      </c>
      <c r="J74" s="61">
        <f t="shared" si="15"/>
        <v>35.625</v>
      </c>
      <c r="K74" s="61">
        <f t="shared" si="15"/>
        <v>28.603260869565219</v>
      </c>
      <c r="L74" s="61">
        <f t="shared" si="15"/>
        <v>30.978260869565219</v>
      </c>
      <c r="M74" s="61">
        <f t="shared" ref="M74:BD74" si="16">SUM(M64:M71)</f>
        <v>30.586956521739129</v>
      </c>
      <c r="N74" s="61">
        <f t="shared" si="16"/>
        <v>33.625</v>
      </c>
      <c r="O74" s="61">
        <f t="shared" si="16"/>
        <v>40.896739130434781</v>
      </c>
      <c r="P74" s="61">
        <f t="shared" si="16"/>
        <v>36.630000000000003</v>
      </c>
      <c r="Q74" s="61">
        <f t="shared" si="16"/>
        <v>35.5</v>
      </c>
      <c r="R74" s="61">
        <f t="shared" si="16"/>
        <v>35.5</v>
      </c>
      <c r="S74" s="61">
        <f t="shared" si="16"/>
        <v>35.5</v>
      </c>
      <c r="T74" s="61">
        <f t="shared" si="16"/>
        <v>34.375</v>
      </c>
      <c r="U74" s="61">
        <f t="shared" si="16"/>
        <v>40.353260869565219</v>
      </c>
      <c r="V74" s="61">
        <f t="shared" si="16"/>
        <v>53.266304347826086</v>
      </c>
      <c r="W74" s="61">
        <f t="shared" si="16"/>
        <v>51.945652173913047</v>
      </c>
      <c r="X74" s="61">
        <f t="shared" si="16"/>
        <v>50.021739130434781</v>
      </c>
      <c r="Y74" s="61">
        <f t="shared" si="16"/>
        <v>46.230000000000004</v>
      </c>
      <c r="Z74" s="61">
        <f t="shared" si="16"/>
        <v>40.521599999999999</v>
      </c>
      <c r="AA74" s="61">
        <f t="shared" si="16"/>
        <v>34.715087999999994</v>
      </c>
      <c r="AB74" s="61">
        <f t="shared" si="16"/>
        <v>34.19436168</v>
      </c>
      <c r="AC74" s="61">
        <f t="shared" si="16"/>
        <v>34.905762640565214</v>
      </c>
      <c r="AD74" s="61">
        <f t="shared" si="16"/>
        <v>37.316958809652391</v>
      </c>
      <c r="AE74" s="61">
        <f t="shared" si="16"/>
        <v>34.306724132340428</v>
      </c>
      <c r="AF74" s="61">
        <f t="shared" si="16"/>
        <v>38.010420724674873</v>
      </c>
      <c r="AG74" s="61">
        <f t="shared" si="16"/>
        <v>37.440264413804755</v>
      </c>
      <c r="AH74" s="61">
        <f t="shared" si="16"/>
        <v>41.688920505979986</v>
      </c>
      <c r="AI74" s="61">
        <f t="shared" si="16"/>
        <v>42.325480540883717</v>
      </c>
      <c r="AJ74" s="61">
        <f t="shared" si="16"/>
        <v>50.115050216730545</v>
      </c>
      <c r="AK74" s="61">
        <f t="shared" si="16"/>
        <v>49.363324463479586</v>
      </c>
      <c r="AL74" s="61">
        <f t="shared" si="16"/>
        <v>46.350767757299714</v>
      </c>
      <c r="AM74" s="61">
        <f t="shared" si="16"/>
        <v>43.753193480901047</v>
      </c>
      <c r="AN74" s="61">
        <f t="shared" si="16"/>
        <v>42.096895578687523</v>
      </c>
      <c r="AO74" s="61">
        <f t="shared" si="16"/>
        <v>41.465442145007209</v>
      </c>
      <c r="AP74" s="61">
        <f t="shared" si="16"/>
        <v>40.843460512832102</v>
      </c>
      <c r="AQ74" s="61">
        <f t="shared" si="16"/>
        <v>47.730808605139622</v>
      </c>
      <c r="AR74" s="61">
        <f t="shared" si="16"/>
        <v>46.01484647606253</v>
      </c>
      <c r="AS74" s="61">
        <f t="shared" si="16"/>
        <v>43.324623778921591</v>
      </c>
      <c r="AT74" s="61">
        <f t="shared" si="16"/>
        <v>55.174754422237775</v>
      </c>
      <c r="AU74" s="61">
        <f t="shared" si="16"/>
        <v>52.347133105904206</v>
      </c>
      <c r="AV74" s="61">
        <f t="shared" si="16"/>
        <v>73.593176109315635</v>
      </c>
      <c r="AW74" s="61">
        <f t="shared" si="16"/>
        <v>56.753346706582747</v>
      </c>
      <c r="AX74" s="61">
        <f t="shared" si="16"/>
        <v>112.86576303891817</v>
      </c>
      <c r="AY74" s="61">
        <f t="shared" si="16"/>
        <v>110.04411896294522</v>
      </c>
      <c r="AZ74" s="61">
        <f t="shared" si="16"/>
        <v>117.89645285698528</v>
      </c>
      <c r="BA74" s="61">
        <f t="shared" si="16"/>
        <v>123.35286348324158</v>
      </c>
      <c r="BB74" s="61">
        <f t="shared" si="16"/>
        <v>103.82444692995661</v>
      </c>
      <c r="BC74" s="61">
        <f t="shared" si="16"/>
        <v>112.63322458345878</v>
      </c>
      <c r="BD74" s="61">
        <f t="shared" si="16"/>
        <v>107.00156335428585</v>
      </c>
    </row>
    <row r="75" spans="3:56" x14ac:dyDescent="0.25">
      <c r="C75" s="106"/>
      <c r="D75" s="52" t="s">
        <v>52</v>
      </c>
      <c r="E75" s="56">
        <f>E74-E62</f>
        <v>-5.3180000000000121</v>
      </c>
      <c r="F75" s="56">
        <f t="shared" ref="F75:BD75" si="17">F74-F62</f>
        <v>-0.72886419753086784</v>
      </c>
      <c r="G75" s="56">
        <f t="shared" si="17"/>
        <v>16.757241215574545</v>
      </c>
      <c r="H75" s="56">
        <f t="shared" si="17"/>
        <v>4.7562450968248129</v>
      </c>
      <c r="I75" s="56">
        <f t="shared" si="17"/>
        <v>4.4400522317189086</v>
      </c>
      <c r="J75" s="56">
        <f t="shared" si="17"/>
        <v>4.9929962013295324</v>
      </c>
      <c r="K75" s="56">
        <f t="shared" si="17"/>
        <v>2.2105733102109966</v>
      </c>
      <c r="L75" s="56">
        <f t="shared" si="17"/>
        <v>5.1443387423097562</v>
      </c>
      <c r="M75" s="56">
        <f t="shared" si="17"/>
        <v>4.0400049547875625</v>
      </c>
      <c r="N75" s="56">
        <f t="shared" si="17"/>
        <v>2.8843637226970564</v>
      </c>
      <c r="O75" s="56">
        <f t="shared" si="17"/>
        <v>4.0829879433502683</v>
      </c>
      <c r="P75" s="56">
        <f t="shared" si="17"/>
        <v>1.1054985754985793</v>
      </c>
      <c r="Q75" s="56">
        <f t="shared" si="17"/>
        <v>6.0103148751357161</v>
      </c>
      <c r="R75" s="56">
        <f t="shared" si="17"/>
        <v>6.5246246246246251</v>
      </c>
      <c r="S75" s="56">
        <f t="shared" si="17"/>
        <v>6.4867867867867801</v>
      </c>
      <c r="T75" s="56">
        <f t="shared" si="17"/>
        <v>2.2885135135135144</v>
      </c>
      <c r="U75" s="56">
        <f t="shared" si="17"/>
        <v>9.0718794881838321</v>
      </c>
      <c r="V75" s="56">
        <f t="shared" si="17"/>
        <v>17.093331374853115</v>
      </c>
      <c r="W75" s="56">
        <f t="shared" si="17"/>
        <v>16.369676197937068</v>
      </c>
      <c r="X75" s="56">
        <f t="shared" si="17"/>
        <v>14.129455179817498</v>
      </c>
      <c r="Y75" s="56">
        <f t="shared" si="17"/>
        <v>11.288333333333327</v>
      </c>
      <c r="Z75" s="56">
        <f t="shared" si="17"/>
        <v>10.378390123456782</v>
      </c>
      <c r="AA75" s="56">
        <f t="shared" si="17"/>
        <v>5.9888296904083553</v>
      </c>
      <c r="AB75" s="56">
        <f t="shared" si="17"/>
        <v>7.0884737407787313</v>
      </c>
      <c r="AC75" s="56">
        <f t="shared" si="17"/>
        <v>9.2789820137845886</v>
      </c>
      <c r="AD75" s="56">
        <f t="shared" si="17"/>
        <v>9.3779197706133495</v>
      </c>
      <c r="AE75" s="56">
        <f t="shared" si="17"/>
        <v>9.6117469633906545</v>
      </c>
      <c r="AF75" s="56">
        <f t="shared" si="17"/>
        <v>10.3726733882974</v>
      </c>
      <c r="AG75" s="56">
        <f t="shared" si="17"/>
        <v>12.613171567533826</v>
      </c>
      <c r="AH75" s="56">
        <f t="shared" si="17"/>
        <v>12.133364950424433</v>
      </c>
      <c r="AI75" s="56">
        <f t="shared" si="17"/>
        <v>11.808889977717804</v>
      </c>
      <c r="AJ75" s="56">
        <f t="shared" si="17"/>
        <v>15.790544889485489</v>
      </c>
      <c r="AK75" s="56">
        <f t="shared" si="17"/>
        <v>13.510965254955998</v>
      </c>
      <c r="AL75" s="56">
        <f t="shared" si="17"/>
        <v>10.890493784696964</v>
      </c>
      <c r="AM75" s="56">
        <f t="shared" si="17"/>
        <v>11.457488810646502</v>
      </c>
      <c r="AN75" s="56">
        <f t="shared" si="17"/>
        <v>13.526679064988667</v>
      </c>
      <c r="AO75" s="56">
        <f t="shared" si="17"/>
        <v>12.378459977471383</v>
      </c>
      <c r="AP75" s="56">
        <f t="shared" si="17"/>
        <v>10.359939716234607</v>
      </c>
      <c r="AQ75" s="56">
        <f t="shared" si="17"/>
        <v>14.565024315943376</v>
      </c>
      <c r="AR75" s="56">
        <f t="shared" si="17"/>
        <v>15.551322562293805</v>
      </c>
      <c r="AS75" s="56">
        <f t="shared" si="17"/>
        <v>11.15888000814482</v>
      </c>
      <c r="AT75" s="56">
        <f t="shared" si="17"/>
        <v>22.015775473663659</v>
      </c>
      <c r="AU75" s="56">
        <f t="shared" si="17"/>
        <v>17.197268120620471</v>
      </c>
      <c r="AV75" s="56">
        <f t="shared" si="17"/>
        <v>26.152334181747804</v>
      </c>
      <c r="AW75" s="56">
        <f t="shared" si="17"/>
        <v>6.0314032496549359</v>
      </c>
      <c r="AX75" s="56">
        <f t="shared" si="17"/>
        <v>63.125216742645151</v>
      </c>
      <c r="AY75" s="56">
        <f t="shared" si="17"/>
        <v>23.546572488529151</v>
      </c>
      <c r="AZ75" s="56">
        <f t="shared" si="17"/>
        <v>-1.3404232488313426</v>
      </c>
      <c r="BA75" s="56">
        <f t="shared" si="17"/>
        <v>-2.1264370384347302</v>
      </c>
      <c r="BB75" s="56">
        <f t="shared" si="17"/>
        <v>-1.8471872765384205</v>
      </c>
      <c r="BC75" s="56">
        <f t="shared" si="17"/>
        <v>51.494131515634223</v>
      </c>
      <c r="BD75" s="56">
        <f t="shared" si="17"/>
        <v>51.991404890403352</v>
      </c>
    </row>
    <row r="76" spans="3:56" x14ac:dyDescent="0.25">
      <c r="C76" s="106"/>
      <c r="D76" s="53" t="s">
        <v>46</v>
      </c>
      <c r="E76" s="56">
        <f>SUM(E75,LauderNew!E72)</f>
        <v>1.2749999999999915</v>
      </c>
      <c r="F76" s="56">
        <f>SUM(F75,LauderNew!F72)</f>
        <v>-1.7265432098765316</v>
      </c>
      <c r="G76" s="56">
        <f>SUM(G75,LauderNew!G72)</f>
        <v>16.339245014245012</v>
      </c>
      <c r="H76" s="56">
        <f>SUM(H75,LauderNew!H72)</f>
        <v>2.2308724555101485</v>
      </c>
      <c r="I76" s="56">
        <f>SUM(I75,LauderNew!I72)</f>
        <v>6.2219034662868111</v>
      </c>
      <c r="J76" s="56">
        <f>SUM(J75,LauderNew!J72)</f>
        <v>8.0010446343779655</v>
      </c>
      <c r="K76" s="56">
        <f>SUM(K75,LauderNew!K72)</f>
        <v>1.0522482348569362</v>
      </c>
      <c r="L76" s="56">
        <f>SUM(L75,LauderNew!L72)</f>
        <v>6.4766918535034463</v>
      </c>
      <c r="M76" s="56">
        <f>SUM(M75,LauderNew!M72)</f>
        <v>4.8664684751641261</v>
      </c>
      <c r="N76" s="56">
        <f>SUM(N75,LauderNew!N72)</f>
        <v>1.3560066476733184</v>
      </c>
      <c r="O76" s="56">
        <f>SUM(O75,LauderNew!O72)</f>
        <v>1.7883325075354115</v>
      </c>
      <c r="P76" s="56">
        <f>SUM(P75,LauderNew!P72)</f>
        <v>-2.3066096866096828</v>
      </c>
      <c r="Q76" s="56">
        <f>SUM(Q75,LauderNew!Q72)</f>
        <v>7.3398479913137784</v>
      </c>
      <c r="R76" s="56">
        <f>SUM(R75,LauderNew!R72)</f>
        <v>9.2582582582582589</v>
      </c>
      <c r="S76" s="56">
        <f>SUM(S75,LauderNew!S72)</f>
        <v>7.1906906906906869</v>
      </c>
      <c r="T76" s="56">
        <f>SUM(T75,LauderNew!T72)</f>
        <v>0.5777027027027053</v>
      </c>
      <c r="U76" s="56">
        <f>SUM(U75,LauderNew!U72)</f>
        <v>12.080607781694738</v>
      </c>
      <c r="V76" s="56">
        <f>SUM(V75,LauderNew!V72)</f>
        <v>16.258666274970626</v>
      </c>
      <c r="W76" s="56">
        <f>SUM(W75,LauderNew!W72)</f>
        <v>14.053707330518925</v>
      </c>
      <c r="X76" s="56">
        <f>SUM(X75,LauderNew!X72)</f>
        <v>10.557412391687755</v>
      </c>
      <c r="Y76" s="56">
        <f>SUM(Y75,LauderNew!Y72)</f>
        <v>11.741507936507926</v>
      </c>
      <c r="Z76" s="56">
        <f>SUM(Z75,LauderNew!Z72)</f>
        <v>9.3332334636914283</v>
      </c>
      <c r="AA76" s="56">
        <f>SUM(AA75,LauderNew!AA72)</f>
        <v>6.9616309602496216</v>
      </c>
      <c r="AB76" s="56">
        <f>SUM(AB75,LauderNew!AB72)</f>
        <v>9.2963615630009571</v>
      </c>
      <c r="AC76" s="56">
        <f>SUM(AC75,LauderNew!AC72)</f>
        <v>11.923479614322886</v>
      </c>
      <c r="AD76" s="56">
        <f>SUM(AD75,LauderNew!AD72)</f>
        <v>12.027776093785707</v>
      </c>
      <c r="AE76" s="56">
        <f>SUM(AE75,LauderNew!AE72)</f>
        <v>13.386542706416542</v>
      </c>
      <c r="AF76" s="56">
        <f>SUM(AF75,LauderNew!AF72)</f>
        <v>12.661939090679894</v>
      </c>
      <c r="AG76" s="56">
        <f>SUM(AG75,LauderNew!AG72)</f>
        <v>16.750739075856995</v>
      </c>
      <c r="AH76" s="56">
        <f>SUM(AH75,LauderNew!AH72)</f>
        <v>15.238856331174791</v>
      </c>
      <c r="AI76" s="56">
        <f>SUM(AI75,LauderNew!AI72)</f>
        <v>16.022120808457814</v>
      </c>
      <c r="AJ76" s="56">
        <f>SUM(AJ75,LauderNew!AJ72)</f>
        <v>19.0703224476153</v>
      </c>
      <c r="AK76" s="56">
        <f>SUM(AK75,LauderNew!AK72)</f>
        <v>15.13655071592391</v>
      </c>
      <c r="AL76" s="56">
        <f>SUM(AL75,LauderNew!AL72)</f>
        <v>13.811939299571389</v>
      </c>
      <c r="AM76" s="56">
        <f>SUM(AM75,LauderNew!AM72)</f>
        <v>15.140246002158367</v>
      </c>
      <c r="AN76" s="56">
        <f>SUM(AN75,LauderNew!AN72)</f>
        <v>19.700736216593608</v>
      </c>
      <c r="AO76" s="56">
        <f>SUM(AO75,LauderNew!AO72)</f>
        <v>17.717155706304613</v>
      </c>
      <c r="AP76" s="56">
        <f>SUM(AP75,LauderNew!AP72)</f>
        <v>14.17846379646948</v>
      </c>
      <c r="AQ76" s="56">
        <f>SUM(AQ75,LauderNew!AQ72)</f>
        <v>15.859507724258677</v>
      </c>
      <c r="AR76" s="56">
        <f>SUM(AR75,LauderNew!AR72)</f>
        <v>18.558710842483329</v>
      </c>
      <c r="AS76" s="56">
        <f>SUM(AS75,LauderNew!AS72)</f>
        <v>12.424664616070043</v>
      </c>
      <c r="AT76" s="56">
        <f>SUM(AT75,LauderNew!AT72)</f>
        <v>22.103077978330802</v>
      </c>
      <c r="AU76" s="56">
        <f>SUM(AU75,LauderNew!AU72)</f>
        <v>37.828191235551849</v>
      </c>
      <c r="AV76" s="56">
        <f>SUM(AV75,LauderNew!AV72)</f>
        <v>53.714831015119714</v>
      </c>
      <c r="AW76" s="56">
        <f>SUM(AW75,LauderNew!AW72)</f>
        <v>39.394955636975354</v>
      </c>
      <c r="AX76" s="56">
        <f>SUM(AX75,LauderNew!AX72)</f>
        <v>95.429454200035934</v>
      </c>
      <c r="AY76" s="56">
        <f>SUM(AY75,LauderNew!AY72)</f>
        <v>26.164244075418651</v>
      </c>
      <c r="AZ76" s="56">
        <f>SUM(AZ75,LauderNew!AZ72)</f>
        <v>5.9817838852369221</v>
      </c>
      <c r="BA76" s="56">
        <f>SUM(BA75,LauderNew!BA72)</f>
        <v>8.4231722864553973</v>
      </c>
      <c r="BB76" s="56">
        <f>SUM(BB75,LauderNew!BB72)</f>
        <v>4.2317035000778276</v>
      </c>
      <c r="BC76" s="56">
        <f>SUM(BC75,LauderNew!BC72)</f>
        <v>92.333023736042207</v>
      </c>
      <c r="BD76" s="56">
        <f>SUM(BD75,LauderNew!BD72)</f>
        <v>93.443420885624136</v>
      </c>
    </row>
    <row r="77" spans="3:56" x14ac:dyDescent="0.25">
      <c r="C77" s="48"/>
      <c r="E77" s="44"/>
      <c r="F77" s="44"/>
      <c r="G77" s="44"/>
      <c r="H77" s="44"/>
      <c r="I77" s="44"/>
      <c r="J77" s="44"/>
      <c r="K77" s="44"/>
      <c r="L77" s="44"/>
      <c r="M77" s="44"/>
    </row>
    <row r="78" spans="3:56" x14ac:dyDescent="0.25">
      <c r="D78" s="46" t="s">
        <v>25</v>
      </c>
      <c r="E78" s="82">
        <f>E2</f>
        <v>44569</v>
      </c>
      <c r="F78" s="82">
        <f t="shared" ref="F78:BD78" si="18">F2</f>
        <v>44576</v>
      </c>
      <c r="G78" s="82">
        <f t="shared" si="18"/>
        <v>44583</v>
      </c>
      <c r="H78" s="82">
        <f t="shared" si="18"/>
        <v>44590</v>
      </c>
      <c r="I78" s="82">
        <f t="shared" si="18"/>
        <v>44597</v>
      </c>
      <c r="J78" s="82">
        <f t="shared" si="18"/>
        <v>44604</v>
      </c>
      <c r="K78" s="82">
        <f t="shared" si="18"/>
        <v>44611</v>
      </c>
      <c r="L78" s="82">
        <f t="shared" si="18"/>
        <v>44618</v>
      </c>
      <c r="M78" s="82">
        <f t="shared" si="18"/>
        <v>44625</v>
      </c>
      <c r="N78" s="82">
        <f t="shared" si="18"/>
        <v>44632</v>
      </c>
      <c r="O78" s="82">
        <f t="shared" si="18"/>
        <v>44639</v>
      </c>
      <c r="P78" s="82">
        <f t="shared" si="18"/>
        <v>44646</v>
      </c>
      <c r="Q78" s="82">
        <f t="shared" si="18"/>
        <v>44653</v>
      </c>
      <c r="R78" s="82">
        <f t="shared" si="18"/>
        <v>44660</v>
      </c>
      <c r="S78" s="82">
        <f t="shared" si="18"/>
        <v>44667</v>
      </c>
      <c r="T78" s="82">
        <f t="shared" si="18"/>
        <v>44674</v>
      </c>
      <c r="U78" s="82">
        <f t="shared" si="18"/>
        <v>44681</v>
      </c>
      <c r="V78" s="82">
        <f t="shared" si="18"/>
        <v>44688</v>
      </c>
      <c r="W78" s="82">
        <f t="shared" si="18"/>
        <v>44695</v>
      </c>
      <c r="X78" s="82">
        <f t="shared" si="18"/>
        <v>44702</v>
      </c>
      <c r="Y78" s="82">
        <f t="shared" si="18"/>
        <v>44709</v>
      </c>
      <c r="Z78" s="82">
        <f t="shared" si="18"/>
        <v>44716</v>
      </c>
      <c r="AA78" s="82">
        <f t="shared" si="18"/>
        <v>44723</v>
      </c>
      <c r="AB78" s="82">
        <f t="shared" si="18"/>
        <v>44730</v>
      </c>
      <c r="AC78" s="82">
        <f t="shared" si="18"/>
        <v>44737</v>
      </c>
      <c r="AD78" s="82">
        <f t="shared" si="18"/>
        <v>44744</v>
      </c>
      <c r="AE78" s="82">
        <f t="shared" si="18"/>
        <v>44751</v>
      </c>
      <c r="AF78" s="82">
        <f t="shared" si="18"/>
        <v>44758</v>
      </c>
      <c r="AG78" s="82">
        <f t="shared" si="18"/>
        <v>44765</v>
      </c>
      <c r="AH78" s="82">
        <f t="shared" si="18"/>
        <v>44772</v>
      </c>
      <c r="AI78" s="82">
        <f t="shared" si="18"/>
        <v>44779</v>
      </c>
      <c r="AJ78" s="82">
        <f t="shared" si="18"/>
        <v>44786</v>
      </c>
      <c r="AK78" s="82">
        <f t="shared" si="18"/>
        <v>44793</v>
      </c>
      <c r="AL78" s="82">
        <f t="shared" si="18"/>
        <v>44800</v>
      </c>
      <c r="AM78" s="82">
        <f t="shared" si="18"/>
        <v>44807</v>
      </c>
      <c r="AN78" s="82">
        <f t="shared" si="18"/>
        <v>44814</v>
      </c>
      <c r="AO78" s="82">
        <f t="shared" si="18"/>
        <v>44821</v>
      </c>
      <c r="AP78" s="82">
        <f t="shared" si="18"/>
        <v>44828</v>
      </c>
      <c r="AQ78" s="82">
        <f t="shared" si="18"/>
        <v>44835</v>
      </c>
      <c r="AR78" s="82">
        <f t="shared" si="18"/>
        <v>44842</v>
      </c>
      <c r="AS78" s="82">
        <f t="shared" si="18"/>
        <v>44849</v>
      </c>
      <c r="AT78" s="82">
        <f t="shared" si="18"/>
        <v>44856</v>
      </c>
      <c r="AU78" s="82">
        <f t="shared" si="18"/>
        <v>44863</v>
      </c>
      <c r="AV78" s="82">
        <f t="shared" si="18"/>
        <v>44870</v>
      </c>
      <c r="AW78" s="82">
        <f t="shared" si="18"/>
        <v>44877</v>
      </c>
      <c r="AX78" s="82">
        <f t="shared" si="18"/>
        <v>44884</v>
      </c>
      <c r="AY78" s="82">
        <f t="shared" si="18"/>
        <v>44891</v>
      </c>
      <c r="AZ78" s="82">
        <f t="shared" si="18"/>
        <v>44898</v>
      </c>
      <c r="BA78" s="82">
        <f t="shared" si="18"/>
        <v>44905</v>
      </c>
      <c r="BB78" s="82">
        <f t="shared" si="18"/>
        <v>44912</v>
      </c>
      <c r="BC78" s="82">
        <f t="shared" si="18"/>
        <v>44919</v>
      </c>
      <c r="BD78" s="82">
        <f t="shared" si="18"/>
        <v>44926</v>
      </c>
    </row>
    <row r="79" spans="3:56" x14ac:dyDescent="0.25">
      <c r="C79" s="105" t="s">
        <v>125</v>
      </c>
      <c r="D79" s="41" t="s">
        <v>27</v>
      </c>
      <c r="E79" s="70">
        <v>3193.8079782794389</v>
      </c>
      <c r="F79" s="70">
        <v>2808.3556457244654</v>
      </c>
      <c r="G79" s="70">
        <v>2338</v>
      </c>
      <c r="H79" s="70">
        <v>2216.9</v>
      </c>
      <c r="I79" s="70">
        <v>2150.6679560000002</v>
      </c>
      <c r="J79" s="70">
        <v>1718.9950000000001</v>
      </c>
      <c r="K79" s="70">
        <v>1481.1100000000001</v>
      </c>
      <c r="L79" s="70">
        <v>1279.0600000000004</v>
      </c>
      <c r="M79" s="70">
        <v>1277.4250000000004</v>
      </c>
      <c r="N79" s="70">
        <v>1494.4749999999999</v>
      </c>
      <c r="O79" s="70">
        <v>1703.875</v>
      </c>
      <c r="P79" s="70">
        <v>1734.5827627675785</v>
      </c>
      <c r="Q79" s="70">
        <v>1320.5053000000003</v>
      </c>
      <c r="R79" s="70">
        <v>1324.6220892000001</v>
      </c>
      <c r="S79" s="70">
        <v>1431.4665</v>
      </c>
      <c r="T79" s="70">
        <v>1574.6100000000001</v>
      </c>
      <c r="U79" s="70">
        <v>1549.14</v>
      </c>
      <c r="V79" s="70">
        <v>1844.5200000000002</v>
      </c>
      <c r="W79" s="70">
        <v>1921</v>
      </c>
      <c r="X79" s="70">
        <v>2215.1000000000004</v>
      </c>
      <c r="Y79" s="70">
        <v>2068.5500000000002</v>
      </c>
      <c r="Z79" s="70">
        <v>1936.1299999999999</v>
      </c>
      <c r="AA79" s="70">
        <v>2398.7200000000003</v>
      </c>
      <c r="AB79" s="70">
        <v>2263.4700000000003</v>
      </c>
      <c r="AC79" s="70">
        <v>2139.8000000000002</v>
      </c>
      <c r="AD79" s="70">
        <v>1844.36</v>
      </c>
      <c r="AE79" s="70">
        <v>1608.2699999999998</v>
      </c>
      <c r="AF79" s="70">
        <v>1799.9299999999998</v>
      </c>
      <c r="AG79" s="70">
        <v>1616.9</v>
      </c>
      <c r="AH79" s="70">
        <v>1924.84</v>
      </c>
      <c r="AI79" s="70">
        <v>1987.3999999999996</v>
      </c>
      <c r="AJ79" s="70">
        <v>2235.27</v>
      </c>
      <c r="AK79" s="70">
        <v>2334.8900000000003</v>
      </c>
      <c r="AL79" s="70">
        <v>2309.23</v>
      </c>
      <c r="AM79" s="70">
        <v>2185.5769866183646</v>
      </c>
      <c r="AN79" s="70">
        <v>1933.4585931037386</v>
      </c>
      <c r="AO79" s="70">
        <v>1968.4301514590234</v>
      </c>
      <c r="AP79" s="70">
        <v>2062.9393971858085</v>
      </c>
      <c r="AQ79" s="70">
        <v>2362.6364394775687</v>
      </c>
      <c r="AR79" s="70">
        <v>2178.6445816135329</v>
      </c>
      <c r="AS79" s="70">
        <v>2237.533158907514</v>
      </c>
      <c r="AT79" s="70">
        <v>2406.995146711638</v>
      </c>
      <c r="AU79" s="70">
        <v>2536.7165714035796</v>
      </c>
      <c r="AV79" s="70">
        <v>2853.3180297543167</v>
      </c>
      <c r="AW79" s="70">
        <v>3308.2127191964173</v>
      </c>
      <c r="AX79" s="70">
        <v>3468.9351426512417</v>
      </c>
      <c r="AY79" s="70">
        <v>7672.0578703459614</v>
      </c>
      <c r="AZ79" s="70">
        <v>9104.9288736567814</v>
      </c>
      <c r="BA79" s="70">
        <v>8283.4084178347657</v>
      </c>
      <c r="BB79" s="70">
        <v>7241.8770202680362</v>
      </c>
      <c r="BC79" s="70">
        <v>4282.7163498641057</v>
      </c>
      <c r="BD79" s="70">
        <v>3819.1551506402793</v>
      </c>
    </row>
    <row r="80" spans="3:56" x14ac:dyDescent="0.25">
      <c r="C80" s="106"/>
      <c r="D80" s="41" t="s">
        <v>22</v>
      </c>
      <c r="E80" s="70">
        <v>498.9117852244176</v>
      </c>
      <c r="F80" s="70">
        <v>494.37898150803665</v>
      </c>
      <c r="G80" s="70">
        <v>480.78250641573993</v>
      </c>
      <c r="H80" s="70">
        <v>480.78036898371596</v>
      </c>
      <c r="I80" s="70">
        <v>526.36833737248458</v>
      </c>
      <c r="J80" s="70">
        <v>551.73703239392773</v>
      </c>
      <c r="K80" s="70">
        <v>551.73552268231253</v>
      </c>
      <c r="L80" s="70">
        <v>543.22502462746058</v>
      </c>
      <c r="M80" s="70">
        <v>541.28667045031989</v>
      </c>
      <c r="N80" s="70">
        <v>526.02720018735681</v>
      </c>
      <c r="O80" s="70">
        <v>528.50055021641845</v>
      </c>
      <c r="P80" s="70">
        <v>540.50313226214689</v>
      </c>
      <c r="Q80" s="70">
        <v>558.22180402131983</v>
      </c>
      <c r="R80" s="70">
        <v>554.47319851991574</v>
      </c>
      <c r="S80" s="70">
        <v>564.69909180550155</v>
      </c>
      <c r="T80" s="70">
        <v>597.19359079391086</v>
      </c>
      <c r="U80" s="70">
        <v>601.04703254709057</v>
      </c>
      <c r="V80" s="70">
        <v>612.06874959339007</v>
      </c>
      <c r="W80" s="70">
        <v>604.03086933888585</v>
      </c>
      <c r="X80" s="70">
        <v>656.80649857794219</v>
      </c>
      <c r="Y80" s="70">
        <v>661.78414831645352</v>
      </c>
      <c r="Z80" s="70">
        <v>668.30641537500071</v>
      </c>
      <c r="AA80" s="70">
        <v>668.30156291688888</v>
      </c>
      <c r="AB80" s="70">
        <v>668.29782369547627</v>
      </c>
      <c r="AC80" s="70">
        <v>668.30743527432469</v>
      </c>
      <c r="AD80" s="70">
        <v>668.30526578325259</v>
      </c>
      <c r="AE80" s="70">
        <v>668.29865321121451</v>
      </c>
      <c r="AF80" s="70">
        <v>668.29518370158837</v>
      </c>
      <c r="AG80" s="70">
        <v>668.29892077432112</v>
      </c>
      <c r="AH80" s="70">
        <v>668.30146921302548</v>
      </c>
      <c r="AI80" s="70">
        <v>668.3013107577741</v>
      </c>
      <c r="AJ80" s="70">
        <v>668.30557382329653</v>
      </c>
      <c r="AK80" s="70">
        <v>668.3031213461876</v>
      </c>
      <c r="AL80" s="70">
        <v>668.30781256089688</v>
      </c>
      <c r="AM80" s="70">
        <v>612.05627209195643</v>
      </c>
      <c r="AN80" s="70">
        <v>612.05627209195643</v>
      </c>
      <c r="AO80" s="70">
        <v>612.05627209195654</v>
      </c>
      <c r="AP80" s="70">
        <v>612.05627209195654</v>
      </c>
      <c r="AQ80" s="70">
        <v>617.90194673025167</v>
      </c>
      <c r="AR80" s="70">
        <v>618.07629829582288</v>
      </c>
      <c r="AS80" s="70">
        <v>618.58402856368434</v>
      </c>
      <c r="AT80" s="70">
        <v>617.80908803212867</v>
      </c>
      <c r="AU80" s="70">
        <v>617.91296434422509</v>
      </c>
      <c r="AV80" s="70">
        <v>640.32190709886697</v>
      </c>
      <c r="AW80" s="70">
        <v>643.2889264481031</v>
      </c>
      <c r="AX80" s="70">
        <v>707.37866311208825</v>
      </c>
      <c r="AY80" s="70">
        <v>708.74357383132644</v>
      </c>
      <c r="AZ80" s="70">
        <v>718.04430520729875</v>
      </c>
      <c r="BA80" s="70">
        <v>717.8334582981006</v>
      </c>
      <c r="BB80" s="70">
        <v>714.30112182942844</v>
      </c>
      <c r="BC80" s="70">
        <v>716.43181694009604</v>
      </c>
      <c r="BD80" s="70">
        <v>716.35820739898725</v>
      </c>
    </row>
    <row r="81" spans="3:56" x14ac:dyDescent="0.25">
      <c r="C81" s="106"/>
      <c r="D81" s="41" t="s">
        <v>23</v>
      </c>
      <c r="E81" s="68">
        <v>0.8</v>
      </c>
      <c r="F81" s="68">
        <v>0.8</v>
      </c>
      <c r="G81" s="68">
        <v>0.8</v>
      </c>
      <c r="H81" s="68">
        <v>0.8</v>
      </c>
      <c r="I81" s="68">
        <v>0.8</v>
      </c>
      <c r="J81" s="68">
        <v>0.8</v>
      </c>
      <c r="K81" s="68">
        <v>0.8</v>
      </c>
      <c r="L81" s="68">
        <v>0.8</v>
      </c>
      <c r="M81" s="68">
        <v>0.8</v>
      </c>
      <c r="N81" s="68">
        <v>0.8</v>
      </c>
      <c r="O81" s="68">
        <v>0.8</v>
      </c>
      <c r="P81" s="68">
        <v>0.8</v>
      </c>
      <c r="Q81" s="68">
        <v>0.8</v>
      </c>
      <c r="R81" s="68">
        <v>0.8</v>
      </c>
      <c r="S81" s="68">
        <v>0.8</v>
      </c>
      <c r="T81" s="68">
        <v>0.8</v>
      </c>
      <c r="U81" s="68">
        <v>0.8</v>
      </c>
      <c r="V81" s="68">
        <v>0.8</v>
      </c>
      <c r="W81" s="68">
        <v>0.8</v>
      </c>
      <c r="X81" s="68">
        <v>0.8</v>
      </c>
      <c r="Y81" s="68">
        <v>0.8</v>
      </c>
      <c r="Z81" s="68">
        <v>0.8</v>
      </c>
      <c r="AA81" s="68">
        <v>0.8</v>
      </c>
      <c r="AB81" s="68">
        <v>0.8</v>
      </c>
      <c r="AC81" s="68">
        <v>0.8</v>
      </c>
      <c r="AD81" s="68">
        <v>0.8</v>
      </c>
      <c r="AE81" s="68">
        <v>0.8</v>
      </c>
      <c r="AF81" s="68">
        <v>0.8</v>
      </c>
      <c r="AG81" s="68">
        <v>0.8</v>
      </c>
      <c r="AH81" s="68">
        <v>0.8</v>
      </c>
      <c r="AI81" s="68">
        <v>0.8</v>
      </c>
      <c r="AJ81" s="68">
        <v>0.8</v>
      </c>
      <c r="AK81" s="68">
        <v>0.8</v>
      </c>
      <c r="AL81" s="68">
        <v>0.8</v>
      </c>
      <c r="AM81" s="68">
        <v>0.8</v>
      </c>
      <c r="AN81" s="68">
        <v>0.8</v>
      </c>
      <c r="AO81" s="68">
        <v>0.8</v>
      </c>
      <c r="AP81" s="68">
        <v>0.8</v>
      </c>
      <c r="AQ81" s="68">
        <v>0.8</v>
      </c>
      <c r="AR81" s="68">
        <v>0.8</v>
      </c>
      <c r="AS81" s="68">
        <v>0.8</v>
      </c>
      <c r="AT81" s="68">
        <v>0.8</v>
      </c>
      <c r="AU81" s="68">
        <v>0.8</v>
      </c>
      <c r="AV81" s="68">
        <v>0.8</v>
      </c>
      <c r="AW81" s="68">
        <v>0.8</v>
      </c>
      <c r="AX81" s="68">
        <v>0.8</v>
      </c>
      <c r="AY81" s="68">
        <v>0.8</v>
      </c>
      <c r="AZ81" s="68">
        <v>0.8</v>
      </c>
      <c r="BA81" s="68">
        <v>0.8</v>
      </c>
      <c r="BB81" s="68">
        <v>0.8</v>
      </c>
      <c r="BC81" s="68">
        <v>0.8</v>
      </c>
      <c r="BD81" s="68">
        <v>0.8</v>
      </c>
    </row>
    <row r="82" spans="3:56" x14ac:dyDescent="0.25">
      <c r="C82" s="106"/>
      <c r="D82" s="41" t="s">
        <v>26</v>
      </c>
      <c r="E82" s="68">
        <v>0.35</v>
      </c>
      <c r="F82" s="68">
        <v>0.35</v>
      </c>
      <c r="G82" s="68">
        <v>0.33999999999999997</v>
      </c>
      <c r="H82" s="68">
        <v>0.33999999999999997</v>
      </c>
      <c r="I82" s="68">
        <v>0.32999999999999996</v>
      </c>
      <c r="J82" s="68">
        <v>0.32999999999999996</v>
      </c>
      <c r="K82" s="68">
        <v>0.32999999999999996</v>
      </c>
      <c r="L82" s="68">
        <v>0.32999999999999996</v>
      </c>
      <c r="M82" s="68">
        <v>0.32999999999999996</v>
      </c>
      <c r="N82" s="68">
        <v>0.32</v>
      </c>
      <c r="O82" s="68">
        <v>0.32</v>
      </c>
      <c r="P82" s="68">
        <v>0.32</v>
      </c>
      <c r="Q82" s="68">
        <v>0.33250000000000002</v>
      </c>
      <c r="R82" s="68">
        <v>0.36249999999999999</v>
      </c>
      <c r="S82" s="68">
        <v>0.35</v>
      </c>
      <c r="T82" s="68">
        <v>0.33999999999999997</v>
      </c>
      <c r="U82" s="68">
        <v>0.33999999999999997</v>
      </c>
      <c r="V82" s="68">
        <v>0.32999999999999996</v>
      </c>
      <c r="W82" s="68">
        <v>0.32999999999999996</v>
      </c>
      <c r="X82" s="68">
        <v>0.35</v>
      </c>
      <c r="Y82" s="68">
        <v>0.35</v>
      </c>
      <c r="Z82" s="68">
        <v>0.35</v>
      </c>
      <c r="AA82" s="68">
        <v>0.34</v>
      </c>
      <c r="AB82" s="68">
        <v>0.34</v>
      </c>
      <c r="AC82" s="68">
        <v>0.34</v>
      </c>
      <c r="AD82" s="68">
        <v>0.32</v>
      </c>
      <c r="AE82" s="68">
        <v>0.35</v>
      </c>
      <c r="AF82" s="68">
        <v>0.35</v>
      </c>
      <c r="AG82" s="68">
        <v>0.33999999999999997</v>
      </c>
      <c r="AH82" s="68">
        <v>0.33999999999999997</v>
      </c>
      <c r="AI82" s="68">
        <v>0.32999999999999996</v>
      </c>
      <c r="AJ82" s="68">
        <v>0.32999999999999996</v>
      </c>
      <c r="AK82" s="68">
        <v>0.32999999999999996</v>
      </c>
      <c r="AL82" s="68">
        <v>0.32999999999999996</v>
      </c>
      <c r="AM82" s="68">
        <v>0.32999999999999996</v>
      </c>
      <c r="AN82" s="68">
        <v>0.32</v>
      </c>
      <c r="AO82" s="68">
        <v>0.32</v>
      </c>
      <c r="AP82" s="68">
        <v>0.32</v>
      </c>
      <c r="AQ82" s="68">
        <v>0.32</v>
      </c>
      <c r="AR82" s="68">
        <v>0.31</v>
      </c>
      <c r="AS82" s="68">
        <v>0.31</v>
      </c>
      <c r="AT82" s="68">
        <v>0.3</v>
      </c>
      <c r="AU82" s="68">
        <v>0.3</v>
      </c>
      <c r="AV82" s="68">
        <v>0.29000000000000004</v>
      </c>
      <c r="AW82" s="68">
        <v>0.29000000000000004</v>
      </c>
      <c r="AX82" s="68">
        <v>0.29000000000000004</v>
      </c>
      <c r="AY82" s="68">
        <v>0.29000000000000004</v>
      </c>
      <c r="AZ82" s="68">
        <v>0.27</v>
      </c>
      <c r="BA82" s="68">
        <v>0.27</v>
      </c>
      <c r="BB82" s="68">
        <v>0.27</v>
      </c>
      <c r="BC82" s="68">
        <v>0.27</v>
      </c>
      <c r="BD82" s="68">
        <v>0.27</v>
      </c>
    </row>
    <row r="83" spans="3:56" x14ac:dyDescent="0.25">
      <c r="C83" s="106"/>
      <c r="D83" s="41" t="s">
        <v>28</v>
      </c>
      <c r="E83" s="65">
        <v>0</v>
      </c>
      <c r="F83" s="65">
        <v>0</v>
      </c>
      <c r="G83" s="65">
        <v>0</v>
      </c>
      <c r="H83" s="65">
        <v>0</v>
      </c>
      <c r="I83" s="65">
        <v>0</v>
      </c>
      <c r="J83" s="65">
        <v>0</v>
      </c>
      <c r="K83" s="65">
        <v>0</v>
      </c>
      <c r="L83" s="65">
        <v>0</v>
      </c>
      <c r="M83" s="65">
        <v>0</v>
      </c>
      <c r="N83" s="65">
        <v>0</v>
      </c>
      <c r="O83" s="65">
        <v>0</v>
      </c>
      <c r="P83" s="65">
        <v>0</v>
      </c>
      <c r="Q83" s="65">
        <v>0</v>
      </c>
      <c r="R83" s="65">
        <v>0</v>
      </c>
      <c r="S83" s="65">
        <v>0</v>
      </c>
      <c r="T83" s="65">
        <v>0</v>
      </c>
      <c r="U83" s="65">
        <v>0</v>
      </c>
      <c r="V83" s="65">
        <v>0</v>
      </c>
      <c r="W83" s="65">
        <v>0</v>
      </c>
      <c r="X83" s="65">
        <v>0</v>
      </c>
      <c r="Y83" s="65">
        <v>0</v>
      </c>
      <c r="Z83" s="65">
        <v>0</v>
      </c>
      <c r="AA83" s="65">
        <v>0</v>
      </c>
      <c r="AB83" s="65">
        <v>0</v>
      </c>
      <c r="AC83" s="65">
        <v>0</v>
      </c>
      <c r="AD83" s="65">
        <v>0</v>
      </c>
      <c r="AE83" s="65">
        <v>0</v>
      </c>
      <c r="AF83" s="65">
        <v>0</v>
      </c>
      <c r="AG83" s="65">
        <v>0</v>
      </c>
      <c r="AH83" s="65">
        <v>0</v>
      </c>
      <c r="AI83" s="65">
        <v>0</v>
      </c>
      <c r="AJ83" s="65">
        <v>0</v>
      </c>
      <c r="AK83" s="65">
        <v>0</v>
      </c>
      <c r="AL83" s="65">
        <v>0</v>
      </c>
      <c r="AM83" s="65">
        <v>0</v>
      </c>
      <c r="AN83" s="65">
        <v>0</v>
      </c>
      <c r="AO83" s="65">
        <v>0</v>
      </c>
      <c r="AP83" s="65">
        <v>0</v>
      </c>
      <c r="AQ83" s="65">
        <v>0</v>
      </c>
      <c r="AR83" s="65">
        <v>0</v>
      </c>
      <c r="AS83" s="65">
        <v>0</v>
      </c>
      <c r="AT83" s="65">
        <v>0</v>
      </c>
      <c r="AU83" s="65">
        <v>0</v>
      </c>
      <c r="AV83" s="65">
        <v>0</v>
      </c>
      <c r="AW83" s="65">
        <v>0</v>
      </c>
      <c r="AX83" s="65">
        <v>0</v>
      </c>
      <c r="AY83" s="65">
        <v>0</v>
      </c>
      <c r="AZ83" s="65">
        <v>0</v>
      </c>
      <c r="BA83" s="65">
        <v>0</v>
      </c>
      <c r="BB83" s="65">
        <v>0</v>
      </c>
      <c r="BC83" s="65">
        <v>0</v>
      </c>
      <c r="BD83" s="65">
        <v>0</v>
      </c>
    </row>
    <row r="84" spans="3:56" x14ac:dyDescent="0.25">
      <c r="C84" s="106"/>
      <c r="D84" s="41" t="s">
        <v>29</v>
      </c>
      <c r="E84" s="65">
        <v>4</v>
      </c>
      <c r="F84" s="65">
        <v>4</v>
      </c>
      <c r="G84" s="65">
        <v>0</v>
      </c>
      <c r="H84" s="65">
        <v>0</v>
      </c>
      <c r="I84" s="65">
        <v>0</v>
      </c>
      <c r="J84" s="65">
        <v>0</v>
      </c>
      <c r="K84" s="65">
        <v>0</v>
      </c>
      <c r="L84" s="65">
        <v>0</v>
      </c>
      <c r="M84" s="65">
        <v>0</v>
      </c>
      <c r="N84" s="65">
        <v>0</v>
      </c>
      <c r="O84" s="65">
        <v>0</v>
      </c>
      <c r="P84" s="65">
        <v>0</v>
      </c>
      <c r="Q84" s="65">
        <v>0</v>
      </c>
      <c r="R84" s="65">
        <v>0</v>
      </c>
      <c r="S84" s="65">
        <v>0</v>
      </c>
      <c r="T84" s="65">
        <v>0</v>
      </c>
      <c r="U84" s="65">
        <v>0</v>
      </c>
      <c r="V84" s="65">
        <v>0</v>
      </c>
      <c r="W84" s="65">
        <v>0</v>
      </c>
      <c r="X84" s="65">
        <v>0</v>
      </c>
      <c r="Y84" s="65">
        <v>0</v>
      </c>
      <c r="Z84" s="65">
        <v>0</v>
      </c>
      <c r="AA84" s="65">
        <v>0</v>
      </c>
      <c r="AB84" s="65">
        <v>0</v>
      </c>
      <c r="AC84" s="65">
        <v>0</v>
      </c>
      <c r="AD84" s="65">
        <v>0</v>
      </c>
      <c r="AE84" s="65">
        <v>0</v>
      </c>
      <c r="AF84" s="65">
        <v>0</v>
      </c>
      <c r="AG84" s="65">
        <v>0</v>
      </c>
      <c r="AH84" s="65">
        <v>0</v>
      </c>
      <c r="AI84" s="65">
        <v>0</v>
      </c>
      <c r="AJ84" s="65">
        <v>0</v>
      </c>
      <c r="AK84" s="65">
        <v>0</v>
      </c>
      <c r="AL84" s="65">
        <v>0</v>
      </c>
      <c r="AM84" s="65">
        <v>0</v>
      </c>
      <c r="AN84" s="65">
        <v>0</v>
      </c>
      <c r="AO84" s="65">
        <v>0</v>
      </c>
      <c r="AP84" s="65">
        <v>0</v>
      </c>
      <c r="AQ84" s="65">
        <v>0</v>
      </c>
      <c r="AR84" s="65">
        <v>0</v>
      </c>
      <c r="AS84" s="65">
        <v>0</v>
      </c>
      <c r="AT84" s="65">
        <v>0</v>
      </c>
      <c r="AU84" s="65">
        <v>0</v>
      </c>
      <c r="AV84" s="65">
        <v>0</v>
      </c>
      <c r="AW84" s="65">
        <v>0</v>
      </c>
      <c r="AX84" s="65">
        <v>0</v>
      </c>
      <c r="AY84" s="65">
        <v>0</v>
      </c>
      <c r="AZ84" s="65">
        <v>0</v>
      </c>
      <c r="BA84" s="65">
        <v>0</v>
      </c>
      <c r="BB84" s="65">
        <v>0</v>
      </c>
      <c r="BC84" s="65">
        <v>0</v>
      </c>
      <c r="BD84" s="65">
        <v>0</v>
      </c>
    </row>
    <row r="85" spans="3:56" x14ac:dyDescent="0.25">
      <c r="C85" s="106"/>
      <c r="D85" s="41" t="s">
        <v>33</v>
      </c>
      <c r="E85" s="83">
        <f>(E79*E80)/3600/40/E81/(1-E82)+SUM(E83:E84)</f>
        <v>25.279760151006712</v>
      </c>
      <c r="F85" s="83">
        <f t="shared" ref="F85:BD85" si="19">(F79*F80)/3600/40/F81/(1-F82)+SUM(F83:F84)</f>
        <v>22.541559880416742</v>
      </c>
      <c r="G85" s="83">
        <f t="shared" si="19"/>
        <v>14.784163247053872</v>
      </c>
      <c r="H85" s="83">
        <f t="shared" si="19"/>
        <v>14.018334385521884</v>
      </c>
      <c r="I85" s="83">
        <f t="shared" si="19"/>
        <v>14.666815871683252</v>
      </c>
      <c r="J85" s="83">
        <f t="shared" si="19"/>
        <v>12.287950870646762</v>
      </c>
      <c r="K85" s="83">
        <f t="shared" si="19"/>
        <v>10.587440402155885</v>
      </c>
      <c r="L85" s="83">
        <f t="shared" si="19"/>
        <v>9.002091106965171</v>
      </c>
      <c r="M85" s="83">
        <f t="shared" si="19"/>
        <v>8.9585033815298516</v>
      </c>
      <c r="N85" s="84">
        <f t="shared" si="19"/>
        <v>10.035417943218954</v>
      </c>
      <c r="O85" s="83">
        <f t="shared" si="19"/>
        <v>11.495338988459967</v>
      </c>
      <c r="P85" s="83">
        <f t="shared" si="19"/>
        <v>11.96828299177651</v>
      </c>
      <c r="Q85" s="83">
        <f t="shared" si="19"/>
        <v>9.5861273770510085</v>
      </c>
      <c r="R85" s="83">
        <f t="shared" si="19"/>
        <v>10.00091839091581</v>
      </c>
      <c r="S85" s="83">
        <f t="shared" si="19"/>
        <v>10.795243489583333</v>
      </c>
      <c r="T85" s="83">
        <f t="shared" si="19"/>
        <v>12.367779356060604</v>
      </c>
      <c r="U85" s="83">
        <f t="shared" si="19"/>
        <v>12.246238425925924</v>
      </c>
      <c r="V85" s="83">
        <f t="shared" si="19"/>
        <v>14.627034748134326</v>
      </c>
      <c r="W85" s="83">
        <f t="shared" si="19"/>
        <v>15.033469371890543</v>
      </c>
      <c r="X85" s="83">
        <f t="shared" si="19"/>
        <v>19.429648437499999</v>
      </c>
      <c r="Y85" s="83">
        <f t="shared" si="19"/>
        <v>18.281698717948714</v>
      </c>
      <c r="Z85" s="83">
        <f t="shared" si="19"/>
        <v>17.280022702991449</v>
      </c>
      <c r="AA85" s="83">
        <f t="shared" si="19"/>
        <v>21.084126749263469</v>
      </c>
      <c r="AB85" s="83">
        <f t="shared" si="19"/>
        <v>19.89520300662879</v>
      </c>
      <c r="AC85" s="83">
        <f t="shared" si="19"/>
        <v>18.808452362163301</v>
      </c>
      <c r="AD85" s="83">
        <f t="shared" si="19"/>
        <v>15.734726051879084</v>
      </c>
      <c r="AE85" s="83">
        <f t="shared" si="19"/>
        <v>14.35369491185897</v>
      </c>
      <c r="AF85" s="83">
        <f t="shared" si="19"/>
        <v>16.064163327991448</v>
      </c>
      <c r="AG85" s="83">
        <f t="shared" si="19"/>
        <v>14.212075507680975</v>
      </c>
      <c r="AH85" s="83">
        <f t="shared" si="19"/>
        <v>16.918842066498314</v>
      </c>
      <c r="AI85" s="83">
        <f t="shared" si="19"/>
        <v>17.20799679985489</v>
      </c>
      <c r="AJ85" s="83">
        <f t="shared" si="19"/>
        <v>19.354314365671637</v>
      </c>
      <c r="AK85" s="83">
        <f t="shared" si="19"/>
        <v>20.216810154954395</v>
      </c>
      <c r="AL85" s="83">
        <f t="shared" si="19"/>
        <v>19.994771584784409</v>
      </c>
      <c r="AM85" s="83">
        <f t="shared" si="19"/>
        <v>17.331261696719629</v>
      </c>
      <c r="AN85" s="83">
        <f t="shared" si="19"/>
        <v>15.10653414444487</v>
      </c>
      <c r="AO85" s="83">
        <f t="shared" si="19"/>
        <v>15.379774565658382</v>
      </c>
      <c r="AP85" s="83">
        <f t="shared" si="19"/>
        <v>16.118195937923485</v>
      </c>
      <c r="AQ85" s="83">
        <f t="shared" si="19"/>
        <v>18.636101605507303</v>
      </c>
      <c r="AR85" s="83">
        <f t="shared" si="19"/>
        <v>16.940526599058273</v>
      </c>
      <c r="AS85" s="83">
        <f t="shared" si="19"/>
        <v>17.412719850566582</v>
      </c>
      <c r="AT85" s="83">
        <f t="shared" si="19"/>
        <v>18.440767317555515</v>
      </c>
      <c r="AU85" s="83">
        <f t="shared" si="19"/>
        <v>19.437872722434335</v>
      </c>
      <c r="AV85" s="83">
        <f t="shared" si="19"/>
        <v>22.33766190302066</v>
      </c>
      <c r="AW85" s="83">
        <f t="shared" si="19"/>
        <v>26.018884592549679</v>
      </c>
      <c r="AX85" s="83">
        <f t="shared" si="19"/>
        <v>30.001108954802138</v>
      </c>
      <c r="AY85" s="83">
        <f t="shared" si="19"/>
        <v>66.479872281760464</v>
      </c>
      <c r="AZ85" s="83">
        <f t="shared" si="19"/>
        <v>77.741418462789639</v>
      </c>
      <c r="BA85" s="83">
        <f t="shared" si="19"/>
        <v>70.706189486657237</v>
      </c>
      <c r="BB85" s="83">
        <f t="shared" si="19"/>
        <v>61.511616244865579</v>
      </c>
      <c r="BC85" s="83">
        <f t="shared" si="19"/>
        <v>36.48537690225691</v>
      </c>
      <c r="BD85" s="83">
        <f t="shared" si="19"/>
        <v>32.532856943151629</v>
      </c>
    </row>
    <row r="86" spans="3:56" x14ac:dyDescent="0.25">
      <c r="C86" s="106"/>
      <c r="E86" s="45"/>
      <c r="F86" s="45"/>
      <c r="G86" s="45"/>
      <c r="H86" s="45"/>
      <c r="I86" s="45"/>
      <c r="J86" s="45"/>
      <c r="K86" s="45"/>
      <c r="L86" s="45"/>
      <c r="M86" s="45"/>
    </row>
    <row r="87" spans="3:56" x14ac:dyDescent="0.25">
      <c r="C87" s="106"/>
      <c r="D87" s="49" t="s">
        <v>34</v>
      </c>
      <c r="E87" s="65">
        <v>42.4</v>
      </c>
      <c r="F87" s="65">
        <v>35.287500000000001</v>
      </c>
      <c r="G87" s="65">
        <v>32.299999999999997</v>
      </c>
      <c r="H87" s="65">
        <v>13.55</v>
      </c>
      <c r="I87" s="65">
        <v>9.5500000000000007</v>
      </c>
      <c r="J87" s="65">
        <v>9.5500000000000007</v>
      </c>
      <c r="K87" s="65">
        <v>9.5500000000000007</v>
      </c>
      <c r="L87" s="65">
        <v>9.5124999999999993</v>
      </c>
      <c r="M87" s="65">
        <v>9</v>
      </c>
      <c r="N87" s="65">
        <v>9.5</v>
      </c>
      <c r="O87" s="65">
        <v>11.5</v>
      </c>
      <c r="P87" s="65">
        <v>11.5</v>
      </c>
      <c r="Q87" s="65">
        <v>11.5</v>
      </c>
      <c r="R87" s="65">
        <v>11.5</v>
      </c>
      <c r="S87" s="65">
        <v>11</v>
      </c>
      <c r="T87" s="65">
        <v>11</v>
      </c>
      <c r="U87" s="65">
        <v>9</v>
      </c>
      <c r="V87" s="65">
        <v>9</v>
      </c>
      <c r="W87" s="65">
        <v>9</v>
      </c>
      <c r="X87" s="65">
        <v>9</v>
      </c>
      <c r="Y87" s="65">
        <v>8.9550000000000001</v>
      </c>
      <c r="Z87" s="65">
        <v>8.9102250000000005</v>
      </c>
      <c r="AA87" s="65">
        <v>8.8656738750000006</v>
      </c>
      <c r="AB87" s="65">
        <v>8.8213455056250005</v>
      </c>
      <c r="AC87" s="65">
        <v>8.7772387780968764</v>
      </c>
      <c r="AD87" s="65">
        <v>8.7333525842063917</v>
      </c>
      <c r="AE87" s="65">
        <v>8.6896858212853605</v>
      </c>
      <c r="AF87" s="65">
        <v>8.6462373921789339</v>
      </c>
      <c r="AG87" s="65">
        <v>8.6030062052180387</v>
      </c>
      <c r="AH87" s="65">
        <v>8.5599911741919481</v>
      </c>
      <c r="AI87" s="65">
        <v>8.5171912183209884</v>
      </c>
      <c r="AJ87" s="65">
        <v>8.4746052622293835</v>
      </c>
      <c r="AK87" s="65">
        <v>8.4322322359182369</v>
      </c>
      <c r="AL87" s="65">
        <v>8.3900710747386462</v>
      </c>
      <c r="AM87" s="65">
        <v>8.3481207193649531</v>
      </c>
      <c r="AN87" s="65">
        <v>8.3063801157681283</v>
      </c>
      <c r="AO87" s="65">
        <v>8.2648482151892875</v>
      </c>
      <c r="AP87" s="65">
        <v>8.2235239741133412</v>
      </c>
      <c r="AQ87" s="65">
        <v>8.1824063542427741</v>
      </c>
      <c r="AR87" s="65">
        <v>8.1414943224715604</v>
      </c>
      <c r="AS87" s="65">
        <v>8.1007868508592029</v>
      </c>
      <c r="AT87" s="65">
        <v>11.060282916604907</v>
      </c>
      <c r="AU87" s="65">
        <v>11.004981502021883</v>
      </c>
      <c r="AV87" s="65">
        <v>10.949956594511773</v>
      </c>
      <c r="AW87" s="65">
        <v>10.895206811539214</v>
      </c>
      <c r="AX87" s="65">
        <v>10.840730777481518</v>
      </c>
      <c r="AY87" s="65">
        <v>10.78652712359411</v>
      </c>
      <c r="AZ87" s="65">
        <v>10.73259448797614</v>
      </c>
      <c r="BA87" s="65">
        <v>10.571605570656498</v>
      </c>
      <c r="BB87" s="65">
        <v>10.413031487096651</v>
      </c>
      <c r="BC87" s="65">
        <v>10.256836014790201</v>
      </c>
      <c r="BD87" s="65">
        <v>10.102983474568347</v>
      </c>
    </row>
    <row r="88" spans="3:56" x14ac:dyDescent="0.25">
      <c r="C88" s="106"/>
      <c r="D88" s="49" t="s">
        <v>35</v>
      </c>
      <c r="E88" s="65">
        <v>5.75</v>
      </c>
      <c r="F88" s="65">
        <v>3</v>
      </c>
      <c r="G88" s="65">
        <v>3</v>
      </c>
      <c r="H88" s="65">
        <v>2</v>
      </c>
      <c r="I88" s="65">
        <v>2</v>
      </c>
      <c r="J88" s="65">
        <v>2</v>
      </c>
      <c r="K88" s="65">
        <v>2</v>
      </c>
      <c r="L88" s="65">
        <v>2</v>
      </c>
      <c r="M88" s="65">
        <v>8.46875</v>
      </c>
      <c r="N88" s="65">
        <v>8.46875</v>
      </c>
      <c r="O88" s="65">
        <v>10.518750000000001</v>
      </c>
      <c r="P88" s="65">
        <v>9.52</v>
      </c>
      <c r="Q88" s="65">
        <v>10.518750000000001</v>
      </c>
      <c r="R88" s="65">
        <v>10.518750000000001</v>
      </c>
      <c r="S88" s="65">
        <v>10.518750000000001</v>
      </c>
      <c r="T88" s="65">
        <v>10.518750000000001</v>
      </c>
      <c r="U88" s="65">
        <v>8.5187500000000007</v>
      </c>
      <c r="V88" s="65">
        <v>8.5187500000000007</v>
      </c>
      <c r="W88" s="65">
        <v>7.5187499999999998</v>
      </c>
      <c r="X88" s="65">
        <v>7.5187499999999998</v>
      </c>
      <c r="Y88" s="65">
        <v>7.4811562499999997</v>
      </c>
      <c r="Z88" s="65">
        <v>7.4437504687499993</v>
      </c>
      <c r="AA88" s="65">
        <v>7.4065317164062492</v>
      </c>
      <c r="AB88" s="65">
        <v>7.3694990578242177</v>
      </c>
      <c r="AC88" s="65">
        <v>7.332651562535097</v>
      </c>
      <c r="AD88" s="65">
        <v>7.2959883047224219</v>
      </c>
      <c r="AE88" s="65">
        <v>7.25950836319881</v>
      </c>
      <c r="AF88" s="65">
        <v>7.2232108213828159</v>
      </c>
      <c r="AG88" s="65">
        <v>7.1870947672759016</v>
      </c>
      <c r="AH88" s="65">
        <v>7.1511592934395223</v>
      </c>
      <c r="AI88" s="65">
        <v>7.1154034969723243</v>
      </c>
      <c r="AJ88" s="65">
        <v>7.0798264794874628</v>
      </c>
      <c r="AK88" s="65">
        <v>8.0444273470900249</v>
      </c>
      <c r="AL88" s="65">
        <v>9.0042052103545753</v>
      </c>
      <c r="AM88" s="65">
        <v>8.9591841843028028</v>
      </c>
      <c r="AN88" s="65">
        <v>8.914388263381289</v>
      </c>
      <c r="AO88" s="65">
        <v>8.8698163220643824</v>
      </c>
      <c r="AP88" s="65">
        <v>8.8254672404540599</v>
      </c>
      <c r="AQ88" s="65">
        <v>12.781339904251789</v>
      </c>
      <c r="AR88" s="65">
        <v>12.717433204730529</v>
      </c>
      <c r="AS88" s="65">
        <v>12.653846038706877</v>
      </c>
      <c r="AT88" s="65">
        <v>15.590576808513344</v>
      </c>
      <c r="AU88" s="65">
        <v>15.512623924470777</v>
      </c>
      <c r="AV88" s="65">
        <v>19.435060804848423</v>
      </c>
      <c r="AW88" s="65">
        <v>49.337885500824186</v>
      </c>
      <c r="AX88" s="65">
        <v>49.091196073320063</v>
      </c>
      <c r="AY88" s="65">
        <v>48.845740092953463</v>
      </c>
      <c r="AZ88" s="65">
        <v>48.601511392488696</v>
      </c>
      <c r="BA88" s="65">
        <v>41.872488721601364</v>
      </c>
      <c r="BB88" s="65">
        <v>37.244401390777341</v>
      </c>
      <c r="BC88" s="65">
        <v>22.685735369915683</v>
      </c>
      <c r="BD88" s="65">
        <v>16.345449339366947</v>
      </c>
    </row>
    <row r="89" spans="3:56" x14ac:dyDescent="0.25">
      <c r="C89" s="106"/>
      <c r="D89" s="49" t="s">
        <v>36</v>
      </c>
      <c r="E89" s="65">
        <v>0</v>
      </c>
      <c r="F89" s="65">
        <v>0</v>
      </c>
      <c r="G89" s="65">
        <v>0</v>
      </c>
      <c r="H89" s="65">
        <v>0</v>
      </c>
      <c r="I89" s="65">
        <v>0</v>
      </c>
      <c r="J89" s="65">
        <v>0</v>
      </c>
      <c r="K89" s="65">
        <v>0</v>
      </c>
      <c r="L89" s="65">
        <v>0</v>
      </c>
      <c r="M89" s="65">
        <v>0</v>
      </c>
      <c r="N89" s="65">
        <v>0</v>
      </c>
      <c r="O89" s="65">
        <v>0</v>
      </c>
      <c r="P89" s="65">
        <v>0</v>
      </c>
      <c r="Q89" s="65">
        <v>0</v>
      </c>
      <c r="R89" s="65">
        <v>0</v>
      </c>
      <c r="S89" s="65">
        <v>0</v>
      </c>
      <c r="T89" s="65">
        <v>0</v>
      </c>
      <c r="U89" s="65">
        <v>0</v>
      </c>
      <c r="V89" s="65">
        <v>0</v>
      </c>
      <c r="W89" s="65">
        <v>0</v>
      </c>
      <c r="X89" s="65">
        <v>0</v>
      </c>
      <c r="Y89" s="65">
        <v>0</v>
      </c>
      <c r="Z89" s="65">
        <v>0</v>
      </c>
      <c r="AA89" s="65">
        <v>0</v>
      </c>
      <c r="AB89" s="65">
        <v>0</v>
      </c>
      <c r="AC89" s="65">
        <v>0</v>
      </c>
      <c r="AD89" s="65">
        <v>0</v>
      </c>
      <c r="AE89" s="65">
        <v>0</v>
      </c>
      <c r="AF89" s="65">
        <v>0</v>
      </c>
      <c r="AG89" s="65">
        <v>0</v>
      </c>
      <c r="AH89" s="65">
        <v>0</v>
      </c>
      <c r="AI89" s="65">
        <v>0</v>
      </c>
      <c r="AJ89" s="65">
        <v>0</v>
      </c>
      <c r="AK89" s="65">
        <v>0</v>
      </c>
      <c r="AL89" s="65">
        <v>0</v>
      </c>
      <c r="AM89" s="65">
        <v>0</v>
      </c>
      <c r="AN89" s="65">
        <v>0</v>
      </c>
      <c r="AO89" s="65">
        <v>0</v>
      </c>
      <c r="AP89" s="65">
        <v>0</v>
      </c>
      <c r="AQ89" s="65">
        <v>0</v>
      </c>
      <c r="AR89" s="65">
        <v>0</v>
      </c>
      <c r="AS89" s="65">
        <v>0</v>
      </c>
      <c r="AT89" s="65">
        <v>0</v>
      </c>
      <c r="AU89" s="65">
        <v>0</v>
      </c>
      <c r="AV89" s="65">
        <v>0</v>
      </c>
      <c r="AW89" s="65">
        <v>0</v>
      </c>
      <c r="AX89" s="65">
        <v>0</v>
      </c>
      <c r="AY89" s="65">
        <v>0</v>
      </c>
      <c r="AZ89" s="65">
        <v>0</v>
      </c>
      <c r="BA89" s="65">
        <v>0</v>
      </c>
      <c r="BB89" s="65">
        <v>0</v>
      </c>
      <c r="BC89" s="65">
        <v>0</v>
      </c>
      <c r="BD89" s="65">
        <v>0</v>
      </c>
    </row>
    <row r="90" spans="3:56" x14ac:dyDescent="0.25">
      <c r="C90" s="106"/>
      <c r="D90" s="49" t="s">
        <v>37</v>
      </c>
      <c r="E90" s="65">
        <v>0</v>
      </c>
      <c r="F90" s="65">
        <v>0</v>
      </c>
      <c r="G90" s="65">
        <v>0</v>
      </c>
      <c r="H90" s="65">
        <v>0</v>
      </c>
      <c r="I90" s="65">
        <v>0</v>
      </c>
      <c r="J90" s="65">
        <v>0</v>
      </c>
      <c r="K90" s="65">
        <v>0</v>
      </c>
      <c r="L90" s="65">
        <v>0</v>
      </c>
      <c r="M90" s="65">
        <v>0</v>
      </c>
      <c r="N90" s="65">
        <v>0</v>
      </c>
      <c r="O90" s="65">
        <v>0</v>
      </c>
      <c r="P90" s="65">
        <v>0</v>
      </c>
      <c r="Q90" s="65">
        <v>0</v>
      </c>
      <c r="R90" s="65">
        <v>0</v>
      </c>
      <c r="S90" s="65">
        <v>0</v>
      </c>
      <c r="T90" s="65">
        <v>0</v>
      </c>
      <c r="U90" s="65">
        <v>0</v>
      </c>
      <c r="V90" s="65">
        <v>0</v>
      </c>
      <c r="W90" s="65">
        <v>0</v>
      </c>
      <c r="X90" s="65">
        <v>0</v>
      </c>
      <c r="Y90" s="65">
        <v>0</v>
      </c>
      <c r="Z90" s="65">
        <v>0</v>
      </c>
      <c r="AA90" s="65">
        <v>0</v>
      </c>
      <c r="AB90" s="65">
        <v>0</v>
      </c>
      <c r="AC90" s="65">
        <v>0</v>
      </c>
      <c r="AD90" s="65">
        <v>0</v>
      </c>
      <c r="AE90" s="65">
        <v>0</v>
      </c>
      <c r="AF90" s="65">
        <v>0</v>
      </c>
      <c r="AG90" s="65">
        <v>0</v>
      </c>
      <c r="AH90" s="65">
        <v>0</v>
      </c>
      <c r="AI90" s="65">
        <v>0</v>
      </c>
      <c r="AJ90" s="65">
        <v>0</v>
      </c>
      <c r="AK90" s="65">
        <v>0</v>
      </c>
      <c r="AL90" s="65">
        <v>0</v>
      </c>
      <c r="AM90" s="65">
        <v>0</v>
      </c>
      <c r="AN90" s="65">
        <v>0</v>
      </c>
      <c r="AO90" s="65">
        <v>0</v>
      </c>
      <c r="AP90" s="65">
        <v>0</v>
      </c>
      <c r="AQ90" s="65">
        <v>0</v>
      </c>
      <c r="AR90" s="65">
        <v>0</v>
      </c>
      <c r="AS90" s="65">
        <v>0</v>
      </c>
      <c r="AT90" s="65">
        <v>0</v>
      </c>
      <c r="AU90" s="65">
        <v>0</v>
      </c>
      <c r="AV90" s="65">
        <v>0</v>
      </c>
      <c r="AW90" s="65">
        <v>0</v>
      </c>
      <c r="AX90" s="65">
        <v>0</v>
      </c>
      <c r="AY90" s="65">
        <v>0</v>
      </c>
      <c r="AZ90" s="65">
        <v>0</v>
      </c>
      <c r="BA90" s="65">
        <v>0</v>
      </c>
      <c r="BB90" s="65">
        <v>0</v>
      </c>
      <c r="BC90" s="65">
        <v>0</v>
      </c>
      <c r="BD90" s="65">
        <v>0</v>
      </c>
    </row>
    <row r="91" spans="3:56" x14ac:dyDescent="0.25">
      <c r="C91" s="106"/>
      <c r="D91" s="49" t="s">
        <v>38</v>
      </c>
      <c r="E91" s="65">
        <v>25.177</v>
      </c>
      <c r="F91" s="65">
        <v>23.3645</v>
      </c>
      <c r="G91" s="65">
        <v>17.643750000000001</v>
      </c>
      <c r="H91" s="65">
        <v>13.44375</v>
      </c>
      <c r="I91" s="65">
        <v>10.018750000000001</v>
      </c>
      <c r="J91" s="65">
        <v>10.018750000000001</v>
      </c>
      <c r="K91" s="65">
        <v>10.018750000000001</v>
      </c>
      <c r="L91" s="65">
        <v>10.018750000000001</v>
      </c>
      <c r="M91" s="65">
        <v>0</v>
      </c>
      <c r="N91" s="65">
        <v>0</v>
      </c>
      <c r="O91" s="65">
        <v>0</v>
      </c>
      <c r="P91" s="65">
        <v>0</v>
      </c>
      <c r="Q91" s="65">
        <v>0</v>
      </c>
      <c r="R91" s="65">
        <v>0</v>
      </c>
      <c r="S91" s="65">
        <v>0</v>
      </c>
      <c r="T91" s="65">
        <v>0</v>
      </c>
      <c r="U91" s="65">
        <v>0</v>
      </c>
      <c r="V91" s="65">
        <v>0</v>
      </c>
      <c r="W91" s="65">
        <v>0</v>
      </c>
      <c r="X91" s="65">
        <v>0</v>
      </c>
      <c r="Y91" s="65">
        <v>0</v>
      </c>
      <c r="Z91" s="65">
        <v>0</v>
      </c>
      <c r="AA91" s="65">
        <v>0</v>
      </c>
      <c r="AB91" s="65">
        <v>0</v>
      </c>
      <c r="AC91" s="65">
        <v>0</v>
      </c>
      <c r="AD91" s="65">
        <v>0</v>
      </c>
      <c r="AE91" s="65">
        <v>0</v>
      </c>
      <c r="AF91" s="65">
        <v>0</v>
      </c>
      <c r="AG91" s="65">
        <v>0</v>
      </c>
      <c r="AH91" s="65">
        <v>0</v>
      </c>
      <c r="AI91" s="65">
        <v>0</v>
      </c>
      <c r="AJ91" s="65">
        <v>0</v>
      </c>
      <c r="AK91" s="65">
        <v>0</v>
      </c>
      <c r="AL91" s="65">
        <v>0</v>
      </c>
      <c r="AM91" s="65">
        <v>0</v>
      </c>
      <c r="AN91" s="65">
        <v>0</v>
      </c>
      <c r="AO91" s="65">
        <v>0</v>
      </c>
      <c r="AP91" s="65">
        <v>0</v>
      </c>
      <c r="AQ91" s="65">
        <v>0</v>
      </c>
      <c r="AR91" s="65">
        <v>0</v>
      </c>
      <c r="AS91" s="65">
        <v>0</v>
      </c>
      <c r="AT91" s="65">
        <v>0</v>
      </c>
      <c r="AU91" s="65">
        <v>0</v>
      </c>
      <c r="AV91" s="65">
        <v>0</v>
      </c>
      <c r="AW91" s="65">
        <v>0</v>
      </c>
      <c r="AX91" s="65">
        <v>0</v>
      </c>
      <c r="AY91" s="65">
        <v>0</v>
      </c>
      <c r="AZ91" s="65">
        <v>0</v>
      </c>
      <c r="BA91" s="65">
        <v>0</v>
      </c>
      <c r="BB91" s="65">
        <v>0</v>
      </c>
      <c r="BC91" s="65">
        <v>0</v>
      </c>
      <c r="BD91" s="65">
        <v>0</v>
      </c>
    </row>
    <row r="92" spans="3:56" x14ac:dyDescent="0.25">
      <c r="C92" s="106"/>
      <c r="D92" s="49" t="s">
        <v>39</v>
      </c>
      <c r="E92" s="65">
        <v>0</v>
      </c>
      <c r="F92" s="65">
        <v>0</v>
      </c>
      <c r="G92" s="65">
        <v>0</v>
      </c>
      <c r="H92" s="65">
        <v>0</v>
      </c>
      <c r="I92" s="65">
        <v>0</v>
      </c>
      <c r="J92" s="65">
        <v>0</v>
      </c>
      <c r="K92" s="65">
        <v>0</v>
      </c>
      <c r="L92" s="65">
        <v>0</v>
      </c>
      <c r="M92" s="65">
        <v>0</v>
      </c>
      <c r="N92" s="65">
        <v>0</v>
      </c>
      <c r="O92" s="65">
        <v>0</v>
      </c>
      <c r="P92" s="65">
        <v>0</v>
      </c>
      <c r="Q92" s="65">
        <v>0</v>
      </c>
      <c r="R92" s="65">
        <v>0</v>
      </c>
      <c r="S92" s="65">
        <v>0</v>
      </c>
      <c r="T92" s="65">
        <v>0</v>
      </c>
      <c r="U92" s="65">
        <v>0</v>
      </c>
      <c r="V92" s="65">
        <v>0</v>
      </c>
      <c r="W92" s="65">
        <v>0</v>
      </c>
      <c r="X92" s="65">
        <v>0</v>
      </c>
      <c r="Y92" s="65">
        <v>0</v>
      </c>
      <c r="Z92" s="65">
        <v>0</v>
      </c>
      <c r="AA92" s="65">
        <v>0</v>
      </c>
      <c r="AB92" s="65">
        <v>0</v>
      </c>
      <c r="AC92" s="65">
        <v>0</v>
      </c>
      <c r="AD92" s="65">
        <v>0</v>
      </c>
      <c r="AE92" s="65">
        <v>0</v>
      </c>
      <c r="AF92" s="65">
        <v>0</v>
      </c>
      <c r="AG92" s="65">
        <v>0</v>
      </c>
      <c r="AH92" s="65">
        <v>0</v>
      </c>
      <c r="AI92" s="65">
        <v>0</v>
      </c>
      <c r="AJ92" s="65">
        <v>0</v>
      </c>
      <c r="AK92" s="65">
        <v>0</v>
      </c>
      <c r="AL92" s="65">
        <v>0</v>
      </c>
      <c r="AM92" s="65">
        <v>0</v>
      </c>
      <c r="AN92" s="65">
        <v>0</v>
      </c>
      <c r="AO92" s="65">
        <v>0</v>
      </c>
      <c r="AP92" s="65">
        <v>0</v>
      </c>
      <c r="AQ92" s="65">
        <v>0</v>
      </c>
      <c r="AR92" s="65">
        <v>0</v>
      </c>
      <c r="AS92" s="65">
        <v>0</v>
      </c>
      <c r="AT92" s="65">
        <v>0</v>
      </c>
      <c r="AU92" s="65">
        <v>0</v>
      </c>
      <c r="AV92" s="65">
        <v>0</v>
      </c>
      <c r="AW92" s="65">
        <v>0</v>
      </c>
      <c r="AX92" s="65">
        <v>0</v>
      </c>
      <c r="AY92" s="65">
        <v>0</v>
      </c>
      <c r="AZ92" s="65">
        <v>0</v>
      </c>
      <c r="BA92" s="65">
        <v>0</v>
      </c>
      <c r="BB92" s="65">
        <v>0</v>
      </c>
      <c r="BC92" s="65">
        <v>0</v>
      </c>
      <c r="BD92" s="65">
        <v>0</v>
      </c>
    </row>
    <row r="93" spans="3:56" x14ac:dyDescent="0.25">
      <c r="C93" s="106"/>
      <c r="D93" s="49" t="s">
        <v>40</v>
      </c>
      <c r="E93" s="65">
        <v>0</v>
      </c>
      <c r="F93" s="65">
        <v>0</v>
      </c>
      <c r="G93" s="65">
        <v>0</v>
      </c>
      <c r="H93" s="65">
        <v>0</v>
      </c>
      <c r="I93" s="65">
        <v>0</v>
      </c>
      <c r="J93" s="65">
        <v>0</v>
      </c>
      <c r="K93" s="65">
        <v>0</v>
      </c>
      <c r="L93" s="65">
        <v>0</v>
      </c>
      <c r="M93" s="65">
        <v>0</v>
      </c>
      <c r="N93" s="65">
        <v>0</v>
      </c>
      <c r="O93" s="65">
        <v>0</v>
      </c>
      <c r="P93" s="65">
        <v>0</v>
      </c>
      <c r="Q93" s="65">
        <v>0</v>
      </c>
      <c r="R93" s="65">
        <v>0</v>
      </c>
      <c r="S93" s="65">
        <v>0</v>
      </c>
      <c r="T93" s="65">
        <v>0</v>
      </c>
      <c r="U93" s="65">
        <v>0</v>
      </c>
      <c r="V93" s="65">
        <v>0</v>
      </c>
      <c r="W93" s="65">
        <v>0</v>
      </c>
      <c r="X93" s="65">
        <v>0</v>
      </c>
      <c r="Y93" s="65">
        <v>0</v>
      </c>
      <c r="Z93" s="65">
        <v>0</v>
      </c>
      <c r="AA93" s="65">
        <v>0</v>
      </c>
      <c r="AB93" s="65">
        <v>0</v>
      </c>
      <c r="AC93" s="65">
        <v>0</v>
      </c>
      <c r="AD93" s="65">
        <v>0</v>
      </c>
      <c r="AE93" s="65">
        <v>0</v>
      </c>
      <c r="AF93" s="65">
        <v>0</v>
      </c>
      <c r="AG93" s="65">
        <v>0</v>
      </c>
      <c r="AH93" s="65">
        <v>0</v>
      </c>
      <c r="AI93" s="65">
        <v>0</v>
      </c>
      <c r="AJ93" s="65">
        <v>0</v>
      </c>
      <c r="AK93" s="65">
        <v>0</v>
      </c>
      <c r="AL93" s="65">
        <v>0</v>
      </c>
      <c r="AM93" s="65">
        <v>0</v>
      </c>
      <c r="AN93" s="65">
        <v>0</v>
      </c>
      <c r="AO93" s="65">
        <v>0</v>
      </c>
      <c r="AP93" s="65">
        <v>0</v>
      </c>
      <c r="AQ93" s="65">
        <v>0</v>
      </c>
      <c r="AR93" s="65">
        <v>0</v>
      </c>
      <c r="AS93" s="65">
        <v>0</v>
      </c>
      <c r="AT93" s="65">
        <v>0</v>
      </c>
      <c r="AU93" s="65">
        <v>0</v>
      </c>
      <c r="AV93" s="65">
        <v>0</v>
      </c>
      <c r="AW93" s="65">
        <v>0</v>
      </c>
      <c r="AX93" s="65">
        <v>0</v>
      </c>
      <c r="AY93" s="65">
        <v>0</v>
      </c>
      <c r="AZ93" s="65">
        <v>0</v>
      </c>
      <c r="BA93" s="65">
        <v>0</v>
      </c>
      <c r="BB93" s="65">
        <v>0</v>
      </c>
      <c r="BC93" s="65">
        <v>0</v>
      </c>
      <c r="BD93" s="65">
        <v>0</v>
      </c>
    </row>
    <row r="94" spans="3:56" x14ac:dyDescent="0.25">
      <c r="C94" s="106"/>
      <c r="D94" s="50" t="s">
        <v>41</v>
      </c>
      <c r="E94" s="54">
        <f t="shared" ref="E94:BD94" si="20">(SUM(E87:E93)*E96)/((40*(1-E95)+40))</f>
        <v>0</v>
      </c>
      <c r="F94" s="54">
        <f t="shared" si="20"/>
        <v>0</v>
      </c>
      <c r="G94" s="54">
        <f t="shared" si="20"/>
        <v>0</v>
      </c>
      <c r="H94" s="54">
        <f t="shared" si="20"/>
        <v>0</v>
      </c>
      <c r="I94" s="54">
        <f t="shared" si="20"/>
        <v>0</v>
      </c>
      <c r="J94" s="54">
        <f t="shared" si="20"/>
        <v>0</v>
      </c>
      <c r="K94" s="54">
        <f t="shared" si="20"/>
        <v>-2.8133152173913047</v>
      </c>
      <c r="L94" s="54">
        <f t="shared" si="20"/>
        <v>-1.8722826086956521</v>
      </c>
      <c r="M94" s="54">
        <f t="shared" si="20"/>
        <v>-1.5190217391304348</v>
      </c>
      <c r="N94" s="54">
        <f t="shared" si="20"/>
        <v>-0.78125</v>
      </c>
      <c r="O94" s="54">
        <f t="shared" si="20"/>
        <v>0</v>
      </c>
      <c r="P94" s="54">
        <f t="shared" si="20"/>
        <v>0</v>
      </c>
      <c r="Q94" s="54">
        <f t="shared" si="20"/>
        <v>-1.9146739130434782</v>
      </c>
      <c r="R94" s="54">
        <f t="shared" si="20"/>
        <v>0</v>
      </c>
      <c r="S94" s="54">
        <f t="shared" si="20"/>
        <v>-0.93559782608695652</v>
      </c>
      <c r="T94" s="54">
        <f t="shared" si="20"/>
        <v>-1.871195652173913</v>
      </c>
      <c r="U94" s="54">
        <f t="shared" si="20"/>
        <v>-1.5233695652173913</v>
      </c>
      <c r="V94" s="54">
        <f t="shared" si="20"/>
        <v>0</v>
      </c>
      <c r="W94" s="54">
        <f t="shared" si="20"/>
        <v>0</v>
      </c>
      <c r="X94" s="54">
        <f t="shared" si="20"/>
        <v>0</v>
      </c>
      <c r="Y94" s="54">
        <f t="shared" si="20"/>
        <v>0</v>
      </c>
      <c r="Z94" s="54">
        <f t="shared" si="20"/>
        <v>0</v>
      </c>
      <c r="AA94" s="54">
        <f t="shared" si="20"/>
        <v>0</v>
      </c>
      <c r="AB94" s="54">
        <f t="shared" si="20"/>
        <v>0</v>
      </c>
      <c r="AC94" s="54">
        <f t="shared" si="20"/>
        <v>0</v>
      </c>
      <c r="AD94" s="54">
        <f t="shared" si="20"/>
        <v>0</v>
      </c>
      <c r="AE94" s="54">
        <f t="shared" si="20"/>
        <v>0</v>
      </c>
      <c r="AF94" s="54">
        <f t="shared" si="20"/>
        <v>0</v>
      </c>
      <c r="AG94" s="54">
        <f t="shared" si="20"/>
        <v>0</v>
      </c>
      <c r="AH94" s="54">
        <f t="shared" si="20"/>
        <v>0</v>
      </c>
      <c r="AI94" s="54">
        <f t="shared" si="20"/>
        <v>0</v>
      </c>
      <c r="AJ94" s="54">
        <f t="shared" si="20"/>
        <v>0</v>
      </c>
      <c r="AK94" s="54">
        <f t="shared" si="20"/>
        <v>0</v>
      </c>
      <c r="AL94" s="54">
        <f t="shared" si="20"/>
        <v>0</v>
      </c>
      <c r="AM94" s="54">
        <f t="shared" si="20"/>
        <v>0</v>
      </c>
      <c r="AN94" s="54">
        <f t="shared" si="20"/>
        <v>0</v>
      </c>
      <c r="AO94" s="54">
        <f t="shared" si="20"/>
        <v>0</v>
      </c>
      <c r="AP94" s="54">
        <f t="shared" si="20"/>
        <v>0</v>
      </c>
      <c r="AQ94" s="54">
        <f t="shared" si="20"/>
        <v>0</v>
      </c>
      <c r="AR94" s="54">
        <f t="shared" si="20"/>
        <v>0</v>
      </c>
      <c r="AS94" s="54">
        <f t="shared" si="20"/>
        <v>0</v>
      </c>
      <c r="AT94" s="54">
        <f t="shared" si="20"/>
        <v>0</v>
      </c>
      <c r="AU94" s="54">
        <f t="shared" si="20"/>
        <v>0</v>
      </c>
      <c r="AV94" s="54">
        <f t="shared" si="20"/>
        <v>0</v>
      </c>
      <c r="AW94" s="54">
        <f t="shared" si="20"/>
        <v>0</v>
      </c>
      <c r="AX94" s="54">
        <f t="shared" si="20"/>
        <v>0</v>
      </c>
      <c r="AY94" s="54">
        <f t="shared" si="20"/>
        <v>0</v>
      </c>
      <c r="AZ94" s="54">
        <f t="shared" si="20"/>
        <v>0</v>
      </c>
      <c r="BA94" s="54">
        <f t="shared" si="20"/>
        <v>0</v>
      </c>
      <c r="BB94" s="54">
        <f t="shared" si="20"/>
        <v>0</v>
      </c>
      <c r="BC94" s="54">
        <f t="shared" si="20"/>
        <v>0</v>
      </c>
      <c r="BD94" s="54">
        <f t="shared" si="20"/>
        <v>0</v>
      </c>
    </row>
    <row r="95" spans="3:56" x14ac:dyDescent="0.25">
      <c r="C95" s="106"/>
      <c r="D95" s="50" t="s">
        <v>42</v>
      </c>
      <c r="E95" s="67">
        <v>0.85</v>
      </c>
      <c r="F95" s="67">
        <v>0.85</v>
      </c>
      <c r="G95" s="67">
        <v>0.85</v>
      </c>
      <c r="H95" s="67">
        <v>0.85</v>
      </c>
      <c r="I95" s="67">
        <v>0.85</v>
      </c>
      <c r="J95" s="67">
        <v>0.85</v>
      </c>
      <c r="K95" s="67">
        <v>0.85</v>
      </c>
      <c r="L95" s="67">
        <v>0.85</v>
      </c>
      <c r="M95" s="67">
        <v>0.85</v>
      </c>
      <c r="N95" s="67">
        <v>0.85</v>
      </c>
      <c r="O95" s="67">
        <v>0.85</v>
      </c>
      <c r="P95" s="67">
        <v>0.85</v>
      </c>
      <c r="Q95" s="67">
        <v>0.85</v>
      </c>
      <c r="R95" s="67">
        <v>0.85</v>
      </c>
      <c r="S95" s="67">
        <v>0.85</v>
      </c>
      <c r="T95" s="67">
        <v>0.85</v>
      </c>
      <c r="U95" s="67">
        <v>0.85</v>
      </c>
      <c r="V95" s="67">
        <v>0.85</v>
      </c>
      <c r="W95" s="67">
        <v>0.85</v>
      </c>
      <c r="X95" s="67">
        <v>0.85</v>
      </c>
      <c r="Y95" s="67">
        <v>0.85</v>
      </c>
      <c r="Z95" s="67">
        <v>0.85</v>
      </c>
      <c r="AA95" s="67">
        <v>0.85</v>
      </c>
      <c r="AB95" s="67">
        <v>0.85</v>
      </c>
      <c r="AC95" s="67">
        <v>0.85</v>
      </c>
      <c r="AD95" s="67">
        <v>0.85</v>
      </c>
      <c r="AE95" s="67">
        <v>0.85</v>
      </c>
      <c r="AF95" s="67">
        <v>0.85</v>
      </c>
      <c r="AG95" s="67">
        <v>0.85</v>
      </c>
      <c r="AH95" s="67">
        <v>0.85</v>
      </c>
      <c r="AI95" s="67">
        <v>0.85</v>
      </c>
      <c r="AJ95" s="67">
        <v>0.85</v>
      </c>
      <c r="AK95" s="67">
        <v>0.85</v>
      </c>
      <c r="AL95" s="67">
        <v>0.85</v>
      </c>
      <c r="AM95" s="67">
        <v>0.85</v>
      </c>
      <c r="AN95" s="67">
        <v>0.85</v>
      </c>
      <c r="AO95" s="67">
        <v>0.85</v>
      </c>
      <c r="AP95" s="67">
        <v>0.85</v>
      </c>
      <c r="AQ95" s="67">
        <v>0.85</v>
      </c>
      <c r="AR95" s="67">
        <v>0.85</v>
      </c>
      <c r="AS95" s="67">
        <v>0.85</v>
      </c>
      <c r="AT95" s="67">
        <v>0.85</v>
      </c>
      <c r="AU95" s="67">
        <v>0.85</v>
      </c>
      <c r="AV95" s="67">
        <v>0.85</v>
      </c>
      <c r="AW95" s="67">
        <v>0.85</v>
      </c>
      <c r="AX95" s="67">
        <v>0.85</v>
      </c>
      <c r="AY95" s="67">
        <v>0.85</v>
      </c>
      <c r="AZ95" s="67">
        <v>0.85</v>
      </c>
      <c r="BA95" s="67">
        <v>0.85</v>
      </c>
      <c r="BB95" s="67">
        <v>0.85</v>
      </c>
      <c r="BC95" s="67">
        <v>0.85</v>
      </c>
      <c r="BD95" s="67">
        <v>0.85</v>
      </c>
    </row>
    <row r="96" spans="3:56" x14ac:dyDescent="0.25">
      <c r="C96" s="106"/>
      <c r="D96" s="50" t="s">
        <v>43</v>
      </c>
      <c r="E96" s="65"/>
      <c r="F96" s="65"/>
      <c r="G96" s="65"/>
      <c r="H96" s="65"/>
      <c r="I96" s="65"/>
      <c r="J96" s="65"/>
      <c r="K96" s="65">
        <v>-6</v>
      </c>
      <c r="L96" s="65">
        <v>-4</v>
      </c>
      <c r="M96" s="65">
        <v>-4</v>
      </c>
      <c r="N96" s="65">
        <v>-2</v>
      </c>
      <c r="O96" s="65"/>
      <c r="P96" s="65"/>
      <c r="Q96" s="65">
        <v>-4</v>
      </c>
      <c r="R96" s="65"/>
      <c r="S96" s="65">
        <v>-2</v>
      </c>
      <c r="T96" s="65">
        <v>-4</v>
      </c>
      <c r="U96" s="65">
        <v>-4</v>
      </c>
      <c r="V96" s="65"/>
      <c r="W96" s="65"/>
      <c r="X96" s="65"/>
      <c r="Y96" s="65"/>
      <c r="Z96" s="65"/>
      <c r="AA96" s="65"/>
      <c r="AB96" s="65"/>
      <c r="AC96" s="65"/>
      <c r="AD96" s="65"/>
      <c r="AE96" s="65"/>
      <c r="AF96" s="65"/>
      <c r="AG96" s="65"/>
      <c r="AH96" s="65"/>
      <c r="AI96" s="65"/>
      <c r="AJ96" s="65"/>
      <c r="AK96" s="65"/>
      <c r="AL96" s="65"/>
      <c r="AM96" s="65"/>
      <c r="AN96" s="65"/>
      <c r="AO96" s="65"/>
      <c r="AP96" s="65"/>
      <c r="AQ96" s="65"/>
      <c r="AR96" s="65"/>
      <c r="AS96" s="65"/>
      <c r="AT96" s="65"/>
      <c r="AU96" s="65"/>
      <c r="AV96" s="65"/>
      <c r="AW96" s="65"/>
      <c r="AX96" s="65"/>
      <c r="AY96" s="65"/>
      <c r="AZ96" s="65"/>
      <c r="BA96" s="65"/>
      <c r="BB96" s="65"/>
      <c r="BC96" s="65"/>
      <c r="BD96" s="65">
        <v>0</v>
      </c>
    </row>
    <row r="97" spans="3:56" x14ac:dyDescent="0.25">
      <c r="C97" s="106"/>
      <c r="D97" s="51" t="s">
        <v>44</v>
      </c>
      <c r="E97" s="61">
        <f t="shared" ref="E97" si="21">SUM(E87:E94)</f>
        <v>73.326999999999998</v>
      </c>
      <c r="F97" s="61">
        <f t="shared" ref="F97:BD97" si="22">SUM(F87:F94)</f>
        <v>61.652000000000001</v>
      </c>
      <c r="G97" s="61">
        <f t="shared" si="22"/>
        <v>52.943749999999994</v>
      </c>
      <c r="H97" s="61">
        <f t="shared" si="22"/>
        <v>28.993749999999999</v>
      </c>
      <c r="I97" s="61">
        <f t="shared" si="22"/>
        <v>21.568750000000001</v>
      </c>
      <c r="J97" s="61">
        <f t="shared" si="22"/>
        <v>21.568750000000001</v>
      </c>
      <c r="K97" s="61">
        <f t="shared" si="22"/>
        <v>18.755434782608695</v>
      </c>
      <c r="L97" s="61">
        <f t="shared" si="22"/>
        <v>19.658967391304348</v>
      </c>
      <c r="M97" s="61">
        <f t="shared" si="22"/>
        <v>15.949728260869565</v>
      </c>
      <c r="N97" s="61">
        <f t="shared" si="22"/>
        <v>17.1875</v>
      </c>
      <c r="O97" s="61">
        <f t="shared" si="22"/>
        <v>22.018750000000001</v>
      </c>
      <c r="P97" s="61">
        <f t="shared" si="22"/>
        <v>21.02</v>
      </c>
      <c r="Q97" s="61">
        <f t="shared" si="22"/>
        <v>20.104076086956521</v>
      </c>
      <c r="R97" s="61">
        <f t="shared" si="22"/>
        <v>22.018750000000001</v>
      </c>
      <c r="S97" s="61">
        <f t="shared" si="22"/>
        <v>20.583152173913046</v>
      </c>
      <c r="T97" s="61">
        <f t="shared" si="22"/>
        <v>19.647554347826087</v>
      </c>
      <c r="U97" s="61">
        <f t="shared" si="22"/>
        <v>15.995380434782609</v>
      </c>
      <c r="V97" s="61">
        <f t="shared" si="22"/>
        <v>17.518750000000001</v>
      </c>
      <c r="W97" s="61">
        <f t="shared" si="22"/>
        <v>16.518750000000001</v>
      </c>
      <c r="X97" s="61">
        <f t="shared" si="22"/>
        <v>16.518750000000001</v>
      </c>
      <c r="Y97" s="61">
        <f t="shared" si="22"/>
        <v>16.43615625</v>
      </c>
      <c r="Z97" s="61">
        <f t="shared" si="22"/>
        <v>16.353975468750001</v>
      </c>
      <c r="AA97" s="61">
        <f t="shared" si="22"/>
        <v>16.272205591406248</v>
      </c>
      <c r="AB97" s="61">
        <f t="shared" si="22"/>
        <v>16.190844563449218</v>
      </c>
      <c r="AC97" s="61">
        <f t="shared" si="22"/>
        <v>16.109890340631974</v>
      </c>
      <c r="AD97" s="61">
        <f t="shared" si="22"/>
        <v>16.029340888928814</v>
      </c>
      <c r="AE97" s="61">
        <f t="shared" si="22"/>
        <v>15.94919418448417</v>
      </c>
      <c r="AF97" s="61">
        <f t="shared" si="22"/>
        <v>15.86944821356175</v>
      </c>
      <c r="AG97" s="61">
        <f t="shared" si="22"/>
        <v>15.79010097249394</v>
      </c>
      <c r="AH97" s="61">
        <f t="shared" si="22"/>
        <v>15.711150467631469</v>
      </c>
      <c r="AI97" s="61">
        <f t="shared" si="22"/>
        <v>15.632594715293312</v>
      </c>
      <c r="AJ97" s="61">
        <f t="shared" si="22"/>
        <v>15.554431741716847</v>
      </c>
      <c r="AK97" s="61">
        <f t="shared" si="22"/>
        <v>16.476659583008264</v>
      </c>
      <c r="AL97" s="61">
        <f t="shared" si="22"/>
        <v>17.39427628509322</v>
      </c>
      <c r="AM97" s="61">
        <f t="shared" si="22"/>
        <v>17.307304903667756</v>
      </c>
      <c r="AN97" s="61">
        <f t="shared" si="22"/>
        <v>17.220768379149419</v>
      </c>
      <c r="AO97" s="61">
        <f t="shared" si="22"/>
        <v>17.13466453725367</v>
      </c>
      <c r="AP97" s="61">
        <f t="shared" si="22"/>
        <v>17.048991214567401</v>
      </c>
      <c r="AQ97" s="61">
        <f t="shared" si="22"/>
        <v>20.963746258494563</v>
      </c>
      <c r="AR97" s="61">
        <f t="shared" si="22"/>
        <v>20.858927527202091</v>
      </c>
      <c r="AS97" s="61">
        <f t="shared" si="22"/>
        <v>20.754632889566082</v>
      </c>
      <c r="AT97" s="61">
        <f t="shared" si="22"/>
        <v>26.650859725118252</v>
      </c>
      <c r="AU97" s="61">
        <f t="shared" si="22"/>
        <v>26.517605426492658</v>
      </c>
      <c r="AV97" s="61">
        <f t="shared" si="22"/>
        <v>30.385017399360194</v>
      </c>
      <c r="AW97" s="61">
        <f t="shared" si="22"/>
        <v>60.233092312363397</v>
      </c>
      <c r="AX97" s="61">
        <f t="shared" si="22"/>
        <v>59.931926850801581</v>
      </c>
      <c r="AY97" s="61">
        <f t="shared" si="22"/>
        <v>59.632267216547575</v>
      </c>
      <c r="AZ97" s="61">
        <f t="shared" si="22"/>
        <v>59.334105880464833</v>
      </c>
      <c r="BA97" s="61">
        <f t="shared" si="22"/>
        <v>52.444094292257859</v>
      </c>
      <c r="BB97" s="61">
        <f t="shared" si="22"/>
        <v>47.657432877873994</v>
      </c>
      <c r="BC97" s="61">
        <f t="shared" si="22"/>
        <v>32.942571384705886</v>
      </c>
      <c r="BD97" s="61">
        <f t="shared" si="22"/>
        <v>26.448432813935295</v>
      </c>
    </row>
    <row r="98" spans="3:56" x14ac:dyDescent="0.25">
      <c r="C98" s="106"/>
      <c r="D98" s="52" t="s">
        <v>45</v>
      </c>
      <c r="E98" s="56">
        <f>E97-E85</f>
        <v>48.047239848993286</v>
      </c>
      <c r="F98" s="56">
        <f t="shared" ref="F98:BD98" si="23">F97-F85</f>
        <v>39.110440119583259</v>
      </c>
      <c r="G98" s="56">
        <f t="shared" si="23"/>
        <v>38.159586752946126</v>
      </c>
      <c r="H98" s="56">
        <f t="shared" si="23"/>
        <v>14.975415614478115</v>
      </c>
      <c r="I98" s="56">
        <f t="shared" si="23"/>
        <v>6.9019341283167499</v>
      </c>
      <c r="J98" s="56">
        <f t="shared" si="23"/>
        <v>9.2807991293532393</v>
      </c>
      <c r="K98" s="56">
        <f t="shared" si="23"/>
        <v>8.1679943804528108</v>
      </c>
      <c r="L98" s="56">
        <f t="shared" si="23"/>
        <v>10.656876284339177</v>
      </c>
      <c r="M98" s="56">
        <f t="shared" si="23"/>
        <v>6.9912248793397129</v>
      </c>
      <c r="N98" s="56">
        <f t="shared" si="23"/>
        <v>7.1520820567810457</v>
      </c>
      <c r="O98" s="56">
        <f t="shared" si="23"/>
        <v>10.523411011540034</v>
      </c>
      <c r="P98" s="56">
        <f t="shared" si="23"/>
        <v>9.0517170082234895</v>
      </c>
      <c r="Q98" s="56">
        <f t="shared" si="23"/>
        <v>10.517948709905513</v>
      </c>
      <c r="R98" s="56">
        <f t="shared" si="23"/>
        <v>12.01783160908419</v>
      </c>
      <c r="S98" s="56">
        <f t="shared" si="23"/>
        <v>9.7879086843297127</v>
      </c>
      <c r="T98" s="56">
        <f t="shared" si="23"/>
        <v>7.2797749917654837</v>
      </c>
      <c r="U98" s="56">
        <f t="shared" si="23"/>
        <v>3.7491420088566851</v>
      </c>
      <c r="V98" s="56">
        <f t="shared" si="23"/>
        <v>2.8917152518656746</v>
      </c>
      <c r="W98" s="56">
        <f t="shared" si="23"/>
        <v>1.4852806281094573</v>
      </c>
      <c r="X98" s="56">
        <f t="shared" si="23"/>
        <v>-2.9108984374999984</v>
      </c>
      <c r="Y98" s="56">
        <f t="shared" si="23"/>
        <v>-1.8455424679487145</v>
      </c>
      <c r="Z98" s="56">
        <f t="shared" si="23"/>
        <v>-0.92604723424144808</v>
      </c>
      <c r="AA98" s="56">
        <f t="shared" si="23"/>
        <v>-4.8119211578572205</v>
      </c>
      <c r="AB98" s="56">
        <f t="shared" si="23"/>
        <v>-3.7043584431795722</v>
      </c>
      <c r="AC98" s="56">
        <f t="shared" si="23"/>
        <v>-2.6985620215313268</v>
      </c>
      <c r="AD98" s="56">
        <f t="shared" si="23"/>
        <v>0.29461483704973013</v>
      </c>
      <c r="AE98" s="56">
        <f t="shared" si="23"/>
        <v>1.5954992726252009</v>
      </c>
      <c r="AF98" s="56">
        <f t="shared" si="23"/>
        <v>-0.19471511442969813</v>
      </c>
      <c r="AG98" s="56">
        <f t="shared" si="23"/>
        <v>1.5780254648129652</v>
      </c>
      <c r="AH98" s="56">
        <f t="shared" si="23"/>
        <v>-1.2076915988668446</v>
      </c>
      <c r="AI98" s="56">
        <f t="shared" si="23"/>
        <v>-1.5754020845615777</v>
      </c>
      <c r="AJ98" s="56">
        <f t="shared" si="23"/>
        <v>-3.7998826239547903</v>
      </c>
      <c r="AK98" s="56">
        <f t="shared" si="23"/>
        <v>-3.7401505719461312</v>
      </c>
      <c r="AL98" s="56">
        <f t="shared" si="23"/>
        <v>-2.6004952996911896</v>
      </c>
      <c r="AM98" s="56">
        <f t="shared" si="23"/>
        <v>-2.3956793051873149E-2</v>
      </c>
      <c r="AN98" s="56">
        <f t="shared" si="23"/>
        <v>2.1142342347045489</v>
      </c>
      <c r="AO98" s="56">
        <f t="shared" si="23"/>
        <v>1.7548899715952881</v>
      </c>
      <c r="AP98" s="56">
        <f t="shared" si="23"/>
        <v>0.93079527664391648</v>
      </c>
      <c r="AQ98" s="56">
        <f t="shared" si="23"/>
        <v>2.3276446529872601</v>
      </c>
      <c r="AR98" s="56">
        <f t="shared" si="23"/>
        <v>3.9184009281438179</v>
      </c>
      <c r="AS98" s="56">
        <f t="shared" si="23"/>
        <v>3.3419130389995004</v>
      </c>
      <c r="AT98" s="56">
        <f t="shared" si="23"/>
        <v>8.2100924075627368</v>
      </c>
      <c r="AU98" s="56">
        <f t="shared" si="23"/>
        <v>7.0797327040583227</v>
      </c>
      <c r="AV98" s="56">
        <f t="shared" si="23"/>
        <v>8.0473554963395344</v>
      </c>
      <c r="AW98" s="56">
        <f t="shared" si="23"/>
        <v>34.214207719813714</v>
      </c>
      <c r="AX98" s="56">
        <f t="shared" si="23"/>
        <v>29.930817895999443</v>
      </c>
      <c r="AY98" s="56">
        <f t="shared" si="23"/>
        <v>-6.847605065212889</v>
      </c>
      <c r="AZ98" s="56">
        <f t="shared" si="23"/>
        <v>-18.407312582324806</v>
      </c>
      <c r="BA98" s="56">
        <f t="shared" si="23"/>
        <v>-18.262095194399379</v>
      </c>
      <c r="BB98" s="56">
        <f t="shared" si="23"/>
        <v>-13.854183366991585</v>
      </c>
      <c r="BC98" s="56">
        <f t="shared" si="23"/>
        <v>-3.5428055175510238</v>
      </c>
      <c r="BD98" s="56">
        <f t="shared" si="23"/>
        <v>-6.0844241292163339</v>
      </c>
    </row>
    <row r="99" spans="3:56" x14ac:dyDescent="0.25">
      <c r="C99" s="106"/>
      <c r="D99" s="41" t="s">
        <v>46</v>
      </c>
      <c r="E99" s="56">
        <f>SUM(E98,LauderNew!E92)</f>
        <v>62.175622695537811</v>
      </c>
      <c r="F99" s="56">
        <f>SUM(F98,LauderNew!F92)</f>
        <v>48.317625846951387</v>
      </c>
      <c r="G99" s="56">
        <f>SUM(G98,LauderNew!G92)</f>
        <v>52.131906913850258</v>
      </c>
      <c r="H99" s="56">
        <f>SUM(H98,LauderNew!H92)</f>
        <v>20.695863038542107</v>
      </c>
      <c r="I99" s="56">
        <f>SUM(I98,LauderNew!I92)</f>
        <v>13.277336492765285</v>
      </c>
      <c r="J99" s="56">
        <f>SUM(J98,LauderNew!J92)</f>
        <v>16.804482552228322</v>
      </c>
      <c r="K99" s="56">
        <f>SUM(K98,LauderNew!K92)</f>
        <v>15.761694617077158</v>
      </c>
      <c r="L99" s="56">
        <f>SUM(L98,LauderNew!L92)</f>
        <v>17.168854290987426</v>
      </c>
      <c r="M99" s="56">
        <f>SUM(M98,LauderNew!M92)</f>
        <v>9.6630037416705701</v>
      </c>
      <c r="N99" s="56">
        <f>SUM(N98,LauderNew!N92)</f>
        <v>7.9061159342586649</v>
      </c>
      <c r="O99" s="56">
        <f>SUM(O98,LauderNew!O92)</f>
        <v>5.9624322363493985</v>
      </c>
      <c r="P99" s="56">
        <f>SUM(P98,LauderNew!P92)</f>
        <v>4.3904785847916923</v>
      </c>
      <c r="Q99" s="56">
        <f>SUM(Q98,LauderNew!Q92)</f>
        <v>7.7314968953747343</v>
      </c>
      <c r="R99" s="56">
        <f>SUM(R98,LauderNew!R92)</f>
        <v>9.7587778343841869</v>
      </c>
      <c r="S99" s="56">
        <f>SUM(S98,LauderNew!S92)</f>
        <v>7.2006285917371216</v>
      </c>
      <c r="T99" s="56">
        <f>SUM(T98,LauderNew!T92)</f>
        <v>3.6192772079376248</v>
      </c>
      <c r="U99" s="56">
        <f>SUM(U98,LauderNew!U92)</f>
        <v>3.8449142313838927</v>
      </c>
      <c r="V99" s="56">
        <f>SUM(V98,LauderNew!V92)</f>
        <v>2.7448654600073663</v>
      </c>
      <c r="W99" s="56">
        <f>SUM(W98,LauderNew!W92)</f>
        <v>1.3665731405738466</v>
      </c>
      <c r="X99" s="56">
        <f>SUM(X98,LauderNew!X92)</f>
        <v>-5.8540325314153403</v>
      </c>
      <c r="Y99" s="56">
        <f>SUM(Y98,LauderNew!Y92)</f>
        <v>-3.4776367553164356</v>
      </c>
      <c r="Z99" s="56">
        <f>SUM(Z98,LauderNew!Z92)</f>
        <v>-1.5012189604319204</v>
      </c>
      <c r="AA99" s="56">
        <f>SUM(AA98,LauderNew!AA92)</f>
        <v>-8.3201608381957648</v>
      </c>
      <c r="AB99" s="56">
        <f>SUM(AB98,LauderNew!AB92)</f>
        <v>-6.3756619157577017</v>
      </c>
      <c r="AC99" s="56">
        <f>SUM(AC98,LauderNew!AC92)</f>
        <v>-4.6099275355030791</v>
      </c>
      <c r="AD99" s="56">
        <f>SUM(AD98,LauderNew!AD92)</f>
        <v>-2.3429383876304524</v>
      </c>
      <c r="AE99" s="56">
        <f>SUM(AE98,LauderNew!AE92)</f>
        <v>0.27415577192827456</v>
      </c>
      <c r="AF99" s="56">
        <f>SUM(AF98,LauderNew!AF92)</f>
        <v>-2.816483147623142</v>
      </c>
      <c r="AG99" s="56">
        <f>SUM(AG98,LauderNew!AG92)</f>
        <v>0.26877332276402655</v>
      </c>
      <c r="AH99" s="56">
        <f>SUM(AH98,LauderNew!AH92)</f>
        <v>-4.5474138450256145</v>
      </c>
      <c r="AI99" s="56">
        <f>SUM(AI98,LauderNew!AI92)</f>
        <v>-5.1725623987824836</v>
      </c>
      <c r="AJ99" s="56">
        <f>SUM(AJ98,LauderNew!AJ92)</f>
        <v>-7.0162200039086944</v>
      </c>
      <c r="AK99" s="56">
        <f>SUM(AK98,LauderNew!AK92)</f>
        <v>-7.6437125558118364</v>
      </c>
      <c r="AL99" s="56">
        <f>SUM(AL98,LauderNew!AL92)</f>
        <v>-6.3959398351114505</v>
      </c>
      <c r="AM99" s="56">
        <f>SUM(AM98,LauderNew!AM92)</f>
        <v>-0.28242813907919739</v>
      </c>
      <c r="AN99" s="56">
        <f>SUM(AN98,LauderNew!AN92)</f>
        <v>3.2228922419819668</v>
      </c>
      <c r="AO99" s="56">
        <f>SUM(AO98,LauderNew!AO92)</f>
        <v>2.6352023880435382</v>
      </c>
      <c r="AP99" s="56">
        <f>SUM(AP98,LauderNew!AP92)</f>
        <v>1.2858654162588916</v>
      </c>
      <c r="AQ99" s="56">
        <f>SUM(AQ98,LauderNew!AQ92)</f>
        <v>1.7234539272491904</v>
      </c>
      <c r="AR99" s="56">
        <f>SUM(AR98,LauderNew!AR92)</f>
        <v>4.1841895244496072</v>
      </c>
      <c r="AS99" s="56">
        <f>SUM(AS98,LauderNew!AS92)</f>
        <v>2.9805773874551047</v>
      </c>
      <c r="AT99" s="56">
        <f>SUM(AT98,LauderNew!AT92)</f>
        <v>7.6209812739248548</v>
      </c>
      <c r="AU99" s="56">
        <f>SUM(AU98,LauderNew!AU92)</f>
        <v>5.7762129421295967</v>
      </c>
      <c r="AV99" s="56">
        <f>SUM(AV98,LauderNew!AV92)</f>
        <v>26.423169107784382</v>
      </c>
      <c r="AW99" s="56">
        <f>SUM(AW98,LauderNew!AW92)</f>
        <v>51.611146114936034</v>
      </c>
      <c r="AX99" s="56">
        <f>SUM(AX98,LauderNew!AX92)</f>
        <v>57.424253282352296</v>
      </c>
      <c r="AY99" s="56">
        <f>SUM(AY98,LauderNew!AY92)</f>
        <v>3.1249182910319462</v>
      </c>
      <c r="AZ99" s="56">
        <f>SUM(AZ98,LauderNew!AZ92)</f>
        <v>-19.31528381414072</v>
      </c>
      <c r="BA99" s="56">
        <f>SUM(BA98,LauderNew!BA92)</f>
        <v>-20.42077760698092</v>
      </c>
      <c r="BB99" s="56">
        <f>SUM(BB98,LauderNew!BB92)</f>
        <v>-15.572168578848661</v>
      </c>
      <c r="BC99" s="56">
        <f>SUM(BC98,LauderNew!BC92)</f>
        <v>-5.9024939029977759</v>
      </c>
      <c r="BD99" s="56">
        <f>SUM(BD98,LauderNew!BD92)</f>
        <v>-7.0029671972161829</v>
      </c>
    </row>
    <row r="100" spans="3:56" x14ac:dyDescent="0.25">
      <c r="C100" s="48"/>
      <c r="E100" s="56"/>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row>
    <row r="101" spans="3:56" x14ac:dyDescent="0.25">
      <c r="C101" s="48"/>
      <c r="E101" s="56"/>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row>
    <row r="102" spans="3:56" x14ac:dyDescent="0.25">
      <c r="D102" s="46" t="s">
        <v>54</v>
      </c>
      <c r="E102" s="82">
        <f>E78</f>
        <v>44569</v>
      </c>
      <c r="F102" s="82">
        <f t="shared" ref="F102:BD102" si="24">F78</f>
        <v>44576</v>
      </c>
      <c r="G102" s="82">
        <f t="shared" si="24"/>
        <v>44583</v>
      </c>
      <c r="H102" s="82">
        <f t="shared" si="24"/>
        <v>44590</v>
      </c>
      <c r="I102" s="82">
        <f t="shared" si="24"/>
        <v>44597</v>
      </c>
      <c r="J102" s="82">
        <f t="shared" si="24"/>
        <v>44604</v>
      </c>
      <c r="K102" s="82">
        <f t="shared" si="24"/>
        <v>44611</v>
      </c>
      <c r="L102" s="82">
        <f t="shared" si="24"/>
        <v>44618</v>
      </c>
      <c r="M102" s="82">
        <f t="shared" si="24"/>
        <v>44625</v>
      </c>
      <c r="N102" s="82">
        <f t="shared" si="24"/>
        <v>44632</v>
      </c>
      <c r="O102" s="82">
        <f t="shared" si="24"/>
        <v>44639</v>
      </c>
      <c r="P102" s="82">
        <f t="shared" si="24"/>
        <v>44646</v>
      </c>
      <c r="Q102" s="82">
        <f t="shared" si="24"/>
        <v>44653</v>
      </c>
      <c r="R102" s="82">
        <f t="shared" si="24"/>
        <v>44660</v>
      </c>
      <c r="S102" s="82">
        <f t="shared" si="24"/>
        <v>44667</v>
      </c>
      <c r="T102" s="82">
        <f t="shared" si="24"/>
        <v>44674</v>
      </c>
      <c r="U102" s="82">
        <f t="shared" si="24"/>
        <v>44681</v>
      </c>
      <c r="V102" s="82">
        <f t="shared" si="24"/>
        <v>44688</v>
      </c>
      <c r="W102" s="82">
        <f t="shared" si="24"/>
        <v>44695</v>
      </c>
      <c r="X102" s="82">
        <f t="shared" si="24"/>
        <v>44702</v>
      </c>
      <c r="Y102" s="82">
        <f t="shared" si="24"/>
        <v>44709</v>
      </c>
      <c r="Z102" s="82">
        <f t="shared" si="24"/>
        <v>44716</v>
      </c>
      <c r="AA102" s="82">
        <f t="shared" si="24"/>
        <v>44723</v>
      </c>
      <c r="AB102" s="82">
        <f t="shared" si="24"/>
        <v>44730</v>
      </c>
      <c r="AC102" s="82">
        <f t="shared" si="24"/>
        <v>44737</v>
      </c>
      <c r="AD102" s="82">
        <f t="shared" si="24"/>
        <v>44744</v>
      </c>
      <c r="AE102" s="82">
        <f t="shared" si="24"/>
        <v>44751</v>
      </c>
      <c r="AF102" s="82">
        <f t="shared" si="24"/>
        <v>44758</v>
      </c>
      <c r="AG102" s="82">
        <f t="shared" si="24"/>
        <v>44765</v>
      </c>
      <c r="AH102" s="82">
        <f t="shared" si="24"/>
        <v>44772</v>
      </c>
      <c r="AI102" s="82">
        <f t="shared" si="24"/>
        <v>44779</v>
      </c>
      <c r="AJ102" s="82">
        <f t="shared" si="24"/>
        <v>44786</v>
      </c>
      <c r="AK102" s="82">
        <f t="shared" si="24"/>
        <v>44793</v>
      </c>
      <c r="AL102" s="82">
        <f t="shared" si="24"/>
        <v>44800</v>
      </c>
      <c r="AM102" s="82">
        <f t="shared" si="24"/>
        <v>44807</v>
      </c>
      <c r="AN102" s="82">
        <f t="shared" si="24"/>
        <v>44814</v>
      </c>
      <c r="AO102" s="82">
        <f t="shared" si="24"/>
        <v>44821</v>
      </c>
      <c r="AP102" s="82">
        <f t="shared" si="24"/>
        <v>44828</v>
      </c>
      <c r="AQ102" s="82">
        <f t="shared" si="24"/>
        <v>44835</v>
      </c>
      <c r="AR102" s="82">
        <f t="shared" si="24"/>
        <v>44842</v>
      </c>
      <c r="AS102" s="82">
        <f t="shared" si="24"/>
        <v>44849</v>
      </c>
      <c r="AT102" s="82">
        <f t="shared" si="24"/>
        <v>44856</v>
      </c>
      <c r="AU102" s="82">
        <f t="shared" si="24"/>
        <v>44863</v>
      </c>
      <c r="AV102" s="82">
        <f t="shared" si="24"/>
        <v>44870</v>
      </c>
      <c r="AW102" s="82">
        <f t="shared" si="24"/>
        <v>44877</v>
      </c>
      <c r="AX102" s="82">
        <f t="shared" si="24"/>
        <v>44884</v>
      </c>
      <c r="AY102" s="82">
        <f t="shared" si="24"/>
        <v>44891</v>
      </c>
      <c r="AZ102" s="82">
        <f t="shared" si="24"/>
        <v>44898</v>
      </c>
      <c r="BA102" s="82">
        <f t="shared" si="24"/>
        <v>44905</v>
      </c>
      <c r="BB102" s="82">
        <f t="shared" si="24"/>
        <v>44912</v>
      </c>
      <c r="BC102" s="82">
        <f t="shared" si="24"/>
        <v>44919</v>
      </c>
      <c r="BD102" s="82">
        <f t="shared" si="24"/>
        <v>44926</v>
      </c>
    </row>
    <row r="103" spans="3:56" ht="15" customHeight="1" x14ac:dyDescent="0.25">
      <c r="C103" s="109" t="s">
        <v>57</v>
      </c>
      <c r="D103" s="41" t="s">
        <v>27</v>
      </c>
      <c r="E103" s="97">
        <v>15853.943085527528</v>
      </c>
      <c r="F103" s="97">
        <v>13853.398279835143</v>
      </c>
      <c r="G103" s="97">
        <v>10150.276054876642</v>
      </c>
      <c r="H103" s="97">
        <v>9079.9407738896352</v>
      </c>
      <c r="I103" s="97">
        <v>8716.6773623707923</v>
      </c>
      <c r="J103" s="97">
        <v>7844.152978314577</v>
      </c>
      <c r="K103" s="97">
        <v>5741.8326347497277</v>
      </c>
      <c r="L103" s="97">
        <v>7436.3432985883128</v>
      </c>
      <c r="M103" s="97">
        <v>7339.5910000000013</v>
      </c>
      <c r="N103" s="97">
        <v>8503.5014999999985</v>
      </c>
      <c r="O103" s="97">
        <v>9903.4150000000027</v>
      </c>
      <c r="P103" s="97">
        <v>9982.470942456659</v>
      </c>
      <c r="Q103" s="97">
        <v>7860.1586476190478</v>
      </c>
      <c r="R103" s="97">
        <v>7663.6305728761899</v>
      </c>
      <c r="S103" s="97">
        <v>7780.3179999999993</v>
      </c>
      <c r="T103" s="97">
        <v>8408.9925750000002</v>
      </c>
      <c r="U103" s="97">
        <v>8333.1099999999988</v>
      </c>
      <c r="V103" s="97">
        <v>9451.31631475625</v>
      </c>
      <c r="W103" s="97">
        <v>9148.9834999999985</v>
      </c>
      <c r="X103" s="97">
        <v>6373.6419999999998</v>
      </c>
      <c r="Y103" s="97">
        <v>6074.6147000000001</v>
      </c>
      <c r="Z103" s="97">
        <v>5352.6329999999998</v>
      </c>
      <c r="AA103" s="97">
        <v>6631.4709999999995</v>
      </c>
      <c r="AB103" s="97">
        <v>6257.5259999999998</v>
      </c>
      <c r="AC103" s="97">
        <v>5915.7340000000004</v>
      </c>
      <c r="AD103" s="97">
        <v>5098.9619999999995</v>
      </c>
      <c r="AE103" s="97">
        <v>4446.2000000000007</v>
      </c>
      <c r="AF103" s="97">
        <v>4976.0590000000002</v>
      </c>
      <c r="AG103" s="97">
        <v>4470.0369999999994</v>
      </c>
      <c r="AH103" s="97">
        <v>5321.3600000000006</v>
      </c>
      <c r="AI103" s="97">
        <v>5494.3350000000009</v>
      </c>
      <c r="AJ103" s="97">
        <v>6179.6790000000001</v>
      </c>
      <c r="AK103" s="97">
        <v>6454.9980000000005</v>
      </c>
      <c r="AL103" s="97">
        <v>6384.1470000000018</v>
      </c>
      <c r="AM103" s="97">
        <v>8193.0456742902552</v>
      </c>
      <c r="AN103" s="97">
        <v>7247.932541217765</v>
      </c>
      <c r="AO103" s="97">
        <v>7379.0299935885823</v>
      </c>
      <c r="AP103" s="97">
        <v>7733.3156452143057</v>
      </c>
      <c r="AQ103" s="97">
        <v>8413.7747814901995</v>
      </c>
      <c r="AR103" s="97">
        <v>7834.1090059037642</v>
      </c>
      <c r="AS103" s="97">
        <v>8271.857965924366</v>
      </c>
      <c r="AT103" s="97">
        <v>8527.2818844896647</v>
      </c>
      <c r="AU103" s="97">
        <v>9039.2652740037574</v>
      </c>
      <c r="AV103" s="97">
        <v>9445.205389457411</v>
      </c>
      <c r="AW103" s="97">
        <v>10098.454290389313</v>
      </c>
      <c r="AX103" s="97">
        <v>9903.0636233103578</v>
      </c>
      <c r="AY103" s="97">
        <v>23581.530443148222</v>
      </c>
      <c r="AZ103" s="97">
        <v>32918.624786006658</v>
      </c>
      <c r="BA103" s="97">
        <v>28579.664877414205</v>
      </c>
      <c r="BB103" s="97">
        <v>27026.606137523191</v>
      </c>
      <c r="BC103" s="97">
        <v>17014.396635516321</v>
      </c>
      <c r="BD103" s="97">
        <v>13460.131596460171</v>
      </c>
    </row>
    <row r="104" spans="3:56" ht="15" customHeight="1" x14ac:dyDescent="0.25">
      <c r="C104" s="110"/>
      <c r="D104" s="41" t="s">
        <v>22</v>
      </c>
      <c r="E104" s="97">
        <v>285</v>
      </c>
      <c r="F104" s="97">
        <v>285</v>
      </c>
      <c r="G104" s="97">
        <v>285.00000000000011</v>
      </c>
      <c r="H104" s="97">
        <v>285.00000000000006</v>
      </c>
      <c r="I104" s="97">
        <v>285.00000000000006</v>
      </c>
      <c r="J104" s="97">
        <v>285</v>
      </c>
      <c r="K104" s="97">
        <v>284.99999999999994</v>
      </c>
      <c r="L104" s="97">
        <v>285</v>
      </c>
      <c r="M104" s="97">
        <v>285</v>
      </c>
      <c r="N104" s="97">
        <v>275</v>
      </c>
      <c r="O104" s="97">
        <v>275</v>
      </c>
      <c r="P104" s="97">
        <v>275</v>
      </c>
      <c r="Q104" s="97">
        <v>275</v>
      </c>
      <c r="R104" s="97">
        <v>275</v>
      </c>
      <c r="S104" s="97">
        <v>275</v>
      </c>
      <c r="T104" s="97">
        <v>275</v>
      </c>
      <c r="U104" s="97">
        <v>275</v>
      </c>
      <c r="V104" s="97">
        <v>275</v>
      </c>
      <c r="W104" s="97">
        <v>275</v>
      </c>
      <c r="X104" s="97">
        <v>240</v>
      </c>
      <c r="Y104" s="97">
        <v>240</v>
      </c>
      <c r="Z104" s="97">
        <v>240</v>
      </c>
      <c r="AA104" s="97">
        <v>240</v>
      </c>
      <c r="AB104" s="97">
        <v>240</v>
      </c>
      <c r="AC104" s="97">
        <v>240</v>
      </c>
      <c r="AD104" s="97">
        <v>240</v>
      </c>
      <c r="AE104" s="97">
        <v>240</v>
      </c>
      <c r="AF104" s="97">
        <v>240</v>
      </c>
      <c r="AG104" s="97">
        <v>240</v>
      </c>
      <c r="AH104" s="97">
        <v>240</v>
      </c>
      <c r="AI104" s="97">
        <v>240</v>
      </c>
      <c r="AJ104" s="97">
        <v>240</v>
      </c>
      <c r="AK104" s="97">
        <v>240</v>
      </c>
      <c r="AL104" s="97">
        <v>240</v>
      </c>
      <c r="AM104" s="97">
        <v>275</v>
      </c>
      <c r="AN104" s="97">
        <v>275</v>
      </c>
      <c r="AO104" s="97">
        <v>275</v>
      </c>
      <c r="AP104" s="97">
        <v>275</v>
      </c>
      <c r="AQ104" s="97">
        <v>275</v>
      </c>
      <c r="AR104" s="97">
        <v>275</v>
      </c>
      <c r="AS104" s="97">
        <v>275</v>
      </c>
      <c r="AT104" s="97">
        <v>275</v>
      </c>
      <c r="AU104" s="97">
        <v>275</v>
      </c>
      <c r="AV104" s="97">
        <v>275</v>
      </c>
      <c r="AW104" s="97">
        <v>275</v>
      </c>
      <c r="AX104" s="97">
        <v>275</v>
      </c>
      <c r="AY104" s="97">
        <v>275</v>
      </c>
      <c r="AZ104" s="97">
        <v>275</v>
      </c>
      <c r="BA104" s="97">
        <v>275</v>
      </c>
      <c r="BB104" s="97">
        <v>275</v>
      </c>
      <c r="BC104" s="97">
        <v>275</v>
      </c>
      <c r="BD104" s="97">
        <v>275</v>
      </c>
    </row>
    <row r="105" spans="3:56" ht="15" customHeight="1" x14ac:dyDescent="0.25">
      <c r="C105" s="110"/>
      <c r="D105" s="41" t="s">
        <v>23</v>
      </c>
      <c r="E105" s="68">
        <v>0.9</v>
      </c>
      <c r="F105" s="68">
        <v>0.9</v>
      </c>
      <c r="G105" s="68">
        <v>0.9</v>
      </c>
      <c r="H105" s="68">
        <v>0.9</v>
      </c>
      <c r="I105" s="68">
        <v>0.9</v>
      </c>
      <c r="J105" s="68">
        <v>0.9</v>
      </c>
      <c r="K105" s="68">
        <v>0.9</v>
      </c>
      <c r="L105" s="68">
        <v>0.9</v>
      </c>
      <c r="M105" s="68">
        <v>0.9</v>
      </c>
      <c r="N105" s="68">
        <v>0.9</v>
      </c>
      <c r="O105" s="68">
        <v>0.9</v>
      </c>
      <c r="P105" s="68">
        <v>0.9</v>
      </c>
      <c r="Q105" s="68">
        <v>0.9</v>
      </c>
      <c r="R105" s="68">
        <v>0.9</v>
      </c>
      <c r="S105" s="68">
        <v>0.9</v>
      </c>
      <c r="T105" s="68">
        <v>0.9</v>
      </c>
      <c r="U105" s="68">
        <v>0.9</v>
      </c>
      <c r="V105" s="68">
        <v>0.9</v>
      </c>
      <c r="W105" s="68">
        <v>0.9</v>
      </c>
      <c r="X105" s="68">
        <v>0.9</v>
      </c>
      <c r="Y105" s="68">
        <v>0.9</v>
      </c>
      <c r="Z105" s="68">
        <v>0.9</v>
      </c>
      <c r="AA105" s="68">
        <v>0.9</v>
      </c>
      <c r="AB105" s="68">
        <v>0.9</v>
      </c>
      <c r="AC105" s="68">
        <v>0.9</v>
      </c>
      <c r="AD105" s="68">
        <v>0.9</v>
      </c>
      <c r="AE105" s="68">
        <v>0.9</v>
      </c>
      <c r="AF105" s="68">
        <v>0.9</v>
      </c>
      <c r="AG105" s="68">
        <v>0.9</v>
      </c>
      <c r="AH105" s="68">
        <v>0.9</v>
      </c>
      <c r="AI105" s="68">
        <v>0.9</v>
      </c>
      <c r="AJ105" s="68">
        <v>0.9</v>
      </c>
      <c r="AK105" s="68">
        <v>0.9</v>
      </c>
      <c r="AL105" s="68">
        <v>0.9</v>
      </c>
      <c r="AM105" s="68">
        <v>0.9</v>
      </c>
      <c r="AN105" s="68">
        <v>0.9</v>
      </c>
      <c r="AO105" s="68">
        <v>0.9</v>
      </c>
      <c r="AP105" s="68">
        <v>0.9</v>
      </c>
      <c r="AQ105" s="68">
        <v>0.9</v>
      </c>
      <c r="AR105" s="68">
        <v>0.9</v>
      </c>
      <c r="AS105" s="68">
        <v>0.9</v>
      </c>
      <c r="AT105" s="68">
        <v>0.9</v>
      </c>
      <c r="AU105" s="68">
        <v>0.9</v>
      </c>
      <c r="AV105" s="68">
        <v>0.9</v>
      </c>
      <c r="AW105" s="68">
        <v>0.9</v>
      </c>
      <c r="AX105" s="68">
        <v>0.9</v>
      </c>
      <c r="AY105" s="68">
        <v>0.9</v>
      </c>
      <c r="AZ105" s="68">
        <v>0.9</v>
      </c>
      <c r="BA105" s="68">
        <v>0.9</v>
      </c>
      <c r="BB105" s="68">
        <v>0.9</v>
      </c>
      <c r="BC105" s="68">
        <v>0.9</v>
      </c>
      <c r="BD105" s="68">
        <v>0.9</v>
      </c>
    </row>
    <row r="106" spans="3:56" ht="15" customHeight="1" x14ac:dyDescent="0.25">
      <c r="C106" s="110"/>
      <c r="D106" s="41" t="s">
        <v>26</v>
      </c>
      <c r="E106" s="68">
        <v>0.24</v>
      </c>
      <c r="F106" s="68">
        <v>0.24</v>
      </c>
      <c r="G106" s="68">
        <v>0.24</v>
      </c>
      <c r="H106" s="68">
        <v>0.24</v>
      </c>
      <c r="I106" s="68">
        <v>0.24</v>
      </c>
      <c r="J106" s="68">
        <v>0.24</v>
      </c>
      <c r="K106" s="68">
        <v>0.24</v>
      </c>
      <c r="L106" s="68">
        <v>0.24</v>
      </c>
      <c r="M106" s="68">
        <v>0.24</v>
      </c>
      <c r="N106" s="68">
        <v>0.24</v>
      </c>
      <c r="O106" s="68">
        <v>0.24</v>
      </c>
      <c r="P106" s="68">
        <v>0.24</v>
      </c>
      <c r="Q106" s="68">
        <v>0.2525</v>
      </c>
      <c r="R106" s="68">
        <v>0.2525</v>
      </c>
      <c r="S106" s="68">
        <v>0.24</v>
      </c>
      <c r="T106" s="68">
        <v>0.24</v>
      </c>
      <c r="U106" s="68">
        <v>0.24</v>
      </c>
      <c r="V106" s="68">
        <v>0.24</v>
      </c>
      <c r="W106" s="68">
        <v>0.24</v>
      </c>
      <c r="X106" s="68">
        <v>0.26</v>
      </c>
      <c r="Y106" s="68">
        <v>0.26</v>
      </c>
      <c r="Z106" s="68">
        <v>0.26</v>
      </c>
      <c r="AA106" s="68">
        <v>0.26</v>
      </c>
      <c r="AB106" s="68">
        <v>0.26</v>
      </c>
      <c r="AC106" s="68">
        <v>0.26</v>
      </c>
      <c r="AD106" s="68">
        <v>0.24</v>
      </c>
      <c r="AE106" s="68">
        <v>0.24</v>
      </c>
      <c r="AF106" s="68">
        <v>0.24</v>
      </c>
      <c r="AG106" s="68">
        <v>0.24</v>
      </c>
      <c r="AH106" s="68">
        <v>0.24</v>
      </c>
      <c r="AI106" s="68">
        <v>0.24</v>
      </c>
      <c r="AJ106" s="68">
        <v>0.24</v>
      </c>
      <c r="AK106" s="68">
        <v>0.24</v>
      </c>
      <c r="AL106" s="68">
        <v>0.24</v>
      </c>
      <c r="AM106" s="68">
        <v>0.24</v>
      </c>
      <c r="AN106" s="68">
        <v>0.24</v>
      </c>
      <c r="AO106" s="68">
        <v>0.24</v>
      </c>
      <c r="AP106" s="68">
        <v>0.24</v>
      </c>
      <c r="AQ106" s="68">
        <v>0.24</v>
      </c>
      <c r="AR106" s="68">
        <v>0.21</v>
      </c>
      <c r="AS106" s="68">
        <v>0.21</v>
      </c>
      <c r="AT106" s="68">
        <v>0.21</v>
      </c>
      <c r="AU106" s="68">
        <v>0.21</v>
      </c>
      <c r="AV106" s="68">
        <v>0.21</v>
      </c>
      <c r="AW106" s="68">
        <v>0.21</v>
      </c>
      <c r="AX106" s="68">
        <v>0.21</v>
      </c>
      <c r="AY106" s="68">
        <v>0.21</v>
      </c>
      <c r="AZ106" s="68">
        <v>0.21</v>
      </c>
      <c r="BA106" s="68">
        <v>0.21</v>
      </c>
      <c r="BB106" s="68">
        <v>0.21</v>
      </c>
      <c r="BC106" s="68">
        <v>0.21</v>
      </c>
      <c r="BD106" s="68">
        <v>0.21</v>
      </c>
    </row>
    <row r="107" spans="3:56" ht="15" customHeight="1" x14ac:dyDescent="0.25">
      <c r="C107" s="110"/>
      <c r="D107" s="41" t="s">
        <v>33</v>
      </c>
      <c r="E107" s="83">
        <f>(E103*E104)/3600/40/E105/(1-E106)</f>
        <v>45.873677909512516</v>
      </c>
      <c r="F107" s="83">
        <f t="shared" ref="F107:BD107" si="25">(F103*F104)/3600/40/F105/(1-F106)</f>
        <v>40.085064467115572</v>
      </c>
      <c r="G107" s="83">
        <f t="shared" si="25"/>
        <v>29.370011732860664</v>
      </c>
      <c r="H107" s="83">
        <f t="shared" si="25"/>
        <v>26.272976776301029</v>
      </c>
      <c r="I107" s="83">
        <f t="shared" si="25"/>
        <v>25.221867367971043</v>
      </c>
      <c r="J107" s="83">
        <f t="shared" si="25"/>
        <v>22.697201904845418</v>
      </c>
      <c r="K107" s="83">
        <f t="shared" si="25"/>
        <v>16.61409905888231</v>
      </c>
      <c r="L107" s="83">
        <f t="shared" si="25"/>
        <v>21.517197044526366</v>
      </c>
      <c r="M107" s="83">
        <f t="shared" si="25"/>
        <v>21.237242476851854</v>
      </c>
      <c r="N107" s="84">
        <f t="shared" si="25"/>
        <v>23.741704358552624</v>
      </c>
      <c r="O107" s="83">
        <f t="shared" si="25"/>
        <v>27.65025102542236</v>
      </c>
      <c r="P107" s="83">
        <f t="shared" si="25"/>
        <v>27.870974548972356</v>
      </c>
      <c r="Q107" s="83">
        <f t="shared" si="25"/>
        <v>22.31247809669307</v>
      </c>
      <c r="R107" s="83">
        <f t="shared" si="25"/>
        <v>21.754597707801231</v>
      </c>
      <c r="S107" s="83">
        <f t="shared" si="25"/>
        <v>21.72258213531514</v>
      </c>
      <c r="T107" s="83">
        <f t="shared" si="25"/>
        <v>23.477836238273635</v>
      </c>
      <c r="U107" s="83">
        <f t="shared" si="25"/>
        <v>23.26597272985704</v>
      </c>
      <c r="V107" s="83">
        <f t="shared" si="25"/>
        <v>26.387995315119078</v>
      </c>
      <c r="W107" s="83">
        <f t="shared" si="25"/>
        <v>25.543884650138068</v>
      </c>
      <c r="X107" s="83">
        <f t="shared" si="25"/>
        <v>15.950055055055056</v>
      </c>
      <c r="Y107" s="83">
        <f t="shared" si="25"/>
        <v>15.201738488488488</v>
      </c>
      <c r="Z107" s="83">
        <f t="shared" si="25"/>
        <v>13.394977477477477</v>
      </c>
      <c r="AA107" s="83">
        <f t="shared" si="25"/>
        <v>16.59527277277277</v>
      </c>
      <c r="AB107" s="83">
        <f t="shared" si="25"/>
        <v>15.659474474474477</v>
      </c>
      <c r="AC107" s="83">
        <f t="shared" si="25"/>
        <v>14.804139139139139</v>
      </c>
      <c r="AD107" s="83">
        <f t="shared" si="25"/>
        <v>12.424371345029238</v>
      </c>
      <c r="AE107" s="83">
        <f t="shared" si="25"/>
        <v>10.833820662768034</v>
      </c>
      <c r="AF107" s="83">
        <f t="shared" si="25"/>
        <v>12.124900097465888</v>
      </c>
      <c r="AG107" s="83">
        <f t="shared" si="25"/>
        <v>10.891903021442493</v>
      </c>
      <c r="AH107" s="83">
        <f t="shared" si="25"/>
        <v>12.966276803118911</v>
      </c>
      <c r="AI107" s="83">
        <f t="shared" si="25"/>
        <v>13.387755847953215</v>
      </c>
      <c r="AJ107" s="83">
        <f t="shared" si="25"/>
        <v>15.057697368421051</v>
      </c>
      <c r="AK107" s="83">
        <f t="shared" si="25"/>
        <v>15.72855263157895</v>
      </c>
      <c r="AL107" s="83">
        <f t="shared" si="25"/>
        <v>15.555913742690063</v>
      </c>
      <c r="AM107" s="83">
        <f t="shared" si="25"/>
        <v>22.874914315604904</v>
      </c>
      <c r="AN107" s="83">
        <f t="shared" si="25"/>
        <v>20.236166431478289</v>
      </c>
      <c r="AO107" s="83">
        <f t="shared" si="25"/>
        <v>20.60218941111172</v>
      </c>
      <c r="AP107" s="83">
        <f t="shared" si="25"/>
        <v>21.591351957784418</v>
      </c>
      <c r="AQ107" s="83">
        <f t="shared" si="25"/>
        <v>23.491188118398771</v>
      </c>
      <c r="AR107" s="83">
        <f t="shared" si="25"/>
        <v>21.042154795901066</v>
      </c>
      <c r="AS107" s="83">
        <f t="shared" si="25"/>
        <v>22.217933862998127</v>
      </c>
      <c r="AT107" s="83">
        <f t="shared" si="25"/>
        <v>22.903993966192544</v>
      </c>
      <c r="AU107" s="83">
        <f t="shared" si="25"/>
        <v>24.279164228307479</v>
      </c>
      <c r="AV107" s="83">
        <f t="shared" si="25"/>
        <v>25.369505802672172</v>
      </c>
      <c r="AW107" s="83">
        <f t="shared" si="25"/>
        <v>27.124110504151631</v>
      </c>
      <c r="AX107" s="83">
        <f t="shared" si="25"/>
        <v>26.599297706773992</v>
      </c>
      <c r="AY107" s="83">
        <f t="shared" si="25"/>
        <v>63.339202139648386</v>
      </c>
      <c r="AZ107" s="83">
        <f t="shared" si="25"/>
        <v>88.418325286683768</v>
      </c>
      <c r="BA107" s="83">
        <f t="shared" si="25"/>
        <v>76.764024078849289</v>
      </c>
      <c r="BB107" s="83">
        <f t="shared" si="25"/>
        <v>72.592560242019033</v>
      </c>
      <c r="BC107" s="83">
        <f t="shared" si="25"/>
        <v>45.700100355201869</v>
      </c>
      <c r="BD107" s="83">
        <f t="shared" si="25"/>
        <v>36.15346332460684</v>
      </c>
    </row>
    <row r="108" spans="3:56" x14ac:dyDescent="0.25">
      <c r="C108" s="110"/>
      <c r="E108" s="45"/>
      <c r="F108" s="45"/>
      <c r="G108" s="45"/>
      <c r="H108" s="45"/>
      <c r="I108" s="45"/>
      <c r="J108" s="45"/>
      <c r="K108" s="45"/>
      <c r="L108" s="45"/>
      <c r="M108" s="45"/>
    </row>
    <row r="109" spans="3:56" x14ac:dyDescent="0.25">
      <c r="C109" s="110"/>
      <c r="D109" s="49" t="s">
        <v>34</v>
      </c>
      <c r="E109" s="65">
        <v>0</v>
      </c>
      <c r="F109" s="65">
        <v>0</v>
      </c>
      <c r="G109" s="65">
        <v>0</v>
      </c>
      <c r="H109" s="65">
        <v>0</v>
      </c>
      <c r="I109" s="65">
        <v>0</v>
      </c>
      <c r="J109" s="65">
        <v>0</v>
      </c>
      <c r="K109" s="65">
        <v>0</v>
      </c>
      <c r="L109" s="65">
        <v>0</v>
      </c>
      <c r="M109" s="65">
        <v>0</v>
      </c>
      <c r="N109" s="65">
        <v>0</v>
      </c>
      <c r="O109" s="65">
        <v>0</v>
      </c>
      <c r="P109" s="65">
        <v>0</v>
      </c>
      <c r="Q109" s="65">
        <v>0</v>
      </c>
      <c r="R109" s="65">
        <v>0</v>
      </c>
      <c r="S109" s="65">
        <v>0</v>
      </c>
      <c r="T109" s="65">
        <v>0</v>
      </c>
      <c r="U109" s="65">
        <v>0</v>
      </c>
      <c r="V109" s="65">
        <v>0</v>
      </c>
      <c r="W109" s="65">
        <v>0</v>
      </c>
      <c r="X109" s="65">
        <v>0</v>
      </c>
      <c r="Y109" s="65">
        <v>0</v>
      </c>
      <c r="Z109" s="65">
        <v>0</v>
      </c>
      <c r="AA109" s="65">
        <v>0</v>
      </c>
      <c r="AB109" s="65">
        <v>0</v>
      </c>
      <c r="AC109" s="65">
        <v>0</v>
      </c>
      <c r="AD109" s="65">
        <v>0</v>
      </c>
      <c r="AE109" s="65">
        <v>0</v>
      </c>
      <c r="AF109" s="65">
        <v>0</v>
      </c>
      <c r="AG109" s="65">
        <v>0</v>
      </c>
      <c r="AH109" s="65">
        <v>0</v>
      </c>
      <c r="AI109" s="65">
        <v>0</v>
      </c>
      <c r="AJ109" s="65">
        <v>0</v>
      </c>
      <c r="AK109" s="65">
        <v>0</v>
      </c>
      <c r="AL109" s="65">
        <v>0</v>
      </c>
      <c r="AM109" s="65">
        <v>0</v>
      </c>
      <c r="AN109" s="65">
        <v>0</v>
      </c>
      <c r="AO109" s="65">
        <v>0</v>
      </c>
      <c r="AP109" s="65">
        <v>0</v>
      </c>
      <c r="AQ109" s="65">
        <v>0</v>
      </c>
      <c r="AR109" s="65">
        <v>0</v>
      </c>
      <c r="AS109" s="65">
        <v>0</v>
      </c>
      <c r="AT109" s="65">
        <v>0</v>
      </c>
      <c r="AU109" s="65">
        <v>0</v>
      </c>
      <c r="AV109" s="65">
        <v>0</v>
      </c>
      <c r="AW109" s="65">
        <v>0</v>
      </c>
      <c r="AX109" s="65">
        <v>0</v>
      </c>
      <c r="AY109" s="65">
        <v>0</v>
      </c>
      <c r="AZ109" s="65">
        <v>0</v>
      </c>
      <c r="BA109" s="65">
        <v>0</v>
      </c>
      <c r="BB109" s="65">
        <v>0</v>
      </c>
      <c r="BC109" s="65">
        <v>0</v>
      </c>
      <c r="BD109" s="65">
        <v>0</v>
      </c>
    </row>
    <row r="110" spans="3:56" x14ac:dyDescent="0.25">
      <c r="C110" s="110"/>
      <c r="D110" s="49" t="s">
        <v>35</v>
      </c>
      <c r="E110" s="65">
        <v>0</v>
      </c>
      <c r="F110" s="65">
        <v>0</v>
      </c>
      <c r="G110" s="65">
        <v>0</v>
      </c>
      <c r="H110" s="65">
        <v>0</v>
      </c>
      <c r="I110" s="65">
        <v>0</v>
      </c>
      <c r="J110" s="65">
        <v>0</v>
      </c>
      <c r="K110" s="65">
        <v>0</v>
      </c>
      <c r="L110" s="65">
        <v>0</v>
      </c>
      <c r="M110" s="65">
        <v>0</v>
      </c>
      <c r="N110" s="65">
        <v>0</v>
      </c>
      <c r="O110" s="65">
        <v>0</v>
      </c>
      <c r="P110" s="65">
        <v>0</v>
      </c>
      <c r="Q110" s="65">
        <v>0</v>
      </c>
      <c r="R110" s="65">
        <v>0</v>
      </c>
      <c r="S110" s="65">
        <v>0</v>
      </c>
      <c r="T110" s="65">
        <v>0</v>
      </c>
      <c r="U110" s="65">
        <v>0</v>
      </c>
      <c r="V110" s="65">
        <v>0</v>
      </c>
      <c r="W110" s="65">
        <v>0</v>
      </c>
      <c r="X110" s="65">
        <v>0</v>
      </c>
      <c r="Y110" s="65">
        <v>0</v>
      </c>
      <c r="Z110" s="65">
        <v>0</v>
      </c>
      <c r="AA110" s="65">
        <v>0</v>
      </c>
      <c r="AB110" s="65">
        <v>0</v>
      </c>
      <c r="AC110" s="65">
        <v>0</v>
      </c>
      <c r="AD110" s="65">
        <v>0</v>
      </c>
      <c r="AE110" s="65">
        <v>0</v>
      </c>
      <c r="AF110" s="65">
        <v>0</v>
      </c>
      <c r="AG110" s="65">
        <v>0</v>
      </c>
      <c r="AH110" s="65">
        <v>0</v>
      </c>
      <c r="AI110" s="65">
        <v>0</v>
      </c>
      <c r="AJ110" s="65">
        <v>0</v>
      </c>
      <c r="AK110" s="65">
        <v>0</v>
      </c>
      <c r="AL110" s="65">
        <v>0</v>
      </c>
      <c r="AM110" s="65">
        <v>0</v>
      </c>
      <c r="AN110" s="65">
        <v>0</v>
      </c>
      <c r="AO110" s="65">
        <v>0</v>
      </c>
      <c r="AP110" s="65">
        <v>0</v>
      </c>
      <c r="AQ110" s="65">
        <v>0</v>
      </c>
      <c r="AR110" s="65">
        <v>0</v>
      </c>
      <c r="AS110" s="65">
        <v>0</v>
      </c>
      <c r="AT110" s="65">
        <v>0</v>
      </c>
      <c r="AU110" s="65">
        <v>0</v>
      </c>
      <c r="AV110" s="65">
        <v>0</v>
      </c>
      <c r="AW110" s="65">
        <v>0</v>
      </c>
      <c r="AX110" s="65">
        <v>0</v>
      </c>
      <c r="AY110" s="65">
        <v>0</v>
      </c>
      <c r="AZ110" s="65">
        <v>0</v>
      </c>
      <c r="BA110" s="65">
        <v>0</v>
      </c>
      <c r="BB110" s="65">
        <v>0</v>
      </c>
      <c r="BC110" s="65">
        <v>0</v>
      </c>
      <c r="BD110" s="65">
        <v>0</v>
      </c>
    </row>
    <row r="111" spans="3:56" x14ac:dyDescent="0.25">
      <c r="C111" s="110"/>
      <c r="D111" s="49" t="s">
        <v>36</v>
      </c>
      <c r="E111" s="65">
        <v>0</v>
      </c>
      <c r="F111" s="65">
        <v>0</v>
      </c>
      <c r="G111" s="65">
        <v>0</v>
      </c>
      <c r="H111" s="65">
        <v>0</v>
      </c>
      <c r="I111" s="65">
        <v>0</v>
      </c>
      <c r="J111" s="65">
        <v>0</v>
      </c>
      <c r="K111" s="65">
        <v>0</v>
      </c>
      <c r="L111" s="65">
        <v>0</v>
      </c>
      <c r="M111" s="65">
        <v>0</v>
      </c>
      <c r="N111" s="65">
        <v>0</v>
      </c>
      <c r="O111" s="65">
        <v>0</v>
      </c>
      <c r="P111" s="65">
        <v>0</v>
      </c>
      <c r="Q111" s="65">
        <v>0</v>
      </c>
      <c r="R111" s="65">
        <v>0</v>
      </c>
      <c r="S111" s="65">
        <v>0</v>
      </c>
      <c r="T111" s="65">
        <v>0</v>
      </c>
      <c r="U111" s="65">
        <v>0</v>
      </c>
      <c r="V111" s="65">
        <v>0</v>
      </c>
      <c r="W111" s="65">
        <v>0</v>
      </c>
      <c r="X111" s="65">
        <v>0</v>
      </c>
      <c r="Y111" s="65">
        <v>0</v>
      </c>
      <c r="Z111" s="65">
        <v>0</v>
      </c>
      <c r="AA111" s="65">
        <v>0</v>
      </c>
      <c r="AB111" s="65">
        <v>0</v>
      </c>
      <c r="AC111" s="65">
        <v>0</v>
      </c>
      <c r="AD111" s="65">
        <v>0</v>
      </c>
      <c r="AE111" s="65">
        <v>0</v>
      </c>
      <c r="AF111" s="65">
        <v>0</v>
      </c>
      <c r="AG111" s="65">
        <v>0</v>
      </c>
      <c r="AH111" s="65">
        <v>0</v>
      </c>
      <c r="AI111" s="65">
        <v>0</v>
      </c>
      <c r="AJ111" s="65">
        <v>0</v>
      </c>
      <c r="AK111" s="65">
        <v>0</v>
      </c>
      <c r="AL111" s="65">
        <v>0</v>
      </c>
      <c r="AM111" s="65">
        <v>0</v>
      </c>
      <c r="AN111" s="65">
        <v>0</v>
      </c>
      <c r="AO111" s="65">
        <v>0</v>
      </c>
      <c r="AP111" s="65">
        <v>0</v>
      </c>
      <c r="AQ111" s="65">
        <v>0</v>
      </c>
      <c r="AR111" s="65">
        <v>0</v>
      </c>
      <c r="AS111" s="65">
        <v>0</v>
      </c>
      <c r="AT111" s="65">
        <v>0</v>
      </c>
      <c r="AU111" s="65">
        <v>0</v>
      </c>
      <c r="AV111" s="65">
        <v>0</v>
      </c>
      <c r="AW111" s="65">
        <v>0</v>
      </c>
      <c r="AX111" s="65">
        <v>0</v>
      </c>
      <c r="AY111" s="65">
        <v>0</v>
      </c>
      <c r="AZ111" s="65">
        <v>0</v>
      </c>
      <c r="BA111" s="65">
        <v>0</v>
      </c>
      <c r="BB111" s="65">
        <v>0</v>
      </c>
      <c r="BC111" s="65">
        <v>0</v>
      </c>
      <c r="BD111" s="65">
        <v>0</v>
      </c>
    </row>
    <row r="112" spans="3:56" x14ac:dyDescent="0.25">
      <c r="C112" s="110"/>
      <c r="D112" s="49" t="s">
        <v>37</v>
      </c>
      <c r="E112" s="65">
        <v>0</v>
      </c>
      <c r="F112" s="65">
        <v>0</v>
      </c>
      <c r="G112" s="65">
        <v>0</v>
      </c>
      <c r="H112" s="65">
        <v>0</v>
      </c>
      <c r="I112" s="65">
        <v>0</v>
      </c>
      <c r="J112" s="65">
        <v>0</v>
      </c>
      <c r="K112" s="65">
        <v>0</v>
      </c>
      <c r="L112" s="65">
        <v>0</v>
      </c>
      <c r="M112" s="65">
        <v>0</v>
      </c>
      <c r="N112" s="65">
        <v>0</v>
      </c>
      <c r="O112" s="65">
        <v>0</v>
      </c>
      <c r="P112" s="65">
        <v>0</v>
      </c>
      <c r="Q112" s="65">
        <v>0</v>
      </c>
      <c r="R112" s="65">
        <v>0</v>
      </c>
      <c r="S112" s="65">
        <v>0</v>
      </c>
      <c r="T112" s="65">
        <v>0</v>
      </c>
      <c r="U112" s="65">
        <v>0</v>
      </c>
      <c r="V112" s="65">
        <v>0</v>
      </c>
      <c r="W112" s="65">
        <v>0</v>
      </c>
      <c r="X112" s="65">
        <v>0</v>
      </c>
      <c r="Y112" s="65">
        <v>0</v>
      </c>
      <c r="Z112" s="65">
        <v>0</v>
      </c>
      <c r="AA112" s="65">
        <v>0</v>
      </c>
      <c r="AB112" s="65">
        <v>0</v>
      </c>
      <c r="AC112" s="65">
        <v>0</v>
      </c>
      <c r="AD112" s="65">
        <v>0</v>
      </c>
      <c r="AE112" s="65">
        <v>0</v>
      </c>
      <c r="AF112" s="65">
        <v>0</v>
      </c>
      <c r="AG112" s="65">
        <v>0</v>
      </c>
      <c r="AH112" s="65">
        <v>0</v>
      </c>
      <c r="AI112" s="65">
        <v>0</v>
      </c>
      <c r="AJ112" s="65">
        <v>0</v>
      </c>
      <c r="AK112" s="65">
        <v>0</v>
      </c>
      <c r="AL112" s="65">
        <v>0</v>
      </c>
      <c r="AM112" s="65">
        <v>0</v>
      </c>
      <c r="AN112" s="65">
        <v>0</v>
      </c>
      <c r="AO112" s="65">
        <v>0</v>
      </c>
      <c r="AP112" s="65">
        <v>0</v>
      </c>
      <c r="AQ112" s="65">
        <v>0</v>
      </c>
      <c r="AR112" s="65">
        <v>0</v>
      </c>
      <c r="AS112" s="65">
        <v>0</v>
      </c>
      <c r="AT112" s="65">
        <v>0</v>
      </c>
      <c r="AU112" s="65">
        <v>0</v>
      </c>
      <c r="AV112" s="65">
        <v>0</v>
      </c>
      <c r="AW112" s="65">
        <v>0</v>
      </c>
      <c r="AX112" s="65">
        <v>0</v>
      </c>
      <c r="AY112" s="65">
        <v>0</v>
      </c>
      <c r="AZ112" s="65">
        <v>0</v>
      </c>
      <c r="BA112" s="65">
        <v>0</v>
      </c>
      <c r="BB112" s="65">
        <v>0</v>
      </c>
      <c r="BC112" s="65">
        <v>0</v>
      </c>
      <c r="BD112" s="65">
        <v>0</v>
      </c>
    </row>
    <row r="113" spans="2:56" x14ac:dyDescent="0.25">
      <c r="C113" s="110"/>
      <c r="D113" s="49" t="s">
        <v>38</v>
      </c>
      <c r="E113" s="65">
        <v>0</v>
      </c>
      <c r="F113" s="65">
        <v>0</v>
      </c>
      <c r="G113" s="65">
        <v>0</v>
      </c>
      <c r="H113" s="65">
        <v>0</v>
      </c>
      <c r="I113" s="65">
        <v>0</v>
      </c>
      <c r="J113" s="65">
        <v>0</v>
      </c>
      <c r="K113" s="65">
        <v>0</v>
      </c>
      <c r="L113" s="65">
        <v>0</v>
      </c>
      <c r="M113" s="65">
        <v>0</v>
      </c>
      <c r="N113" s="65">
        <v>0</v>
      </c>
      <c r="O113" s="65">
        <v>0</v>
      </c>
      <c r="P113" s="65">
        <v>0</v>
      </c>
      <c r="Q113" s="65">
        <v>0</v>
      </c>
      <c r="R113" s="65">
        <v>0</v>
      </c>
      <c r="S113" s="65">
        <v>0</v>
      </c>
      <c r="T113" s="65">
        <v>0</v>
      </c>
      <c r="U113" s="65">
        <v>0</v>
      </c>
      <c r="V113" s="65">
        <v>0</v>
      </c>
      <c r="W113" s="65">
        <v>0</v>
      </c>
      <c r="X113" s="65">
        <v>0</v>
      </c>
      <c r="Y113" s="65">
        <v>0</v>
      </c>
      <c r="Z113" s="65">
        <v>0</v>
      </c>
      <c r="AA113" s="65">
        <v>0</v>
      </c>
      <c r="AB113" s="65">
        <v>0</v>
      </c>
      <c r="AC113" s="65">
        <v>0</v>
      </c>
      <c r="AD113" s="65">
        <v>0</v>
      </c>
      <c r="AE113" s="65">
        <v>0</v>
      </c>
      <c r="AF113" s="65">
        <v>0</v>
      </c>
      <c r="AG113" s="65">
        <v>0</v>
      </c>
      <c r="AH113" s="65">
        <v>0</v>
      </c>
      <c r="AI113" s="65">
        <v>0</v>
      </c>
      <c r="AJ113" s="65">
        <v>0</v>
      </c>
      <c r="AK113" s="65">
        <v>0</v>
      </c>
      <c r="AL113" s="65">
        <v>0</v>
      </c>
      <c r="AM113" s="65">
        <v>0</v>
      </c>
      <c r="AN113" s="65">
        <v>0</v>
      </c>
      <c r="AO113" s="65">
        <v>0</v>
      </c>
      <c r="AP113" s="65">
        <v>0</v>
      </c>
      <c r="AQ113" s="65">
        <v>0</v>
      </c>
      <c r="AR113" s="65">
        <v>0</v>
      </c>
      <c r="AS113" s="65">
        <v>0</v>
      </c>
      <c r="AT113" s="65">
        <v>0</v>
      </c>
      <c r="AU113" s="65">
        <v>0</v>
      </c>
      <c r="AV113" s="65">
        <v>0</v>
      </c>
      <c r="AW113" s="65">
        <v>0</v>
      </c>
      <c r="AX113" s="65">
        <v>0</v>
      </c>
      <c r="AY113" s="65">
        <v>0</v>
      </c>
      <c r="AZ113" s="65">
        <v>0</v>
      </c>
      <c r="BA113" s="65">
        <v>0</v>
      </c>
      <c r="BB113" s="65">
        <v>0</v>
      </c>
      <c r="BC113" s="65">
        <v>0</v>
      </c>
      <c r="BD113" s="65">
        <v>0</v>
      </c>
    </row>
    <row r="114" spans="2:56" x14ac:dyDescent="0.25">
      <c r="C114" s="110"/>
      <c r="D114" s="49" t="s">
        <v>39</v>
      </c>
      <c r="E114" s="65">
        <v>0</v>
      </c>
      <c r="F114" s="65">
        <v>0</v>
      </c>
      <c r="G114" s="65">
        <v>0</v>
      </c>
      <c r="H114" s="65">
        <v>27</v>
      </c>
      <c r="I114" s="65">
        <v>27</v>
      </c>
      <c r="J114" s="65">
        <v>27</v>
      </c>
      <c r="K114" s="65">
        <v>27</v>
      </c>
      <c r="L114" s="65">
        <v>27</v>
      </c>
      <c r="M114" s="65">
        <v>25</v>
      </c>
      <c r="N114" s="65">
        <v>24</v>
      </c>
      <c r="O114" s="65">
        <v>17</v>
      </c>
      <c r="P114" s="65">
        <v>16</v>
      </c>
      <c r="Q114" s="65">
        <v>15</v>
      </c>
      <c r="R114" s="65">
        <v>15</v>
      </c>
      <c r="S114" s="65">
        <v>14</v>
      </c>
      <c r="T114" s="65">
        <v>13</v>
      </c>
      <c r="U114" s="65">
        <v>11</v>
      </c>
      <c r="V114" s="65">
        <v>11</v>
      </c>
      <c r="W114" s="65">
        <v>10</v>
      </c>
      <c r="X114" s="65">
        <v>10</v>
      </c>
      <c r="Y114" s="65">
        <v>9.85</v>
      </c>
      <c r="Z114" s="65">
        <v>9.7022499999999994</v>
      </c>
      <c r="AA114" s="65">
        <v>11.556716249999999</v>
      </c>
      <c r="AB114" s="65">
        <v>11.38336550625</v>
      </c>
      <c r="AC114" s="65">
        <v>9.2126150236562498</v>
      </c>
      <c r="AD114" s="65">
        <v>9.0744257983014069</v>
      </c>
      <c r="AE114" s="65">
        <v>8.9383094113268857</v>
      </c>
      <c r="AF114" s="65">
        <v>8.8042347701569827</v>
      </c>
      <c r="AG114" s="65">
        <v>8.6721712486046272</v>
      </c>
      <c r="AH114" s="65">
        <v>8.5420886798755582</v>
      </c>
      <c r="AI114" s="65">
        <v>8.4139573496774247</v>
      </c>
      <c r="AJ114" s="65">
        <v>8.2877479894322637</v>
      </c>
      <c r="AK114" s="65">
        <v>8.1634317695907797</v>
      </c>
      <c r="AL114" s="65">
        <v>8.0409802930469176</v>
      </c>
      <c r="AM114" s="65">
        <v>7.9203655886512134</v>
      </c>
      <c r="AN114" s="65">
        <v>8.8015601048214442</v>
      </c>
      <c r="AO114" s="65">
        <v>8.669536703249122</v>
      </c>
      <c r="AP114" s="65">
        <v>8.5394936527003846</v>
      </c>
      <c r="AQ114" s="65">
        <v>8.411401247909879</v>
      </c>
      <c r="AR114" s="65">
        <v>9.2852302291912316</v>
      </c>
      <c r="AS114" s="65">
        <v>11.062384703690642</v>
      </c>
      <c r="AT114" s="65">
        <v>10.796887470802066</v>
      </c>
      <c r="AU114" s="65">
        <v>12.537762171502816</v>
      </c>
      <c r="AV114" s="65">
        <v>22.236855879386749</v>
      </c>
      <c r="AW114" s="65">
        <v>31.703171338281468</v>
      </c>
      <c r="AX114" s="65">
        <v>47.942295226162713</v>
      </c>
      <c r="AY114" s="65">
        <v>46.791680140734805</v>
      </c>
      <c r="AZ114" s="65">
        <v>45.668679817357166</v>
      </c>
      <c r="BA114" s="65">
        <v>44.572631501740595</v>
      </c>
      <c r="BB114" s="65">
        <v>39.502888345698821</v>
      </c>
      <c r="BC114" s="65">
        <v>24.554819025402047</v>
      </c>
      <c r="BD114" s="65">
        <v>23.965503368792398</v>
      </c>
    </row>
    <row r="115" spans="2:56" x14ac:dyDescent="0.25">
      <c r="C115" s="110"/>
      <c r="D115" s="49" t="s">
        <v>40</v>
      </c>
      <c r="E115" s="65">
        <v>0</v>
      </c>
      <c r="F115" s="65">
        <v>0</v>
      </c>
      <c r="G115" s="65">
        <v>0</v>
      </c>
      <c r="H115" s="65">
        <v>0</v>
      </c>
      <c r="I115" s="65">
        <v>0</v>
      </c>
      <c r="J115" s="65">
        <v>0</v>
      </c>
      <c r="K115" s="65">
        <v>0</v>
      </c>
      <c r="L115" s="65">
        <v>0</v>
      </c>
      <c r="M115" s="65">
        <v>0</v>
      </c>
      <c r="N115" s="65">
        <v>0</v>
      </c>
      <c r="O115" s="65">
        <v>0</v>
      </c>
      <c r="P115" s="65">
        <v>0</v>
      </c>
      <c r="Q115" s="65">
        <v>0</v>
      </c>
      <c r="R115" s="65">
        <v>0</v>
      </c>
      <c r="S115" s="65">
        <v>0</v>
      </c>
      <c r="T115" s="65">
        <v>0</v>
      </c>
      <c r="U115" s="65">
        <v>0</v>
      </c>
      <c r="V115" s="65">
        <v>0</v>
      </c>
      <c r="W115" s="65">
        <v>0</v>
      </c>
      <c r="X115" s="65">
        <v>0</v>
      </c>
      <c r="Y115" s="65">
        <v>0</v>
      </c>
      <c r="Z115" s="65">
        <v>0</v>
      </c>
      <c r="AA115" s="65">
        <v>0</v>
      </c>
      <c r="AB115" s="65">
        <v>0</v>
      </c>
      <c r="AC115" s="65">
        <v>0</v>
      </c>
      <c r="AD115" s="65">
        <v>0</v>
      </c>
      <c r="AE115" s="65">
        <v>0</v>
      </c>
      <c r="AF115" s="65">
        <v>0</v>
      </c>
      <c r="AG115" s="65">
        <v>0</v>
      </c>
      <c r="AH115" s="65">
        <v>0</v>
      </c>
      <c r="AI115" s="65">
        <v>0</v>
      </c>
      <c r="AJ115" s="65">
        <v>0</v>
      </c>
      <c r="AK115" s="65">
        <v>0</v>
      </c>
      <c r="AL115" s="65">
        <v>0</v>
      </c>
      <c r="AM115" s="65">
        <v>0</v>
      </c>
      <c r="AN115" s="65">
        <v>0</v>
      </c>
      <c r="AO115" s="65">
        <v>0</v>
      </c>
      <c r="AP115" s="65">
        <v>0</v>
      </c>
      <c r="AQ115" s="65">
        <v>0</v>
      </c>
      <c r="AR115" s="65">
        <v>0</v>
      </c>
      <c r="AS115" s="65">
        <v>0</v>
      </c>
      <c r="AT115" s="65">
        <v>0</v>
      </c>
      <c r="AU115" s="65">
        <v>0</v>
      </c>
      <c r="AV115" s="65">
        <v>0</v>
      </c>
      <c r="AW115" s="65">
        <v>0</v>
      </c>
      <c r="AX115" s="65">
        <v>0</v>
      </c>
      <c r="AY115" s="65">
        <v>0</v>
      </c>
      <c r="AZ115" s="65">
        <v>0</v>
      </c>
      <c r="BA115" s="65">
        <v>0</v>
      </c>
      <c r="BB115" s="65">
        <v>0</v>
      </c>
      <c r="BC115" s="65">
        <v>0</v>
      </c>
      <c r="BD115" s="65">
        <v>0</v>
      </c>
    </row>
    <row r="116" spans="2:56" x14ac:dyDescent="0.25">
      <c r="C116" s="110"/>
      <c r="D116" s="50" t="s">
        <v>41</v>
      </c>
      <c r="E116" s="54">
        <f t="shared" ref="E116:BD116" si="26">(SUM(E109:E115)*E118)/((40*(1-E117)+40))</f>
        <v>0</v>
      </c>
      <c r="F116" s="54">
        <f t="shared" si="26"/>
        <v>0</v>
      </c>
      <c r="G116" s="54">
        <f t="shared" si="26"/>
        <v>0</v>
      </c>
      <c r="H116" s="54">
        <f>(SUM(H109:H115)*H118)/((40*(1-H117)+40))</f>
        <v>0</v>
      </c>
      <c r="I116" s="54">
        <f t="shared" si="26"/>
        <v>0</v>
      </c>
      <c r="J116" s="54">
        <f t="shared" si="26"/>
        <v>0</v>
      </c>
      <c r="K116" s="54">
        <f t="shared" si="26"/>
        <v>-4.6956521739130439</v>
      </c>
      <c r="L116" s="54">
        <f t="shared" si="26"/>
        <v>-2.347826086956522</v>
      </c>
      <c r="M116" s="54">
        <f t="shared" si="26"/>
        <v>-4.3478260869565215</v>
      </c>
      <c r="N116" s="54">
        <f t="shared" si="26"/>
        <v>-1.0434782608695652</v>
      </c>
      <c r="O116" s="54">
        <f t="shared" si="26"/>
        <v>0</v>
      </c>
      <c r="P116" s="54">
        <f t="shared" si="26"/>
        <v>0</v>
      </c>
      <c r="Q116" s="54">
        <f t="shared" si="26"/>
        <v>0</v>
      </c>
      <c r="R116" s="54">
        <f t="shared" si="26"/>
        <v>0</v>
      </c>
      <c r="S116" s="54">
        <f t="shared" si="26"/>
        <v>0</v>
      </c>
      <c r="T116" s="54">
        <f t="shared" si="26"/>
        <v>0</v>
      </c>
      <c r="U116" s="54">
        <f t="shared" si="26"/>
        <v>1.9130434782608696</v>
      </c>
      <c r="V116" s="54">
        <f t="shared" si="26"/>
        <v>1.9130434782608696</v>
      </c>
      <c r="W116" s="54">
        <f t="shared" si="26"/>
        <v>1.7391304347826086</v>
      </c>
      <c r="X116" s="54">
        <f t="shared" si="26"/>
        <v>0</v>
      </c>
      <c r="Y116" s="54">
        <f t="shared" si="26"/>
        <v>0</v>
      </c>
      <c r="Z116" s="54">
        <f t="shared" si="26"/>
        <v>0</v>
      </c>
      <c r="AA116" s="54">
        <f t="shared" si="26"/>
        <v>0</v>
      </c>
      <c r="AB116" s="54">
        <f t="shared" si="26"/>
        <v>0</v>
      </c>
      <c r="AC116" s="54">
        <f t="shared" si="26"/>
        <v>0</v>
      </c>
      <c r="AD116" s="54">
        <f t="shared" si="26"/>
        <v>0</v>
      </c>
      <c r="AE116" s="54">
        <f t="shared" si="26"/>
        <v>0</v>
      </c>
      <c r="AF116" s="54">
        <f t="shared" si="26"/>
        <v>0</v>
      </c>
      <c r="AG116" s="54">
        <f t="shared" si="26"/>
        <v>0</v>
      </c>
      <c r="AH116" s="54">
        <f t="shared" si="26"/>
        <v>0</v>
      </c>
      <c r="AI116" s="54">
        <f t="shared" si="26"/>
        <v>0</v>
      </c>
      <c r="AJ116" s="54">
        <f t="shared" si="26"/>
        <v>0</v>
      </c>
      <c r="AK116" s="54">
        <f t="shared" si="26"/>
        <v>0</v>
      </c>
      <c r="AL116" s="54">
        <f t="shared" si="26"/>
        <v>0</v>
      </c>
      <c r="AM116" s="54">
        <f t="shared" si="26"/>
        <v>0</v>
      </c>
      <c r="AN116" s="54">
        <f t="shared" si="26"/>
        <v>0</v>
      </c>
      <c r="AO116" s="54">
        <f t="shared" si="26"/>
        <v>0</v>
      </c>
      <c r="AP116" s="54">
        <f t="shared" si="26"/>
        <v>0</v>
      </c>
      <c r="AQ116" s="54">
        <f t="shared" si="26"/>
        <v>0</v>
      </c>
      <c r="AR116" s="54">
        <f t="shared" si="26"/>
        <v>0</v>
      </c>
      <c r="AS116" s="54">
        <f t="shared" si="26"/>
        <v>0</v>
      </c>
      <c r="AT116" s="54">
        <f t="shared" si="26"/>
        <v>0</v>
      </c>
      <c r="AU116" s="54">
        <f t="shared" si="26"/>
        <v>0</v>
      </c>
      <c r="AV116" s="54">
        <f t="shared" si="26"/>
        <v>0</v>
      </c>
      <c r="AW116" s="54">
        <f t="shared" si="26"/>
        <v>0</v>
      </c>
      <c r="AX116" s="54">
        <f t="shared" si="26"/>
        <v>0</v>
      </c>
      <c r="AY116" s="54">
        <f t="shared" si="26"/>
        <v>0</v>
      </c>
      <c r="AZ116" s="54">
        <f t="shared" si="26"/>
        <v>7.9423790986708118</v>
      </c>
      <c r="BA116" s="54">
        <f t="shared" si="26"/>
        <v>5.8138215002270339</v>
      </c>
      <c r="BB116" s="54">
        <f t="shared" si="26"/>
        <v>0</v>
      </c>
      <c r="BC116" s="54">
        <f t="shared" si="26"/>
        <v>0</v>
      </c>
      <c r="BD116" s="54">
        <f t="shared" si="26"/>
        <v>0</v>
      </c>
    </row>
    <row r="117" spans="2:56" x14ac:dyDescent="0.25">
      <c r="C117" s="110"/>
      <c r="D117" s="50" t="s">
        <v>42</v>
      </c>
      <c r="E117" s="67">
        <v>0.85</v>
      </c>
      <c r="F117" s="67">
        <v>0.85</v>
      </c>
      <c r="G117" s="67">
        <v>0.85</v>
      </c>
      <c r="H117" s="67">
        <v>0.85</v>
      </c>
      <c r="I117" s="67">
        <v>0.85</v>
      </c>
      <c r="J117" s="67">
        <v>0.85</v>
      </c>
      <c r="K117" s="67">
        <v>0.85</v>
      </c>
      <c r="L117" s="67">
        <v>0.85</v>
      </c>
      <c r="M117" s="67">
        <v>0.85</v>
      </c>
      <c r="N117" s="67">
        <v>0.85</v>
      </c>
      <c r="O117" s="67">
        <v>0.85</v>
      </c>
      <c r="P117" s="67">
        <v>0.85</v>
      </c>
      <c r="Q117" s="67">
        <v>0.85</v>
      </c>
      <c r="R117" s="67">
        <v>0.85</v>
      </c>
      <c r="S117" s="67">
        <v>0.85</v>
      </c>
      <c r="T117" s="67">
        <v>0.85</v>
      </c>
      <c r="U117" s="67">
        <v>0.85</v>
      </c>
      <c r="V117" s="67">
        <v>0.85</v>
      </c>
      <c r="W117" s="67">
        <v>0.85</v>
      </c>
      <c r="X117" s="67">
        <v>0.85</v>
      </c>
      <c r="Y117" s="67">
        <v>0.85</v>
      </c>
      <c r="Z117" s="67">
        <v>0.85</v>
      </c>
      <c r="AA117" s="67">
        <v>0.85</v>
      </c>
      <c r="AB117" s="67">
        <v>0.85</v>
      </c>
      <c r="AC117" s="67">
        <v>0.85</v>
      </c>
      <c r="AD117" s="67">
        <v>0.85</v>
      </c>
      <c r="AE117" s="67">
        <v>0.85</v>
      </c>
      <c r="AF117" s="67">
        <v>0.85</v>
      </c>
      <c r="AG117" s="67">
        <v>0.85</v>
      </c>
      <c r="AH117" s="67">
        <v>0.85</v>
      </c>
      <c r="AI117" s="67">
        <v>0.85</v>
      </c>
      <c r="AJ117" s="67">
        <v>0.85</v>
      </c>
      <c r="AK117" s="67">
        <v>0.85</v>
      </c>
      <c r="AL117" s="67">
        <v>0.85</v>
      </c>
      <c r="AM117" s="67">
        <v>0.85</v>
      </c>
      <c r="AN117" s="67">
        <v>0.85</v>
      </c>
      <c r="AO117" s="67">
        <v>0.85</v>
      </c>
      <c r="AP117" s="67">
        <v>0.85</v>
      </c>
      <c r="AQ117" s="67">
        <v>0.85</v>
      </c>
      <c r="AR117" s="67">
        <v>0.85</v>
      </c>
      <c r="AS117" s="67">
        <v>0.85</v>
      </c>
      <c r="AT117" s="67">
        <v>0.85</v>
      </c>
      <c r="AU117" s="67">
        <v>0.85</v>
      </c>
      <c r="AV117" s="67">
        <v>0.85</v>
      </c>
      <c r="AW117" s="67">
        <v>0.85</v>
      </c>
      <c r="AX117" s="67">
        <v>0.85</v>
      </c>
      <c r="AY117" s="67">
        <v>0.85</v>
      </c>
      <c r="AZ117" s="67">
        <v>0.85</v>
      </c>
      <c r="BA117" s="67">
        <v>0.85</v>
      </c>
      <c r="BB117" s="67">
        <v>0.85</v>
      </c>
      <c r="BC117" s="67">
        <v>0.85</v>
      </c>
      <c r="BD117" s="67">
        <v>0.85</v>
      </c>
    </row>
    <row r="118" spans="2:56" x14ac:dyDescent="0.25">
      <c r="C118" s="110"/>
      <c r="D118" s="50" t="s">
        <v>43</v>
      </c>
      <c r="E118" s="65"/>
      <c r="F118" s="65"/>
      <c r="G118" s="65"/>
      <c r="H118" s="65"/>
      <c r="I118" s="65"/>
      <c r="J118" s="65"/>
      <c r="K118" s="65">
        <v>-8</v>
      </c>
      <c r="L118" s="65">
        <v>-4</v>
      </c>
      <c r="M118" s="65">
        <v>-8</v>
      </c>
      <c r="N118" s="65">
        <v>-2</v>
      </c>
      <c r="O118" s="65"/>
      <c r="P118" s="65"/>
      <c r="Q118" s="65"/>
      <c r="R118" s="65"/>
      <c r="S118" s="65"/>
      <c r="T118" s="65"/>
      <c r="U118" s="65">
        <v>8</v>
      </c>
      <c r="V118" s="65">
        <v>8</v>
      </c>
      <c r="W118" s="65">
        <v>8</v>
      </c>
      <c r="X118" s="65"/>
      <c r="Y118" s="65"/>
      <c r="Z118" s="65"/>
      <c r="AA118" s="65"/>
      <c r="AB118" s="65"/>
      <c r="AC118" s="65"/>
      <c r="AD118" s="65"/>
      <c r="AE118" s="65"/>
      <c r="AF118" s="65"/>
      <c r="AG118" s="65"/>
      <c r="AH118" s="65"/>
      <c r="AI118" s="65"/>
      <c r="AJ118" s="65"/>
      <c r="AK118" s="65"/>
      <c r="AL118" s="65"/>
      <c r="AM118" s="65"/>
      <c r="AN118" s="65"/>
      <c r="AO118" s="65"/>
      <c r="AP118" s="65"/>
      <c r="AQ118" s="65"/>
      <c r="AR118" s="65"/>
      <c r="AS118" s="65"/>
      <c r="AT118" s="65"/>
      <c r="AU118" s="65"/>
      <c r="AV118" s="65"/>
      <c r="AW118" s="65"/>
      <c r="AX118" s="65"/>
      <c r="AY118" s="65"/>
      <c r="AZ118" s="65">
        <v>8</v>
      </c>
      <c r="BA118" s="65">
        <v>6</v>
      </c>
      <c r="BB118" s="65"/>
      <c r="BC118" s="65"/>
      <c r="BD118" s="65"/>
    </row>
    <row r="119" spans="2:56" x14ac:dyDescent="0.25">
      <c r="C119" s="110"/>
      <c r="D119" s="51" t="s">
        <v>44</v>
      </c>
      <c r="E119" s="61">
        <f t="shared" ref="E119" si="27">SUM(E109:E116)</f>
        <v>0</v>
      </c>
      <c r="F119" s="61">
        <f t="shared" ref="F119:BD119" si="28">SUM(F109:F116)</f>
        <v>0</v>
      </c>
      <c r="G119" s="61">
        <f t="shared" si="28"/>
        <v>0</v>
      </c>
      <c r="H119" s="61">
        <f t="shared" si="28"/>
        <v>27</v>
      </c>
      <c r="I119" s="61">
        <f t="shared" si="28"/>
        <v>27</v>
      </c>
      <c r="J119" s="61">
        <f t="shared" si="28"/>
        <v>27</v>
      </c>
      <c r="K119" s="61">
        <f t="shared" si="28"/>
        <v>22.304347826086957</v>
      </c>
      <c r="L119" s="61">
        <f t="shared" si="28"/>
        <v>24.652173913043477</v>
      </c>
      <c r="M119" s="61">
        <f t="shared" si="28"/>
        <v>20.652173913043477</v>
      </c>
      <c r="N119" s="61">
        <f t="shared" si="28"/>
        <v>22.956521739130434</v>
      </c>
      <c r="O119" s="61">
        <f t="shared" si="28"/>
        <v>17</v>
      </c>
      <c r="P119" s="61">
        <f t="shared" si="28"/>
        <v>16</v>
      </c>
      <c r="Q119" s="61">
        <f t="shared" si="28"/>
        <v>15</v>
      </c>
      <c r="R119" s="61">
        <f t="shared" si="28"/>
        <v>15</v>
      </c>
      <c r="S119" s="61">
        <f t="shared" si="28"/>
        <v>14</v>
      </c>
      <c r="T119" s="61">
        <f t="shared" si="28"/>
        <v>13</v>
      </c>
      <c r="U119" s="61">
        <f t="shared" si="28"/>
        <v>12.913043478260869</v>
      </c>
      <c r="V119" s="61">
        <f t="shared" si="28"/>
        <v>12.913043478260869</v>
      </c>
      <c r="W119" s="61">
        <f t="shared" si="28"/>
        <v>11.739130434782609</v>
      </c>
      <c r="X119" s="61">
        <f t="shared" si="28"/>
        <v>10</v>
      </c>
      <c r="Y119" s="61">
        <f t="shared" si="28"/>
        <v>9.85</v>
      </c>
      <c r="Z119" s="61">
        <f t="shared" si="28"/>
        <v>9.7022499999999994</v>
      </c>
      <c r="AA119" s="61">
        <f t="shared" si="28"/>
        <v>11.556716249999999</v>
      </c>
      <c r="AB119" s="61">
        <f t="shared" si="28"/>
        <v>11.38336550625</v>
      </c>
      <c r="AC119" s="61">
        <f t="shared" si="28"/>
        <v>9.2126150236562498</v>
      </c>
      <c r="AD119" s="61">
        <f t="shared" si="28"/>
        <v>9.0744257983014069</v>
      </c>
      <c r="AE119" s="61">
        <f t="shared" si="28"/>
        <v>8.9383094113268857</v>
      </c>
      <c r="AF119" s="61">
        <f t="shared" si="28"/>
        <v>8.8042347701569827</v>
      </c>
      <c r="AG119" s="61">
        <f t="shared" si="28"/>
        <v>8.6721712486046272</v>
      </c>
      <c r="AH119" s="61">
        <f t="shared" si="28"/>
        <v>8.5420886798755582</v>
      </c>
      <c r="AI119" s="61">
        <f t="shared" si="28"/>
        <v>8.4139573496774247</v>
      </c>
      <c r="AJ119" s="61">
        <f t="shared" si="28"/>
        <v>8.2877479894322637</v>
      </c>
      <c r="AK119" s="61">
        <f t="shared" si="28"/>
        <v>8.1634317695907797</v>
      </c>
      <c r="AL119" s="61">
        <f t="shared" si="28"/>
        <v>8.0409802930469176</v>
      </c>
      <c r="AM119" s="61">
        <f t="shared" si="28"/>
        <v>7.9203655886512134</v>
      </c>
      <c r="AN119" s="61">
        <f t="shared" si="28"/>
        <v>8.8015601048214442</v>
      </c>
      <c r="AO119" s="61">
        <f t="shared" si="28"/>
        <v>8.669536703249122</v>
      </c>
      <c r="AP119" s="61">
        <f t="shared" si="28"/>
        <v>8.5394936527003846</v>
      </c>
      <c r="AQ119" s="61">
        <f t="shared" si="28"/>
        <v>8.411401247909879</v>
      </c>
      <c r="AR119" s="61">
        <f t="shared" si="28"/>
        <v>9.2852302291912316</v>
      </c>
      <c r="AS119" s="61">
        <f t="shared" si="28"/>
        <v>11.062384703690642</v>
      </c>
      <c r="AT119" s="61">
        <f t="shared" si="28"/>
        <v>10.796887470802066</v>
      </c>
      <c r="AU119" s="61">
        <f t="shared" si="28"/>
        <v>12.537762171502816</v>
      </c>
      <c r="AV119" s="61">
        <f t="shared" si="28"/>
        <v>22.236855879386749</v>
      </c>
      <c r="AW119" s="61">
        <f t="shared" si="28"/>
        <v>31.703171338281468</v>
      </c>
      <c r="AX119" s="61">
        <f t="shared" si="28"/>
        <v>47.942295226162713</v>
      </c>
      <c r="AY119" s="61">
        <f t="shared" si="28"/>
        <v>46.791680140734805</v>
      </c>
      <c r="AZ119" s="61">
        <f t="shared" si="28"/>
        <v>53.611058916027979</v>
      </c>
      <c r="BA119" s="61">
        <f t="shared" si="28"/>
        <v>50.386453001967631</v>
      </c>
      <c r="BB119" s="61">
        <f t="shared" si="28"/>
        <v>39.502888345698821</v>
      </c>
      <c r="BC119" s="61">
        <f t="shared" si="28"/>
        <v>24.554819025402047</v>
      </c>
      <c r="BD119" s="61">
        <f t="shared" si="28"/>
        <v>23.965503368792398</v>
      </c>
    </row>
    <row r="120" spans="2:56" x14ac:dyDescent="0.25">
      <c r="C120" s="110"/>
      <c r="D120" s="52" t="s">
        <v>45</v>
      </c>
      <c r="E120" s="56">
        <f>E119-E107</f>
        <v>-45.873677909512516</v>
      </c>
      <c r="F120" s="56">
        <f t="shared" ref="F120:BD120" si="29">F119-F107</f>
        <v>-40.085064467115572</v>
      </c>
      <c r="G120" s="56">
        <f t="shared" si="29"/>
        <v>-29.370011732860664</v>
      </c>
      <c r="H120" s="56">
        <f t="shared" si="29"/>
        <v>0.72702322369897132</v>
      </c>
      <c r="I120" s="56">
        <f t="shared" si="29"/>
        <v>1.7781326320289566</v>
      </c>
      <c r="J120" s="56">
        <f t="shared" si="29"/>
        <v>4.3027980951545821</v>
      </c>
      <c r="K120" s="56">
        <f t="shared" si="29"/>
        <v>5.6902487672046469</v>
      </c>
      <c r="L120" s="56">
        <f t="shared" si="29"/>
        <v>3.1349768685171107</v>
      </c>
      <c r="M120" s="56">
        <f t="shared" si="29"/>
        <v>-0.58506856380837746</v>
      </c>
      <c r="N120" s="56">
        <f t="shared" si="29"/>
        <v>-0.7851826194221907</v>
      </c>
      <c r="O120" s="56">
        <f t="shared" si="29"/>
        <v>-10.65025102542236</v>
      </c>
      <c r="P120" s="56">
        <f t="shared" si="29"/>
        <v>-11.870974548972356</v>
      </c>
      <c r="Q120" s="56">
        <f t="shared" si="29"/>
        <v>-7.31247809669307</v>
      </c>
      <c r="R120" s="56">
        <f t="shared" si="29"/>
        <v>-6.7545977078012314</v>
      </c>
      <c r="S120" s="56">
        <f t="shared" si="29"/>
        <v>-7.7225821353151396</v>
      </c>
      <c r="T120" s="56">
        <f t="shared" si="29"/>
        <v>-10.477836238273635</v>
      </c>
      <c r="U120" s="56">
        <f t="shared" si="29"/>
        <v>-10.352929251596171</v>
      </c>
      <c r="V120" s="56">
        <f t="shared" si="29"/>
        <v>-13.474951836858208</v>
      </c>
      <c r="W120" s="56">
        <f t="shared" si="29"/>
        <v>-13.804754215355459</v>
      </c>
      <c r="X120" s="56">
        <f t="shared" si="29"/>
        <v>-5.9500550550550564</v>
      </c>
      <c r="Y120" s="56">
        <f t="shared" si="29"/>
        <v>-5.351738488488488</v>
      </c>
      <c r="Z120" s="56">
        <f t="shared" si="29"/>
        <v>-3.6927274774774776</v>
      </c>
      <c r="AA120" s="56">
        <f t="shared" si="29"/>
        <v>-5.0385565227727707</v>
      </c>
      <c r="AB120" s="56">
        <f t="shared" si="29"/>
        <v>-4.2761089682244773</v>
      </c>
      <c r="AC120" s="56">
        <f t="shared" si="29"/>
        <v>-5.5915241154828887</v>
      </c>
      <c r="AD120" s="56">
        <f t="shared" si="29"/>
        <v>-3.349945546727831</v>
      </c>
      <c r="AE120" s="56">
        <f t="shared" si="29"/>
        <v>-1.8955112514411478</v>
      </c>
      <c r="AF120" s="56">
        <f t="shared" si="29"/>
        <v>-3.3206653273089053</v>
      </c>
      <c r="AG120" s="56">
        <f t="shared" si="29"/>
        <v>-2.219731772837866</v>
      </c>
      <c r="AH120" s="56">
        <f t="shared" si="29"/>
        <v>-4.4241881232433524</v>
      </c>
      <c r="AI120" s="56">
        <f t="shared" si="29"/>
        <v>-4.9737984982757908</v>
      </c>
      <c r="AJ120" s="56">
        <f t="shared" si="29"/>
        <v>-6.7699493789887875</v>
      </c>
      <c r="AK120" s="56">
        <f t="shared" si="29"/>
        <v>-7.56512086198817</v>
      </c>
      <c r="AL120" s="56">
        <f t="shared" si="29"/>
        <v>-7.514933449643145</v>
      </c>
      <c r="AM120" s="56">
        <f t="shared" si="29"/>
        <v>-14.954548726953691</v>
      </c>
      <c r="AN120" s="56">
        <f t="shared" si="29"/>
        <v>-11.434606326656844</v>
      </c>
      <c r="AO120" s="56">
        <f t="shared" si="29"/>
        <v>-11.932652707862598</v>
      </c>
      <c r="AP120" s="56">
        <f t="shared" si="29"/>
        <v>-13.051858305084034</v>
      </c>
      <c r="AQ120" s="56">
        <f t="shared" si="29"/>
        <v>-15.079786870488892</v>
      </c>
      <c r="AR120" s="56">
        <f t="shared" si="29"/>
        <v>-11.756924566709834</v>
      </c>
      <c r="AS120" s="56">
        <f t="shared" si="29"/>
        <v>-11.155549159307485</v>
      </c>
      <c r="AT120" s="56">
        <f t="shared" si="29"/>
        <v>-12.107106495390479</v>
      </c>
      <c r="AU120" s="56">
        <f t="shared" si="29"/>
        <v>-11.741402056804663</v>
      </c>
      <c r="AV120" s="56">
        <f t="shared" si="29"/>
        <v>-3.1326499232854239</v>
      </c>
      <c r="AW120" s="56">
        <f t="shared" si="29"/>
        <v>4.5790608341298373</v>
      </c>
      <c r="AX120" s="56">
        <f t="shared" si="29"/>
        <v>21.342997519388721</v>
      </c>
      <c r="AY120" s="56">
        <f t="shared" si="29"/>
        <v>-16.547521998913581</v>
      </c>
      <c r="AZ120" s="56">
        <f t="shared" si="29"/>
        <v>-34.807266370655789</v>
      </c>
      <c r="BA120" s="56">
        <f t="shared" si="29"/>
        <v>-26.377571076881658</v>
      </c>
      <c r="BB120" s="56">
        <f t="shared" si="29"/>
        <v>-33.089671896320212</v>
      </c>
      <c r="BC120" s="56">
        <f t="shared" si="29"/>
        <v>-21.145281329799822</v>
      </c>
      <c r="BD120" s="56">
        <f t="shared" si="29"/>
        <v>-12.187959955814442</v>
      </c>
    </row>
    <row r="121" spans="2:56" x14ac:dyDescent="0.25">
      <c r="C121" s="48"/>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row>
    <row r="122" spans="2:56" x14ac:dyDescent="0.25">
      <c r="C122" s="48"/>
      <c r="E122" s="56"/>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row>
    <row r="123" spans="2:56" x14ac:dyDescent="0.25">
      <c r="E123" s="82">
        <f t="shared" ref="E123:BD123" si="30">E2</f>
        <v>44569</v>
      </c>
      <c r="F123" s="82">
        <f t="shared" si="30"/>
        <v>44576</v>
      </c>
      <c r="G123" s="82">
        <f t="shared" si="30"/>
        <v>44583</v>
      </c>
      <c r="H123" s="82">
        <f t="shared" si="30"/>
        <v>44590</v>
      </c>
      <c r="I123" s="82">
        <f t="shared" si="30"/>
        <v>44597</v>
      </c>
      <c r="J123" s="82">
        <f t="shared" si="30"/>
        <v>44604</v>
      </c>
      <c r="K123" s="82">
        <f t="shared" si="30"/>
        <v>44611</v>
      </c>
      <c r="L123" s="82">
        <f t="shared" si="30"/>
        <v>44618</v>
      </c>
      <c r="M123" s="82">
        <f t="shared" si="30"/>
        <v>44625</v>
      </c>
      <c r="N123" s="82">
        <f t="shared" si="30"/>
        <v>44632</v>
      </c>
      <c r="O123" s="82">
        <f t="shared" si="30"/>
        <v>44639</v>
      </c>
      <c r="P123" s="82">
        <f t="shared" si="30"/>
        <v>44646</v>
      </c>
      <c r="Q123" s="82">
        <f t="shared" si="30"/>
        <v>44653</v>
      </c>
      <c r="R123" s="82">
        <f t="shared" si="30"/>
        <v>44660</v>
      </c>
      <c r="S123" s="82">
        <f t="shared" si="30"/>
        <v>44667</v>
      </c>
      <c r="T123" s="82">
        <f t="shared" si="30"/>
        <v>44674</v>
      </c>
      <c r="U123" s="82">
        <f t="shared" si="30"/>
        <v>44681</v>
      </c>
      <c r="V123" s="82">
        <f t="shared" si="30"/>
        <v>44688</v>
      </c>
      <c r="W123" s="82">
        <f t="shared" si="30"/>
        <v>44695</v>
      </c>
      <c r="X123" s="82">
        <f t="shared" si="30"/>
        <v>44702</v>
      </c>
      <c r="Y123" s="82">
        <f t="shared" si="30"/>
        <v>44709</v>
      </c>
      <c r="Z123" s="82">
        <f t="shared" si="30"/>
        <v>44716</v>
      </c>
      <c r="AA123" s="82">
        <f t="shared" si="30"/>
        <v>44723</v>
      </c>
      <c r="AB123" s="82">
        <f t="shared" si="30"/>
        <v>44730</v>
      </c>
      <c r="AC123" s="82">
        <f t="shared" si="30"/>
        <v>44737</v>
      </c>
      <c r="AD123" s="82">
        <f t="shared" si="30"/>
        <v>44744</v>
      </c>
      <c r="AE123" s="82">
        <f t="shared" si="30"/>
        <v>44751</v>
      </c>
      <c r="AF123" s="82">
        <f t="shared" si="30"/>
        <v>44758</v>
      </c>
      <c r="AG123" s="82">
        <f t="shared" si="30"/>
        <v>44765</v>
      </c>
      <c r="AH123" s="82">
        <f t="shared" si="30"/>
        <v>44772</v>
      </c>
      <c r="AI123" s="82">
        <f t="shared" si="30"/>
        <v>44779</v>
      </c>
      <c r="AJ123" s="82">
        <f t="shared" si="30"/>
        <v>44786</v>
      </c>
      <c r="AK123" s="82">
        <f t="shared" si="30"/>
        <v>44793</v>
      </c>
      <c r="AL123" s="82">
        <f t="shared" si="30"/>
        <v>44800</v>
      </c>
      <c r="AM123" s="82">
        <f t="shared" si="30"/>
        <v>44807</v>
      </c>
      <c r="AN123" s="82">
        <f t="shared" si="30"/>
        <v>44814</v>
      </c>
      <c r="AO123" s="82">
        <f t="shared" si="30"/>
        <v>44821</v>
      </c>
      <c r="AP123" s="82">
        <f t="shared" si="30"/>
        <v>44828</v>
      </c>
      <c r="AQ123" s="82">
        <f t="shared" si="30"/>
        <v>44835</v>
      </c>
      <c r="AR123" s="82">
        <f t="shared" si="30"/>
        <v>44842</v>
      </c>
      <c r="AS123" s="82">
        <f t="shared" si="30"/>
        <v>44849</v>
      </c>
      <c r="AT123" s="82">
        <f t="shared" si="30"/>
        <v>44856</v>
      </c>
      <c r="AU123" s="82">
        <f t="shared" si="30"/>
        <v>44863</v>
      </c>
      <c r="AV123" s="82">
        <f t="shared" si="30"/>
        <v>44870</v>
      </c>
      <c r="AW123" s="82">
        <f t="shared" si="30"/>
        <v>44877</v>
      </c>
      <c r="AX123" s="82">
        <f t="shared" si="30"/>
        <v>44884</v>
      </c>
      <c r="AY123" s="82">
        <f t="shared" si="30"/>
        <v>44891</v>
      </c>
      <c r="AZ123" s="82">
        <f t="shared" si="30"/>
        <v>44898</v>
      </c>
      <c r="BA123" s="82">
        <f t="shared" si="30"/>
        <v>44905</v>
      </c>
      <c r="BB123" s="82">
        <f t="shared" si="30"/>
        <v>44912</v>
      </c>
      <c r="BC123" s="82">
        <f t="shared" si="30"/>
        <v>44919</v>
      </c>
      <c r="BD123" s="82">
        <f t="shared" si="30"/>
        <v>44926</v>
      </c>
    </row>
    <row r="124" spans="2:56" x14ac:dyDescent="0.25">
      <c r="C124" s="43"/>
      <c r="D124" s="79" t="s">
        <v>33</v>
      </c>
      <c r="E124" s="44">
        <f>SUM(E7,E40,E62,E85,E107)</f>
        <v>249.87427980826627</v>
      </c>
      <c r="F124" s="44">
        <f t="shared" ref="F124:BD124" si="31">SUM(F7,F40,F62,F85,F107)</f>
        <v>201.62188021282458</v>
      </c>
      <c r="G124" s="44">
        <f t="shared" si="31"/>
        <v>155.46952938763744</v>
      </c>
      <c r="H124" s="44">
        <f t="shared" si="31"/>
        <v>144.33803630258038</v>
      </c>
      <c r="I124" s="44">
        <f t="shared" si="31"/>
        <v>140.24692578653088</v>
      </c>
      <c r="J124" s="44">
        <f t="shared" si="31"/>
        <v>126.79178972963622</v>
      </c>
      <c r="K124" s="44">
        <f t="shared" si="31"/>
        <v>106.13914047926204</v>
      </c>
      <c r="L124" s="44">
        <f t="shared" si="31"/>
        <v>108.04928678209595</v>
      </c>
      <c r="M124" s="44">
        <f t="shared" si="31"/>
        <v>105.9595652187401</v>
      </c>
      <c r="N124" s="44">
        <f t="shared" si="31"/>
        <v>119.8533373436849</v>
      </c>
      <c r="O124" s="44">
        <f t="shared" si="31"/>
        <v>137.0115823231628</v>
      </c>
      <c r="P124" s="44">
        <f t="shared" si="31"/>
        <v>135.20353767463632</v>
      </c>
      <c r="Q124" s="44">
        <f t="shared" si="31"/>
        <v>109.19592874846334</v>
      </c>
      <c r="R124" s="44">
        <f t="shared" si="31"/>
        <v>108.54796033034026</v>
      </c>
      <c r="S124" s="44">
        <f t="shared" si="31"/>
        <v>110.62473215238691</v>
      </c>
      <c r="T124" s="44">
        <f t="shared" si="31"/>
        <v>117.15182614647193</v>
      </c>
      <c r="U124" s="44">
        <f t="shared" si="31"/>
        <v>119.09950234361399</v>
      </c>
      <c r="V124" s="44">
        <f t="shared" si="31"/>
        <v>132.88963537492486</v>
      </c>
      <c r="W124" s="44">
        <f t="shared" si="31"/>
        <v>129.50520628507985</v>
      </c>
      <c r="X124" s="44">
        <f t="shared" si="31"/>
        <v>125.39405672982889</v>
      </c>
      <c r="Y124" s="44">
        <f t="shared" si="31"/>
        <v>119.31693788802949</v>
      </c>
      <c r="Z124" s="44">
        <f t="shared" si="31"/>
        <v>108.48277268008147</v>
      </c>
      <c r="AA124" s="44">
        <f t="shared" si="31"/>
        <v>122.86879912650537</v>
      </c>
      <c r="AB124" s="44">
        <f t="shared" si="31"/>
        <v>116.58497062303621</v>
      </c>
      <c r="AC124" s="44">
        <f t="shared" si="31"/>
        <v>109.17896167043004</v>
      </c>
      <c r="AD124" s="44">
        <f t="shared" si="31"/>
        <v>98.283482783351161</v>
      </c>
      <c r="AE124" s="44">
        <f t="shared" si="31"/>
        <v>88.902252036035335</v>
      </c>
      <c r="AF124" s="44">
        <f t="shared" si="31"/>
        <v>98.313448150056587</v>
      </c>
      <c r="AG124" s="44">
        <f t="shared" si="31"/>
        <v>88.421181321601921</v>
      </c>
      <c r="AH124" s="44">
        <f t="shared" si="31"/>
        <v>105.06704628713175</v>
      </c>
      <c r="AI124" s="44">
        <f t="shared" si="31"/>
        <v>107.5435984981457</v>
      </c>
      <c r="AJ124" s="44">
        <f t="shared" si="31"/>
        <v>120.07002632559352</v>
      </c>
      <c r="AK124" s="44">
        <f t="shared" si="31"/>
        <v>123.52024626738829</v>
      </c>
      <c r="AL124" s="44">
        <f t="shared" si="31"/>
        <v>122.19362939985659</v>
      </c>
      <c r="AM124" s="44">
        <f t="shared" si="31"/>
        <v>119.8388776617407</v>
      </c>
      <c r="AN124" s="44">
        <f t="shared" si="31"/>
        <v>106.06564971073982</v>
      </c>
      <c r="AO124" s="44">
        <f t="shared" si="31"/>
        <v>107.87311840636296</v>
      </c>
      <c r="AP124" s="44">
        <f t="shared" si="31"/>
        <v>113.66889010142197</v>
      </c>
      <c r="AQ124" s="44">
        <f t="shared" si="31"/>
        <v>124.07234655411494</v>
      </c>
      <c r="AR124" s="44">
        <f t="shared" si="31"/>
        <v>122.30813145818615</v>
      </c>
      <c r="AS124" s="44">
        <f t="shared" si="31"/>
        <v>128.46477442636728</v>
      </c>
      <c r="AT124" s="44">
        <f t="shared" si="31"/>
        <v>131.69029967624681</v>
      </c>
      <c r="AU124" s="44">
        <f t="shared" si="31"/>
        <v>143.07045109069435</v>
      </c>
      <c r="AV124" s="44">
        <f t="shared" si="31"/>
        <v>169.42938608838841</v>
      </c>
      <c r="AW124" s="44">
        <f t="shared" si="31"/>
        <v>193.87844468306861</v>
      </c>
      <c r="AX124" s="44">
        <f t="shared" si="31"/>
        <v>194.69629198562754</v>
      </c>
      <c r="AY124" s="44">
        <f t="shared" si="31"/>
        <v>365.53476582566282</v>
      </c>
      <c r="AZ124" s="44">
        <f t="shared" si="31"/>
        <v>484.2813691989254</v>
      </c>
      <c r="BA124" s="44">
        <f t="shared" si="31"/>
        <v>443.85058800388163</v>
      </c>
      <c r="BB124" s="44">
        <f t="shared" si="31"/>
        <v>383.56304163807181</v>
      </c>
      <c r="BC124" s="44">
        <f t="shared" si="31"/>
        <v>233.16722144957401</v>
      </c>
      <c r="BD124" s="44">
        <f t="shared" si="31"/>
        <v>205.39800031216487</v>
      </c>
    </row>
    <row r="125" spans="2:56" x14ac:dyDescent="0.25">
      <c r="B125" s="73"/>
      <c r="C125" s="103" t="s">
        <v>33</v>
      </c>
      <c r="D125" s="73" t="str">
        <f t="shared" ref="D125:D131" si="32">D18&amp;" VERTICAL REQ"</f>
        <v>Melbourne VERTICAL REQ</v>
      </c>
      <c r="E125" s="76">
        <f>IFERROR(E$124*SUM(E136/SUM(E$136:E$142)),0)</f>
        <v>65.479519320625698</v>
      </c>
      <c r="F125" s="76">
        <f t="shared" ref="F125:BD126" si="33">IFERROR(F$124*SUM(F136/SUM(F$136:F$142)),0)</f>
        <v>54.655183934129113</v>
      </c>
      <c r="G125" s="76">
        <f t="shared" si="33"/>
        <v>45.60273926382601</v>
      </c>
      <c r="H125" s="76">
        <f t="shared" si="33"/>
        <v>27.199977275247658</v>
      </c>
      <c r="I125" s="76">
        <f t="shared" si="33"/>
        <v>25.298946467578642</v>
      </c>
      <c r="J125" s="76">
        <f t="shared" si="33"/>
        <v>23.010969064798967</v>
      </c>
      <c r="K125" s="76">
        <f t="shared" si="33"/>
        <v>21.056635933789082</v>
      </c>
      <c r="L125" s="76">
        <f t="shared" si="33"/>
        <v>21.996084100801571</v>
      </c>
      <c r="M125" s="76">
        <f t="shared" si="33"/>
        <v>24.905108104803578</v>
      </c>
      <c r="N125" s="76">
        <f t="shared" si="33"/>
        <v>28.677634898961696</v>
      </c>
      <c r="O125" s="76">
        <f t="shared" si="33"/>
        <v>34.515594861163088</v>
      </c>
      <c r="P125" s="76">
        <f t="shared" si="33"/>
        <v>35.183541350044024</v>
      </c>
      <c r="Q125" s="76">
        <f t="shared" si="33"/>
        <v>28.886567405360086</v>
      </c>
      <c r="R125" s="76">
        <f t="shared" si="33"/>
        <v>28.94183824872502</v>
      </c>
      <c r="S125" s="76">
        <f t="shared" si="33"/>
        <v>28.769555946232664</v>
      </c>
      <c r="T125" s="76">
        <f t="shared" si="33"/>
        <v>30.375380665452809</v>
      </c>
      <c r="U125" s="76">
        <f t="shared" si="33"/>
        <v>33.466281704632294</v>
      </c>
      <c r="V125" s="76">
        <f t="shared" si="33"/>
        <v>35.676817649156781</v>
      </c>
      <c r="W125" s="76">
        <f t="shared" si="33"/>
        <v>33.855687773273004</v>
      </c>
      <c r="X125" s="76">
        <f t="shared" si="33"/>
        <v>32.859594522951483</v>
      </c>
      <c r="Y125" s="76">
        <f t="shared" si="33"/>
        <v>30.213231396095622</v>
      </c>
      <c r="Z125" s="76">
        <f t="shared" si="33"/>
        <v>27.607756432586132</v>
      </c>
      <c r="AA125" s="76">
        <f t="shared" si="33"/>
        <v>32.908052895632864</v>
      </c>
      <c r="AB125" s="76">
        <f t="shared" si="33"/>
        <v>31.19605738318689</v>
      </c>
      <c r="AC125" s="76">
        <f t="shared" si="33"/>
        <v>29.187691923176057</v>
      </c>
      <c r="AD125" s="76">
        <f t="shared" si="33"/>
        <v>25.539782244642645</v>
      </c>
      <c r="AE125" s="76">
        <f t="shared" si="33"/>
        <v>23.08194800680231</v>
      </c>
      <c r="AF125" s="76">
        <f t="shared" si="33"/>
        <v>25.268585137686188</v>
      </c>
      <c r="AG125" s="76">
        <f t="shared" si="33"/>
        <v>22.707255211500755</v>
      </c>
      <c r="AH125" s="76">
        <f t="shared" si="33"/>
        <v>25.168323169622763</v>
      </c>
      <c r="AI125" s="76">
        <f t="shared" si="33"/>
        <v>24.432141204005642</v>
      </c>
      <c r="AJ125" s="76">
        <f t="shared" si="33"/>
        <v>24.845853079231322</v>
      </c>
      <c r="AK125" s="76">
        <f t="shared" si="33"/>
        <v>25.558270196237434</v>
      </c>
      <c r="AL125" s="76">
        <f t="shared" si="33"/>
        <v>24.677347619046053</v>
      </c>
      <c r="AM125" s="76">
        <f t="shared" si="33"/>
        <v>24.195498944935515</v>
      </c>
      <c r="AN125" s="76">
        <f t="shared" si="33"/>
        <v>21.293891873879325</v>
      </c>
      <c r="AO125" s="76">
        <f t="shared" si="33"/>
        <v>21.536143617396267</v>
      </c>
      <c r="AP125" s="76">
        <f t="shared" si="33"/>
        <v>22.568527525465289</v>
      </c>
      <c r="AQ125" s="76">
        <f t="shared" si="33"/>
        <v>19.391018310159311</v>
      </c>
      <c r="AR125" s="76">
        <f t="shared" si="33"/>
        <v>19.042024757541743</v>
      </c>
      <c r="AS125" s="76">
        <f t="shared" si="33"/>
        <v>17.123052259577097</v>
      </c>
      <c r="AT125" s="76">
        <f t="shared" si="33"/>
        <v>16.729618400203865</v>
      </c>
      <c r="AU125" s="76">
        <f t="shared" si="33"/>
        <v>14.199394359192302</v>
      </c>
      <c r="AV125" s="76">
        <f t="shared" si="33"/>
        <v>14.259597648820181</v>
      </c>
      <c r="AW125" s="76">
        <f t="shared" si="33"/>
        <v>13.23156350290256</v>
      </c>
      <c r="AX125" s="76">
        <f t="shared" si="33"/>
        <v>9.7002612999673037</v>
      </c>
      <c r="AY125" s="76">
        <f t="shared" si="33"/>
        <v>33.882713335856842</v>
      </c>
      <c r="AZ125" s="76">
        <f t="shared" si="33"/>
        <v>44.110891787776382</v>
      </c>
      <c r="BA125" s="76">
        <f t="shared" si="33"/>
        <v>38.899578948119135</v>
      </c>
      <c r="BB125" s="76">
        <f t="shared" si="33"/>
        <v>32.911085485638175</v>
      </c>
      <c r="BC125" s="76">
        <f t="shared" si="33"/>
        <v>19.622282873069597</v>
      </c>
      <c r="BD125" s="76">
        <f t="shared" si="33"/>
        <v>17.051396268160641</v>
      </c>
    </row>
    <row r="126" spans="2:56" x14ac:dyDescent="0.25">
      <c r="B126" s="73"/>
      <c r="C126" s="103"/>
      <c r="D126" s="73" t="str">
        <f t="shared" si="32"/>
        <v>Virtual VERTICAL REQ</v>
      </c>
      <c r="E126" s="76">
        <f>IFERROR(E$124*SUM(E137/SUM(E$136:E$142)),0)</f>
        <v>77.815922223137164</v>
      </c>
      <c r="F126" s="76">
        <f t="shared" si="33"/>
        <v>55.07735707206357</v>
      </c>
      <c r="G126" s="76">
        <f t="shared" si="33"/>
        <v>34.093377924430982</v>
      </c>
      <c r="H126" s="76">
        <f t="shared" si="33"/>
        <v>31.633179969004697</v>
      </c>
      <c r="I126" s="76">
        <f t="shared" si="33"/>
        <v>32.911957181627869</v>
      </c>
      <c r="J126" s="76">
        <f t="shared" si="33"/>
        <v>29.935476939285827</v>
      </c>
      <c r="K126" s="76">
        <f t="shared" si="33"/>
        <v>18.108326476031802</v>
      </c>
      <c r="L126" s="76">
        <f t="shared" si="33"/>
        <v>17.201220371761742</v>
      </c>
      <c r="M126" s="76">
        <f t="shared" si="33"/>
        <v>29.765109917773341</v>
      </c>
      <c r="N126" s="76">
        <f t="shared" si="33"/>
        <v>33.7550580991578</v>
      </c>
      <c r="O126" s="76">
        <f t="shared" si="33"/>
        <v>40.31352250797022</v>
      </c>
      <c r="P126" s="76">
        <f t="shared" si="33"/>
        <v>36.610464134222845</v>
      </c>
      <c r="Q126" s="76">
        <f t="shared" si="33"/>
        <v>30.062556455911388</v>
      </c>
      <c r="R126" s="76">
        <f t="shared" si="33"/>
        <v>29.263176201153506</v>
      </c>
      <c r="S126" s="76">
        <f t="shared" si="33"/>
        <v>30.417347850273863</v>
      </c>
      <c r="T126" s="76">
        <f t="shared" si="33"/>
        <v>33.00936355529717</v>
      </c>
      <c r="U126" s="76">
        <f t="shared" si="33"/>
        <v>32.713814626127842</v>
      </c>
      <c r="V126" s="76">
        <f t="shared" si="33"/>
        <v>33.020587430022481</v>
      </c>
      <c r="W126" s="76">
        <f t="shared" si="33"/>
        <v>32.153739045304903</v>
      </c>
      <c r="X126" s="76">
        <f t="shared" si="33"/>
        <v>30.426499059443771</v>
      </c>
      <c r="Y126" s="76">
        <f t="shared" si="33"/>
        <v>27.956446350778329</v>
      </c>
      <c r="Z126" s="76">
        <f t="shared" si="33"/>
        <v>25.527444865952084</v>
      </c>
      <c r="AA126" s="76">
        <f t="shared" si="33"/>
        <v>30.415330983584699</v>
      </c>
      <c r="AB126" s="76">
        <f t="shared" si="33"/>
        <v>28.8205956416531</v>
      </c>
      <c r="AC126" s="76">
        <f t="shared" si="33"/>
        <v>26.953467218972339</v>
      </c>
      <c r="AD126" s="76">
        <f t="shared" si="33"/>
        <v>23.574500117353466</v>
      </c>
      <c r="AE126" s="76">
        <f t="shared" si="33"/>
        <v>21.296437483838837</v>
      </c>
      <c r="AF126" s="76">
        <f t="shared" si="33"/>
        <v>23.303621517022286</v>
      </c>
      <c r="AG126" s="76">
        <f t="shared" si="33"/>
        <v>20.932154389454759</v>
      </c>
      <c r="AH126" s="76">
        <f t="shared" si="33"/>
        <v>30.173598563553892</v>
      </c>
      <c r="AI126" s="76">
        <f t="shared" si="33"/>
        <v>29.248176772266831</v>
      </c>
      <c r="AJ126" s="76">
        <f t="shared" si="33"/>
        <v>38.466772521952144</v>
      </c>
      <c r="AK126" s="76">
        <f t="shared" si="33"/>
        <v>39.480046804874469</v>
      </c>
      <c r="AL126" s="76">
        <f t="shared" si="33"/>
        <v>38.046769211560076</v>
      </c>
      <c r="AM126" s="76">
        <f t="shared" si="33"/>
        <v>37.246898912112322</v>
      </c>
      <c r="AN126" s="76">
        <f t="shared" si="33"/>
        <v>32.667890659265524</v>
      </c>
      <c r="AO126" s="76">
        <f t="shared" si="33"/>
        <v>32.924805284035813</v>
      </c>
      <c r="AP126" s="76">
        <f t="shared" si="33"/>
        <v>34.38166104015427</v>
      </c>
      <c r="AQ126" s="76">
        <f t="shared" si="33"/>
        <v>48.842073042789671</v>
      </c>
      <c r="AR126" s="76">
        <f t="shared" si="33"/>
        <v>47.738378571144942</v>
      </c>
      <c r="AS126" s="76">
        <f t="shared" si="33"/>
        <v>60.793102292934243</v>
      </c>
      <c r="AT126" s="76">
        <f t="shared" si="33"/>
        <v>54.907929928965842</v>
      </c>
      <c r="AU126" s="76">
        <f t="shared" si="33"/>
        <v>77.57969428205071</v>
      </c>
      <c r="AV126" s="76">
        <f t="shared" si="33"/>
        <v>66.022735829851598</v>
      </c>
      <c r="AW126" s="76">
        <f t="shared" si="33"/>
        <v>90.652610771300743</v>
      </c>
      <c r="AX126" s="76">
        <f t="shared" si="33"/>
        <v>77.249444228725253</v>
      </c>
      <c r="AY126" s="76">
        <f t="shared" si="33"/>
        <v>164.47368269156169</v>
      </c>
      <c r="AZ126" s="76">
        <f t="shared" si="33"/>
        <v>213.7235615126724</v>
      </c>
      <c r="BA126" s="76">
        <f t="shared" si="33"/>
        <v>188.10236011953222</v>
      </c>
      <c r="BB126" s="76">
        <f t="shared" si="33"/>
        <v>158.21445104894602</v>
      </c>
      <c r="BC126" s="76">
        <f t="shared" si="33"/>
        <v>93.497240543118849</v>
      </c>
      <c r="BD126" s="76">
        <f t="shared" si="33"/>
        <v>79.645408092482029</v>
      </c>
    </row>
    <row r="127" spans="2:56" x14ac:dyDescent="0.25">
      <c r="B127" s="73"/>
      <c r="C127" s="103"/>
      <c r="D127" s="73" t="str">
        <f t="shared" si="32"/>
        <v>Brunswick VERTICAL REQ</v>
      </c>
      <c r="E127" s="76">
        <f t="shared" ref="E127:BD131" si="34">IFERROR(E$124*SUM(E138/SUM(E$136:E$142)),0)</f>
        <v>0</v>
      </c>
      <c r="F127" s="76">
        <f t="shared" si="34"/>
        <v>0</v>
      </c>
      <c r="G127" s="76">
        <f t="shared" si="34"/>
        <v>0</v>
      </c>
      <c r="H127" s="76">
        <f t="shared" si="34"/>
        <v>0</v>
      </c>
      <c r="I127" s="76">
        <f t="shared" si="34"/>
        <v>0</v>
      </c>
      <c r="J127" s="76">
        <f t="shared" si="34"/>
        <v>0</v>
      </c>
      <c r="K127" s="76">
        <f t="shared" si="34"/>
        <v>0</v>
      </c>
      <c r="L127" s="76">
        <f t="shared" si="34"/>
        <v>0</v>
      </c>
      <c r="M127" s="76">
        <f t="shared" si="34"/>
        <v>0</v>
      </c>
      <c r="N127" s="76">
        <f t="shared" si="34"/>
        <v>0</v>
      </c>
      <c r="O127" s="76">
        <f t="shared" si="34"/>
        <v>0</v>
      </c>
      <c r="P127" s="76">
        <f t="shared" si="34"/>
        <v>0</v>
      </c>
      <c r="Q127" s="76">
        <f t="shared" si="34"/>
        <v>0</v>
      </c>
      <c r="R127" s="76">
        <f t="shared" si="34"/>
        <v>0</v>
      </c>
      <c r="S127" s="76">
        <f t="shared" si="34"/>
        <v>0</v>
      </c>
      <c r="T127" s="76">
        <f t="shared" si="34"/>
        <v>0</v>
      </c>
      <c r="U127" s="76">
        <f t="shared" si="34"/>
        <v>0</v>
      </c>
      <c r="V127" s="76">
        <f t="shared" si="34"/>
        <v>0</v>
      </c>
      <c r="W127" s="76">
        <f t="shared" si="34"/>
        <v>0</v>
      </c>
      <c r="X127" s="76">
        <f t="shared" si="34"/>
        <v>0</v>
      </c>
      <c r="Y127" s="76">
        <f t="shared" si="34"/>
        <v>0</v>
      </c>
      <c r="Z127" s="76">
        <f t="shared" si="34"/>
        <v>0</v>
      </c>
      <c r="AA127" s="76">
        <f t="shared" si="34"/>
        <v>0</v>
      </c>
      <c r="AB127" s="76">
        <f t="shared" si="34"/>
        <v>0</v>
      </c>
      <c r="AC127" s="76">
        <f t="shared" si="34"/>
        <v>0</v>
      </c>
      <c r="AD127" s="76">
        <f t="shared" si="34"/>
        <v>0</v>
      </c>
      <c r="AE127" s="76">
        <f t="shared" si="34"/>
        <v>0</v>
      </c>
      <c r="AF127" s="76">
        <f t="shared" si="34"/>
        <v>0</v>
      </c>
      <c r="AG127" s="76">
        <f t="shared" si="34"/>
        <v>0</v>
      </c>
      <c r="AH127" s="76">
        <f t="shared" si="34"/>
        <v>0</v>
      </c>
      <c r="AI127" s="76">
        <f t="shared" si="34"/>
        <v>0</v>
      </c>
      <c r="AJ127" s="76">
        <f t="shared" si="34"/>
        <v>0</v>
      </c>
      <c r="AK127" s="76">
        <f t="shared" si="34"/>
        <v>0</v>
      </c>
      <c r="AL127" s="76">
        <f t="shared" si="34"/>
        <v>0</v>
      </c>
      <c r="AM127" s="76">
        <f t="shared" si="34"/>
        <v>0</v>
      </c>
      <c r="AN127" s="76">
        <f t="shared" si="34"/>
        <v>0</v>
      </c>
      <c r="AO127" s="76">
        <f t="shared" si="34"/>
        <v>0</v>
      </c>
      <c r="AP127" s="76">
        <f t="shared" si="34"/>
        <v>0</v>
      </c>
      <c r="AQ127" s="76">
        <f t="shared" si="34"/>
        <v>0</v>
      </c>
      <c r="AR127" s="76">
        <f t="shared" si="34"/>
        <v>0</v>
      </c>
      <c r="AS127" s="76">
        <f t="shared" si="34"/>
        <v>0</v>
      </c>
      <c r="AT127" s="76">
        <f t="shared" si="34"/>
        <v>0</v>
      </c>
      <c r="AU127" s="76">
        <f t="shared" si="34"/>
        <v>0</v>
      </c>
      <c r="AV127" s="76">
        <f t="shared" si="34"/>
        <v>0</v>
      </c>
      <c r="AW127" s="76">
        <f t="shared" si="34"/>
        <v>0</v>
      </c>
      <c r="AX127" s="76">
        <f t="shared" si="34"/>
        <v>0</v>
      </c>
      <c r="AY127" s="76">
        <f t="shared" si="34"/>
        <v>0</v>
      </c>
      <c r="AZ127" s="76">
        <f t="shared" si="34"/>
        <v>0</v>
      </c>
      <c r="BA127" s="76">
        <f t="shared" si="34"/>
        <v>0</v>
      </c>
      <c r="BB127" s="76">
        <f t="shared" si="34"/>
        <v>0</v>
      </c>
      <c r="BC127" s="76">
        <f t="shared" si="34"/>
        <v>0</v>
      </c>
      <c r="BD127" s="76">
        <f t="shared" si="34"/>
        <v>0</v>
      </c>
    </row>
    <row r="128" spans="2:56" x14ac:dyDescent="0.25">
      <c r="B128" s="73"/>
      <c r="C128" s="103"/>
      <c r="D128" s="73" t="str">
        <f t="shared" si="32"/>
        <v>Melbourne North VERTICAL REQ</v>
      </c>
      <c r="E128" s="76">
        <f t="shared" si="34"/>
        <v>0</v>
      </c>
      <c r="F128" s="76">
        <f t="shared" si="34"/>
        <v>0</v>
      </c>
      <c r="G128" s="76">
        <f t="shared" si="34"/>
        <v>0</v>
      </c>
      <c r="H128" s="76">
        <f t="shared" si="34"/>
        <v>0</v>
      </c>
      <c r="I128" s="76">
        <f t="shared" si="34"/>
        <v>0</v>
      </c>
      <c r="J128" s="76">
        <f t="shared" si="34"/>
        <v>0</v>
      </c>
      <c r="K128" s="76">
        <f t="shared" si="34"/>
        <v>0</v>
      </c>
      <c r="L128" s="76">
        <f t="shared" si="34"/>
        <v>0</v>
      </c>
      <c r="M128" s="76">
        <f t="shared" si="34"/>
        <v>0</v>
      </c>
      <c r="N128" s="76">
        <f t="shared" si="34"/>
        <v>0</v>
      </c>
      <c r="O128" s="76">
        <f t="shared" si="34"/>
        <v>0</v>
      </c>
      <c r="P128" s="76">
        <f t="shared" si="34"/>
        <v>0</v>
      </c>
      <c r="Q128" s="76">
        <f t="shared" si="34"/>
        <v>0</v>
      </c>
      <c r="R128" s="76">
        <f t="shared" si="34"/>
        <v>0</v>
      </c>
      <c r="S128" s="76">
        <f t="shared" si="34"/>
        <v>0</v>
      </c>
      <c r="T128" s="76">
        <f t="shared" si="34"/>
        <v>0</v>
      </c>
      <c r="U128" s="76">
        <f t="shared" si="34"/>
        <v>0</v>
      </c>
      <c r="V128" s="76">
        <f t="shared" si="34"/>
        <v>0</v>
      </c>
      <c r="W128" s="76">
        <f t="shared" si="34"/>
        <v>0</v>
      </c>
      <c r="X128" s="76">
        <f t="shared" si="34"/>
        <v>0</v>
      </c>
      <c r="Y128" s="76">
        <f t="shared" si="34"/>
        <v>0</v>
      </c>
      <c r="Z128" s="76">
        <f t="shared" si="34"/>
        <v>0</v>
      </c>
      <c r="AA128" s="76">
        <f t="shared" si="34"/>
        <v>0</v>
      </c>
      <c r="AB128" s="76">
        <f t="shared" si="34"/>
        <v>0</v>
      </c>
      <c r="AC128" s="76">
        <f t="shared" si="34"/>
        <v>0</v>
      </c>
      <c r="AD128" s="76">
        <f t="shared" si="34"/>
        <v>0</v>
      </c>
      <c r="AE128" s="76">
        <f t="shared" si="34"/>
        <v>0</v>
      </c>
      <c r="AF128" s="76">
        <f t="shared" si="34"/>
        <v>0</v>
      </c>
      <c r="AG128" s="76">
        <f t="shared" si="34"/>
        <v>0</v>
      </c>
      <c r="AH128" s="76">
        <f t="shared" si="34"/>
        <v>0</v>
      </c>
      <c r="AI128" s="76">
        <f t="shared" si="34"/>
        <v>0</v>
      </c>
      <c r="AJ128" s="76">
        <f t="shared" si="34"/>
        <v>0</v>
      </c>
      <c r="AK128" s="76">
        <f t="shared" si="34"/>
        <v>0</v>
      </c>
      <c r="AL128" s="76">
        <f t="shared" si="34"/>
        <v>0</v>
      </c>
      <c r="AM128" s="76">
        <f t="shared" si="34"/>
        <v>0</v>
      </c>
      <c r="AN128" s="76">
        <f t="shared" si="34"/>
        <v>0</v>
      </c>
      <c r="AO128" s="76">
        <f t="shared" si="34"/>
        <v>0</v>
      </c>
      <c r="AP128" s="76">
        <f t="shared" si="34"/>
        <v>0</v>
      </c>
      <c r="AQ128" s="76">
        <f t="shared" si="34"/>
        <v>0</v>
      </c>
      <c r="AR128" s="76">
        <f t="shared" si="34"/>
        <v>0</v>
      </c>
      <c r="AS128" s="76">
        <f t="shared" si="34"/>
        <v>0</v>
      </c>
      <c r="AT128" s="76">
        <f t="shared" si="34"/>
        <v>0</v>
      </c>
      <c r="AU128" s="76">
        <f t="shared" si="34"/>
        <v>0</v>
      </c>
      <c r="AV128" s="76">
        <f t="shared" si="34"/>
        <v>0</v>
      </c>
      <c r="AW128" s="76">
        <f t="shared" si="34"/>
        <v>0</v>
      </c>
      <c r="AX128" s="76">
        <f t="shared" si="34"/>
        <v>0</v>
      </c>
      <c r="AY128" s="76">
        <f t="shared" si="34"/>
        <v>0</v>
      </c>
      <c r="AZ128" s="76">
        <f t="shared" si="34"/>
        <v>0</v>
      </c>
      <c r="BA128" s="76">
        <f t="shared" si="34"/>
        <v>0</v>
      </c>
      <c r="BB128" s="76">
        <f t="shared" si="34"/>
        <v>0</v>
      </c>
      <c r="BC128" s="76">
        <f t="shared" si="34"/>
        <v>0</v>
      </c>
      <c r="BD128" s="76">
        <f t="shared" si="34"/>
        <v>0</v>
      </c>
    </row>
    <row r="129" spans="2:56" x14ac:dyDescent="0.25">
      <c r="B129" s="73"/>
      <c r="C129" s="103"/>
      <c r="D129" s="73" t="str">
        <f t="shared" si="32"/>
        <v>Pueblo VERTICAL REQ</v>
      </c>
      <c r="E129" s="76">
        <f t="shared" si="34"/>
        <v>27.994634721814812</v>
      </c>
      <c r="F129" s="76">
        <f t="shared" si="34"/>
        <v>27.697372336086115</v>
      </c>
      <c r="G129" s="76">
        <f t="shared" si="34"/>
        <v>22.573666439946564</v>
      </c>
      <c r="H129" s="76">
        <f t="shared" si="34"/>
        <v>17.453146119113594</v>
      </c>
      <c r="I129" s="76">
        <f t="shared" si="34"/>
        <v>18.311517413876071</v>
      </c>
      <c r="J129" s="76">
        <f t="shared" si="34"/>
        <v>16.655466712031775</v>
      </c>
      <c r="K129" s="76">
        <f t="shared" si="34"/>
        <v>13.904607829810134</v>
      </c>
      <c r="L129" s="76">
        <f t="shared" si="34"/>
        <v>13.838221646285872</v>
      </c>
      <c r="M129" s="76">
        <f t="shared" si="34"/>
        <v>0</v>
      </c>
      <c r="N129" s="76">
        <f t="shared" si="34"/>
        <v>0</v>
      </c>
      <c r="O129" s="76">
        <f t="shared" si="34"/>
        <v>0</v>
      </c>
      <c r="P129" s="76">
        <f t="shared" si="34"/>
        <v>0</v>
      </c>
      <c r="Q129" s="76">
        <f t="shared" si="34"/>
        <v>0</v>
      </c>
      <c r="R129" s="76">
        <f t="shared" si="34"/>
        <v>0</v>
      </c>
      <c r="S129" s="76">
        <f t="shared" si="34"/>
        <v>0</v>
      </c>
      <c r="T129" s="76">
        <f t="shared" si="34"/>
        <v>0</v>
      </c>
      <c r="U129" s="76">
        <f t="shared" si="34"/>
        <v>0</v>
      </c>
      <c r="V129" s="76">
        <f t="shared" si="34"/>
        <v>0</v>
      </c>
      <c r="W129" s="76">
        <f t="shared" si="34"/>
        <v>0</v>
      </c>
      <c r="X129" s="76">
        <f t="shared" si="34"/>
        <v>0</v>
      </c>
      <c r="Y129" s="76">
        <f t="shared" si="34"/>
        <v>0</v>
      </c>
      <c r="Z129" s="76">
        <f t="shared" si="34"/>
        <v>0</v>
      </c>
      <c r="AA129" s="76">
        <f t="shared" si="34"/>
        <v>0</v>
      </c>
      <c r="AB129" s="76">
        <f t="shared" si="34"/>
        <v>0</v>
      </c>
      <c r="AC129" s="76">
        <f t="shared" si="34"/>
        <v>0</v>
      </c>
      <c r="AD129" s="76">
        <f t="shared" si="34"/>
        <v>0</v>
      </c>
      <c r="AE129" s="76">
        <f t="shared" si="34"/>
        <v>0</v>
      </c>
      <c r="AF129" s="76">
        <f t="shared" si="34"/>
        <v>0</v>
      </c>
      <c r="AG129" s="76">
        <f t="shared" si="34"/>
        <v>0</v>
      </c>
      <c r="AH129" s="76">
        <f t="shared" si="34"/>
        <v>0</v>
      </c>
      <c r="AI129" s="76">
        <f t="shared" si="34"/>
        <v>0</v>
      </c>
      <c r="AJ129" s="76">
        <f t="shared" si="34"/>
        <v>0</v>
      </c>
      <c r="AK129" s="76">
        <f t="shared" si="34"/>
        <v>0</v>
      </c>
      <c r="AL129" s="76">
        <f t="shared" si="34"/>
        <v>0</v>
      </c>
      <c r="AM129" s="76">
        <f t="shared" si="34"/>
        <v>0</v>
      </c>
      <c r="AN129" s="76">
        <f t="shared" si="34"/>
        <v>0</v>
      </c>
      <c r="AO129" s="76">
        <f t="shared" si="34"/>
        <v>0</v>
      </c>
      <c r="AP129" s="76">
        <f t="shared" si="34"/>
        <v>0</v>
      </c>
      <c r="AQ129" s="76">
        <f t="shared" si="34"/>
        <v>0</v>
      </c>
      <c r="AR129" s="76">
        <f t="shared" si="34"/>
        <v>0</v>
      </c>
      <c r="AS129" s="76">
        <f t="shared" si="34"/>
        <v>0</v>
      </c>
      <c r="AT129" s="76">
        <f t="shared" si="34"/>
        <v>0</v>
      </c>
      <c r="AU129" s="76">
        <f t="shared" si="34"/>
        <v>0</v>
      </c>
      <c r="AV129" s="76">
        <f t="shared" si="34"/>
        <v>0</v>
      </c>
      <c r="AW129" s="76">
        <f t="shared" si="34"/>
        <v>0</v>
      </c>
      <c r="AX129" s="76">
        <f t="shared" si="34"/>
        <v>0</v>
      </c>
      <c r="AY129" s="76">
        <f t="shared" si="34"/>
        <v>0</v>
      </c>
      <c r="AZ129" s="76">
        <f t="shared" si="34"/>
        <v>0</v>
      </c>
      <c r="BA129" s="76">
        <f t="shared" si="34"/>
        <v>0</v>
      </c>
      <c r="BB129" s="76">
        <f t="shared" si="34"/>
        <v>0</v>
      </c>
      <c r="BC129" s="76">
        <f t="shared" si="34"/>
        <v>0</v>
      </c>
      <c r="BD129" s="76">
        <f t="shared" si="34"/>
        <v>0</v>
      </c>
    </row>
    <row r="130" spans="2:56" x14ac:dyDescent="0.25">
      <c r="B130" s="73"/>
      <c r="C130" s="103"/>
      <c r="D130" s="73" t="str">
        <f t="shared" si="32"/>
        <v>Iloilo VERTICAL REQ</v>
      </c>
      <c r="E130" s="76">
        <f t="shared" si="34"/>
        <v>50.926076038837294</v>
      </c>
      <c r="F130" s="76">
        <f t="shared" si="34"/>
        <v>39.835824297404464</v>
      </c>
      <c r="G130" s="76">
        <f t="shared" si="34"/>
        <v>36.432510714631775</v>
      </c>
      <c r="H130" s="76">
        <f t="shared" si="34"/>
        <v>52.204069104054909</v>
      </c>
      <c r="I130" s="76">
        <f t="shared" si="34"/>
        <v>47.501793870390735</v>
      </c>
      <c r="J130" s="76">
        <f t="shared" si="34"/>
        <v>42.434310094348469</v>
      </c>
      <c r="K130" s="76">
        <f t="shared" si="34"/>
        <v>41.086118895198204</v>
      </c>
      <c r="L130" s="76">
        <f t="shared" si="34"/>
        <v>41.448723787377695</v>
      </c>
      <c r="M130" s="76">
        <f t="shared" si="34"/>
        <v>39.187366397068487</v>
      </c>
      <c r="N130" s="76">
        <f t="shared" si="34"/>
        <v>42.711371126113164</v>
      </c>
      <c r="O130" s="76">
        <f t="shared" si="34"/>
        <v>45.49333420095995</v>
      </c>
      <c r="P130" s="76">
        <f t="shared" si="34"/>
        <v>45.828177010122474</v>
      </c>
      <c r="Q130" s="76">
        <f t="shared" si="34"/>
        <v>36.776384853604256</v>
      </c>
      <c r="R130" s="76">
        <f t="shared" si="34"/>
        <v>36.846751878465611</v>
      </c>
      <c r="S130" s="76">
        <f t="shared" si="34"/>
        <v>37.409329713367555</v>
      </c>
      <c r="T130" s="76">
        <f t="shared" si="34"/>
        <v>39.630568250869217</v>
      </c>
      <c r="U130" s="76">
        <f t="shared" si="34"/>
        <v>38.486840736620991</v>
      </c>
      <c r="V130" s="76">
        <f t="shared" si="34"/>
        <v>48.957968744828285</v>
      </c>
      <c r="W130" s="76">
        <f t="shared" si="34"/>
        <v>48.178240914789107</v>
      </c>
      <c r="X130" s="76">
        <f t="shared" si="34"/>
        <v>47.125217398465104</v>
      </c>
      <c r="Y130" s="76">
        <f t="shared" si="34"/>
        <v>47.497182941616764</v>
      </c>
      <c r="Z130" s="76">
        <f t="shared" si="34"/>
        <v>42.987495716456699</v>
      </c>
      <c r="AA130" s="76">
        <f t="shared" si="34"/>
        <v>44.766393477025268</v>
      </c>
      <c r="AB130" s="76">
        <f t="shared" si="34"/>
        <v>42.514830304653103</v>
      </c>
      <c r="AC130" s="76">
        <f t="shared" si="34"/>
        <v>39.848787630920775</v>
      </c>
      <c r="AD130" s="76">
        <f t="shared" si="34"/>
        <v>37.593554416545921</v>
      </c>
      <c r="AE130" s="76">
        <f t="shared" si="34"/>
        <v>34.0307838937252</v>
      </c>
      <c r="AF130" s="76">
        <f t="shared" si="34"/>
        <v>38.219948764809793</v>
      </c>
      <c r="AG130" s="76">
        <f t="shared" si="34"/>
        <v>34.397846359765403</v>
      </c>
      <c r="AH130" s="76">
        <f t="shared" si="34"/>
        <v>38.182230019307035</v>
      </c>
      <c r="AI130" s="76">
        <f t="shared" si="34"/>
        <v>42.625712770489585</v>
      </c>
      <c r="AJ130" s="76">
        <f t="shared" si="34"/>
        <v>45.296947481990195</v>
      </c>
      <c r="AK130" s="76">
        <f t="shared" si="34"/>
        <v>46.65959899118851</v>
      </c>
      <c r="AL130" s="76">
        <f t="shared" si="34"/>
        <v>48.022808734735143</v>
      </c>
      <c r="AM130" s="76">
        <f t="shared" si="34"/>
        <v>47.142311680711451</v>
      </c>
      <c r="AN130" s="76">
        <f t="shared" si="34"/>
        <v>42.049828254151564</v>
      </c>
      <c r="AO130" s="76">
        <f t="shared" si="34"/>
        <v>43.092687262097172</v>
      </c>
      <c r="AP130" s="76">
        <f t="shared" si="34"/>
        <v>45.746487589871911</v>
      </c>
      <c r="AQ130" s="76">
        <f t="shared" si="34"/>
        <v>46.276384769029384</v>
      </c>
      <c r="AR130" s="76">
        <f t="shared" si="34"/>
        <v>46.004330935433501</v>
      </c>
      <c r="AS130" s="76">
        <f t="shared" si="34"/>
        <v>41.85491253926449</v>
      </c>
      <c r="AT130" s="76">
        <f t="shared" si="34"/>
        <v>51.43224745547635</v>
      </c>
      <c r="AU130" s="76">
        <f t="shared" si="34"/>
        <v>43.906146059720832</v>
      </c>
      <c r="AV130" s="76">
        <f t="shared" si="34"/>
        <v>60.469275515373511</v>
      </c>
      <c r="AW130" s="76">
        <f t="shared" si="34"/>
        <v>61.171051317033132</v>
      </c>
      <c r="AX130" s="76">
        <f t="shared" si="34"/>
        <v>70.251125995532107</v>
      </c>
      <c r="AY130" s="76">
        <f t="shared" si="34"/>
        <v>109.09646316388442</v>
      </c>
      <c r="AZ130" s="76">
        <f t="shared" si="34"/>
        <v>146.64841121163994</v>
      </c>
      <c r="BA130" s="76">
        <f t="shared" si="34"/>
        <v>143.44046595880118</v>
      </c>
      <c r="BB130" s="76">
        <f t="shared" si="34"/>
        <v>127.76375584090746</v>
      </c>
      <c r="BC130" s="76">
        <f t="shared" si="34"/>
        <v>79.968069491809075</v>
      </c>
      <c r="BD130" s="76">
        <f t="shared" si="34"/>
        <v>72.568983197995266</v>
      </c>
    </row>
    <row r="131" spans="2:56" x14ac:dyDescent="0.25">
      <c r="B131" s="73"/>
      <c r="C131" s="103"/>
      <c r="D131" s="73" t="str">
        <f t="shared" si="32"/>
        <v>Belize VERTICAL REQ</v>
      </c>
      <c r="E131" s="76">
        <f t="shared" si="34"/>
        <v>27.658127503851286</v>
      </c>
      <c r="F131" s="76">
        <f t="shared" si="34"/>
        <v>24.356142573141316</v>
      </c>
      <c r="G131" s="76">
        <f t="shared" si="34"/>
        <v>16.767235044802121</v>
      </c>
      <c r="H131" s="76">
        <f t="shared" si="34"/>
        <v>15.847663835159524</v>
      </c>
      <c r="I131" s="76">
        <f t="shared" si="34"/>
        <v>16.222710853057553</v>
      </c>
      <c r="J131" s="76">
        <f t="shared" si="34"/>
        <v>14.755566919171173</v>
      </c>
      <c r="K131" s="76">
        <f t="shared" si="34"/>
        <v>11.98345134443281</v>
      </c>
      <c r="L131" s="76">
        <f t="shared" si="34"/>
        <v>13.565036875869064</v>
      </c>
      <c r="M131" s="76">
        <f t="shared" si="34"/>
        <v>12.101980799094681</v>
      </c>
      <c r="N131" s="76">
        <f t="shared" si="34"/>
        <v>14.709273219452237</v>
      </c>
      <c r="O131" s="76">
        <f t="shared" si="34"/>
        <v>16.689130753069545</v>
      </c>
      <c r="P131" s="76">
        <f t="shared" si="34"/>
        <v>17.581355180246987</v>
      </c>
      <c r="Q131" s="76">
        <f t="shared" si="34"/>
        <v>13.470420033587606</v>
      </c>
      <c r="R131" s="76">
        <f t="shared" si="34"/>
        <v>13.496194001996123</v>
      </c>
      <c r="S131" s="76">
        <f t="shared" si="34"/>
        <v>14.028498642512833</v>
      </c>
      <c r="T131" s="76">
        <f t="shared" si="34"/>
        <v>14.13651367485274</v>
      </c>
      <c r="U131" s="76">
        <f t="shared" si="34"/>
        <v>14.432565276232872</v>
      </c>
      <c r="V131" s="76">
        <f t="shared" si="34"/>
        <v>15.234261550917312</v>
      </c>
      <c r="W131" s="76">
        <f t="shared" si="34"/>
        <v>15.317538551712842</v>
      </c>
      <c r="X131" s="76">
        <f t="shared" si="34"/>
        <v>14.982745748968524</v>
      </c>
      <c r="Y131" s="76">
        <f t="shared" si="34"/>
        <v>13.650077199538778</v>
      </c>
      <c r="Z131" s="76">
        <f t="shared" si="34"/>
        <v>12.360075665086557</v>
      </c>
      <c r="AA131" s="76">
        <f t="shared" si="34"/>
        <v>14.779021770262542</v>
      </c>
      <c r="AB131" s="76">
        <f t="shared" si="34"/>
        <v>14.053487293543125</v>
      </c>
      <c r="AC131" s="76">
        <f t="shared" si="34"/>
        <v>13.189014897360881</v>
      </c>
      <c r="AD131" s="76">
        <f t="shared" si="34"/>
        <v>11.575646004809125</v>
      </c>
      <c r="AE131" s="76">
        <f t="shared" si="34"/>
        <v>10.493082651668985</v>
      </c>
      <c r="AF131" s="76">
        <f t="shared" si="34"/>
        <v>11.521292730538317</v>
      </c>
      <c r="AG131" s="76">
        <f t="shared" si="34"/>
        <v>10.38392536088099</v>
      </c>
      <c r="AH131" s="76">
        <f t="shared" si="34"/>
        <v>11.542894534648063</v>
      </c>
      <c r="AI131" s="76">
        <f t="shared" si="34"/>
        <v>11.237567751383647</v>
      </c>
      <c r="AJ131" s="76">
        <f t="shared" si="34"/>
        <v>11.460453242419845</v>
      </c>
      <c r="AK131" s="76">
        <f t="shared" si="34"/>
        <v>11.822330275087879</v>
      </c>
      <c r="AL131" s="76">
        <f t="shared" si="34"/>
        <v>11.446703834515306</v>
      </c>
      <c r="AM131" s="76">
        <f t="shared" si="34"/>
        <v>11.254168123981412</v>
      </c>
      <c r="AN131" s="76">
        <f t="shared" si="34"/>
        <v>10.054038923443406</v>
      </c>
      <c r="AO131" s="76">
        <f t="shared" si="34"/>
        <v>10.319482242833729</v>
      </c>
      <c r="AP131" s="76">
        <f t="shared" si="34"/>
        <v>10.972213945930497</v>
      </c>
      <c r="AQ131" s="76">
        <f t="shared" si="34"/>
        <v>9.5628704321365792</v>
      </c>
      <c r="AR131" s="76">
        <f t="shared" si="34"/>
        <v>9.5233971940659643</v>
      </c>
      <c r="AS131" s="76">
        <f t="shared" si="34"/>
        <v>8.6937073345914335</v>
      </c>
      <c r="AT131" s="76">
        <f t="shared" si="34"/>
        <v>8.6205038916007481</v>
      </c>
      <c r="AU131" s="76">
        <f t="shared" si="34"/>
        <v>7.3852163897304992</v>
      </c>
      <c r="AV131" s="76">
        <f t="shared" si="34"/>
        <v>28.677777094343128</v>
      </c>
      <c r="AW131" s="76">
        <f t="shared" si="34"/>
        <v>28.82321909183219</v>
      </c>
      <c r="AX131" s="76">
        <f t="shared" si="34"/>
        <v>37.495460461402878</v>
      </c>
      <c r="AY131" s="76">
        <f t="shared" si="34"/>
        <v>58.081906634359868</v>
      </c>
      <c r="AZ131" s="76">
        <f t="shared" ref="AZ131:BD131" si="35">IFERROR(AZ$124*SUM(AZ142/SUM(AZ$136:AZ$142)),0)</f>
        <v>79.798504686836637</v>
      </c>
      <c r="BA131" s="76">
        <f t="shared" si="35"/>
        <v>73.408182977429107</v>
      </c>
      <c r="BB131" s="76">
        <f t="shared" si="35"/>
        <v>64.673749262580131</v>
      </c>
      <c r="BC131" s="76">
        <f t="shared" si="35"/>
        <v>40.079628541576504</v>
      </c>
      <c r="BD131" s="76">
        <f t="shared" si="35"/>
        <v>36.1322127535269</v>
      </c>
    </row>
    <row r="136" spans="2:56" ht="15" customHeight="1" x14ac:dyDescent="0.25">
      <c r="C136" s="103" t="s">
        <v>53</v>
      </c>
      <c r="D136" s="74" t="s">
        <v>34</v>
      </c>
      <c r="E136" s="44">
        <f>SUM(E18,E42,E64,E87,E109)</f>
        <v>74.574999999999989</v>
      </c>
      <c r="F136" s="44">
        <f t="shared" ref="F136:BD141" si="36">SUM(F18,F42,F64,F87,F109)</f>
        <v>63.112499999999997</v>
      </c>
      <c r="G136" s="44">
        <f t="shared" si="36"/>
        <v>55.074999999999996</v>
      </c>
      <c r="H136" s="44">
        <f t="shared" si="36"/>
        <v>32.825000000000003</v>
      </c>
      <c r="I136" s="44">
        <f t="shared" si="36"/>
        <v>29.824999999999999</v>
      </c>
      <c r="J136" s="44">
        <f t="shared" si="36"/>
        <v>29.824999999999999</v>
      </c>
      <c r="K136" s="44">
        <f t="shared" si="36"/>
        <v>27.675000000000001</v>
      </c>
      <c r="L136" s="44">
        <f t="shared" si="36"/>
        <v>29.1875</v>
      </c>
      <c r="M136" s="44">
        <f t="shared" si="36"/>
        <v>32.412500000000001</v>
      </c>
      <c r="N136" s="44">
        <f t="shared" si="36"/>
        <v>32.9</v>
      </c>
      <c r="O136" s="44">
        <f t="shared" si="36"/>
        <v>34.9</v>
      </c>
      <c r="P136" s="44">
        <f t="shared" si="36"/>
        <v>33.78</v>
      </c>
      <c r="Q136" s="44">
        <f t="shared" si="36"/>
        <v>33.774999999999999</v>
      </c>
      <c r="R136" s="44">
        <f t="shared" si="36"/>
        <v>33.774999999999999</v>
      </c>
      <c r="S136" s="44">
        <f t="shared" si="36"/>
        <v>32.299999999999997</v>
      </c>
      <c r="T136" s="44">
        <f t="shared" si="36"/>
        <v>31.425000000000001</v>
      </c>
      <c r="U136" s="44">
        <f t="shared" si="36"/>
        <v>33.912500000000001</v>
      </c>
      <c r="V136" s="44">
        <f t="shared" si="36"/>
        <v>34.25</v>
      </c>
      <c r="W136" s="44">
        <f t="shared" si="36"/>
        <v>32.325000000000003</v>
      </c>
      <c r="X136" s="44">
        <f t="shared" si="36"/>
        <v>32.075000000000003</v>
      </c>
      <c r="Y136" s="44">
        <f t="shared" si="36"/>
        <v>31.33775</v>
      </c>
      <c r="Z136" s="44">
        <f t="shared" si="36"/>
        <v>30.621492499999999</v>
      </c>
      <c r="AA136" s="44">
        <f t="shared" si="36"/>
        <v>30.142716024999999</v>
      </c>
      <c r="AB136" s="44">
        <f t="shared" si="36"/>
        <v>29.672846812625</v>
      </c>
      <c r="AC136" s="44">
        <f t="shared" si="36"/>
        <v>29.211710058956875</v>
      </c>
      <c r="AD136" s="44">
        <f t="shared" si="36"/>
        <v>28.759134439449191</v>
      </c>
      <c r="AE136" s="44">
        <f t="shared" si="36"/>
        <v>28.314952039423304</v>
      </c>
      <c r="AF136" s="44">
        <f t="shared" si="36"/>
        <v>27.878998285954118</v>
      </c>
      <c r="AG136" s="44">
        <f t="shared" si="36"/>
        <v>27.451111881117718</v>
      </c>
      <c r="AH136" s="44">
        <f t="shared" si="36"/>
        <v>27.031134736573634</v>
      </c>
      <c r="AI136" s="44">
        <f t="shared" si="36"/>
        <v>26.61891190945504</v>
      </c>
      <c r="AJ136" s="44">
        <f t="shared" si="36"/>
        <v>26.214291539540753</v>
      </c>
      <c r="AK136" s="44">
        <f t="shared" si="36"/>
        <v>25.817124787683383</v>
      </c>
      <c r="AL136" s="44">
        <f t="shared" si="36"/>
        <v>25.427265775468488</v>
      </c>
      <c r="AM136" s="44">
        <f t="shared" si="36"/>
        <v>25.044571526080198</v>
      </c>
      <c r="AN136" s="44">
        <f t="shared" si="36"/>
        <v>24.368365791828193</v>
      </c>
      <c r="AO136" s="44">
        <f t="shared" si="36"/>
        <v>23.716478435559068</v>
      </c>
      <c r="AP136" s="44">
        <f t="shared" si="36"/>
        <v>23.087992246109074</v>
      </c>
      <c r="AQ136" s="44">
        <f t="shared" si="36"/>
        <v>22.482024831902667</v>
      </c>
      <c r="AR136" s="44">
        <f t="shared" si="36"/>
        <v>21.897727297980378</v>
      </c>
      <c r="AS136" s="44">
        <f t="shared" si="36"/>
        <v>21.306770507347668</v>
      </c>
      <c r="AT136" s="44">
        <f t="shared" si="36"/>
        <v>20.738027226833832</v>
      </c>
      <c r="AU136" s="44">
        <f t="shared" si="36"/>
        <v>20.295616039841651</v>
      </c>
      <c r="AV136" s="44">
        <f t="shared" si="36"/>
        <v>19.868965750818752</v>
      </c>
      <c r="AW136" s="44">
        <f t="shared" si="36"/>
        <v>18.922315052215495</v>
      </c>
      <c r="AX136" s="44">
        <f t="shared" si="36"/>
        <v>18.065128194090171</v>
      </c>
      <c r="AY136" s="44">
        <f t="shared" si="36"/>
        <v>39.788484798541894</v>
      </c>
      <c r="AZ136" s="44">
        <f t="shared" si="36"/>
        <v>36.834356395429147</v>
      </c>
      <c r="BA136" s="44">
        <f t="shared" si="36"/>
        <v>33.802173668289669</v>
      </c>
      <c r="BB136" s="44">
        <f t="shared" si="36"/>
        <v>31.088237093990173</v>
      </c>
      <c r="BC136" s="44">
        <f t="shared" si="36"/>
        <v>28.657769004925434</v>
      </c>
      <c r="BD136" s="44">
        <f t="shared" si="36"/>
        <v>26.479813835788708</v>
      </c>
    </row>
    <row r="137" spans="2:56" ht="15" customHeight="1" x14ac:dyDescent="0.25">
      <c r="C137" s="103"/>
      <c r="D137" s="74" t="s">
        <v>35</v>
      </c>
      <c r="E137" s="44">
        <f t="shared" ref="E137:T143" si="37">SUM(E19,E43,E65,E88,E110)</f>
        <v>88.625</v>
      </c>
      <c r="F137" s="44">
        <f t="shared" si="37"/>
        <v>63.6</v>
      </c>
      <c r="G137" s="44">
        <f t="shared" si="37"/>
        <v>41.174999999999997</v>
      </c>
      <c r="H137" s="44">
        <f t="shared" si="37"/>
        <v>38.174999999999997</v>
      </c>
      <c r="I137" s="44">
        <f t="shared" si="37"/>
        <v>38.799999999999997</v>
      </c>
      <c r="J137" s="44">
        <f t="shared" si="37"/>
        <v>38.799999999999997</v>
      </c>
      <c r="K137" s="44">
        <f t="shared" si="37"/>
        <v>23.8</v>
      </c>
      <c r="L137" s="44">
        <f t="shared" si="37"/>
        <v>22.824999999999999</v>
      </c>
      <c r="M137" s="44">
        <f t="shared" si="37"/>
        <v>38.737499999999997</v>
      </c>
      <c r="N137" s="44">
        <f t="shared" si="37"/>
        <v>38.725000000000001</v>
      </c>
      <c r="O137" s="44">
        <f t="shared" si="37"/>
        <v>40.762500000000003</v>
      </c>
      <c r="P137" s="44">
        <f t="shared" si="37"/>
        <v>35.150000000000006</v>
      </c>
      <c r="Q137" s="44">
        <f t="shared" si="37"/>
        <v>35.150000000000006</v>
      </c>
      <c r="R137" s="44">
        <f t="shared" si="37"/>
        <v>34.150000000000006</v>
      </c>
      <c r="S137" s="44">
        <f t="shared" si="37"/>
        <v>34.150000000000006</v>
      </c>
      <c r="T137" s="44">
        <f t="shared" si="37"/>
        <v>34.150000000000006</v>
      </c>
      <c r="U137" s="44">
        <f t="shared" si="36"/>
        <v>33.150000000000006</v>
      </c>
      <c r="V137" s="44">
        <f t="shared" si="36"/>
        <v>31.7</v>
      </c>
      <c r="W137" s="44">
        <f t="shared" si="36"/>
        <v>30.7</v>
      </c>
      <c r="X137" s="44">
        <f t="shared" si="36"/>
        <v>29.7</v>
      </c>
      <c r="Y137" s="44">
        <f t="shared" si="36"/>
        <v>28.996968750000001</v>
      </c>
      <c r="Z137" s="44">
        <f t="shared" si="36"/>
        <v>28.31408859375</v>
      </c>
      <c r="AA137" s="44">
        <f t="shared" si="36"/>
        <v>27.859463078906249</v>
      </c>
      <c r="AB137" s="44">
        <f t="shared" si="36"/>
        <v>27.413371793074216</v>
      </c>
      <c r="AC137" s="44">
        <f t="shared" si="36"/>
        <v>26.975646843080096</v>
      </c>
      <c r="AD137" s="44">
        <f t="shared" si="36"/>
        <v>26.546123679656517</v>
      </c>
      <c r="AE137" s="44">
        <f t="shared" si="36"/>
        <v>26.124641030634223</v>
      </c>
      <c r="AF137" s="44">
        <f t="shared" si="36"/>
        <v>25.711040835469525</v>
      </c>
      <c r="AG137" s="44">
        <f t="shared" si="36"/>
        <v>25.305168181080877</v>
      </c>
      <c r="AH137" s="44">
        <f t="shared" si="36"/>
        <v>32.406871238968399</v>
      </c>
      <c r="AI137" s="44">
        <f t="shared" si="36"/>
        <v>31.866001203590621</v>
      </c>
      <c r="AJ137" s="44">
        <f t="shared" si="36"/>
        <v>40.585412231973393</v>
      </c>
      <c r="AK137" s="44">
        <f t="shared" si="36"/>
        <v>39.879901384526235</v>
      </c>
      <c r="AL137" s="44">
        <f t="shared" si="36"/>
        <v>39.202969767042056</v>
      </c>
      <c r="AM137" s="44">
        <f t="shared" si="36"/>
        <v>38.553973449856535</v>
      </c>
      <c r="AN137" s="44">
        <f t="shared" si="36"/>
        <v>37.384575536843982</v>
      </c>
      <c r="AO137" s="44">
        <f t="shared" si="36"/>
        <v>36.258136479135494</v>
      </c>
      <c r="AP137" s="44">
        <f t="shared" si="36"/>
        <v>35.173031231556465</v>
      </c>
      <c r="AQ137" s="44">
        <f t="shared" si="36"/>
        <v>56.627696463692303</v>
      </c>
      <c r="AR137" s="44">
        <f t="shared" si="36"/>
        <v>54.897628214912302</v>
      </c>
      <c r="AS137" s="44">
        <f t="shared" si="36"/>
        <v>75.646833248481386</v>
      </c>
      <c r="AT137" s="44">
        <f t="shared" si="36"/>
        <v>68.063844529896869</v>
      </c>
      <c r="AU137" s="44">
        <f t="shared" si="36"/>
        <v>110.88696093699895</v>
      </c>
      <c r="AV137" s="44">
        <f t="shared" si="36"/>
        <v>91.994424336875468</v>
      </c>
      <c r="AW137" s="44">
        <f t="shared" si="36"/>
        <v>129.64131267964854</v>
      </c>
      <c r="AX137" s="44">
        <f t="shared" si="36"/>
        <v>143.86428053426198</v>
      </c>
      <c r="AY137" s="44">
        <f t="shared" si="36"/>
        <v>193.14151610780118</v>
      </c>
      <c r="AZ137" s="44">
        <f t="shared" si="36"/>
        <v>178.46770980585165</v>
      </c>
      <c r="BA137" s="44">
        <f t="shared" si="36"/>
        <v>163.4534053094944</v>
      </c>
      <c r="BB137" s="44">
        <f t="shared" si="36"/>
        <v>149.45141715400214</v>
      </c>
      <c r="BC137" s="44">
        <f t="shared" si="36"/>
        <v>136.54997939918576</v>
      </c>
      <c r="BD137" s="44">
        <f t="shared" si="36"/>
        <v>123.68462652541731</v>
      </c>
    </row>
    <row r="138" spans="2:56" x14ac:dyDescent="0.25">
      <c r="C138" s="103"/>
      <c r="D138" s="74" t="s">
        <v>36</v>
      </c>
      <c r="E138" s="44">
        <f t="shared" si="37"/>
        <v>0</v>
      </c>
      <c r="F138" s="44">
        <f t="shared" si="36"/>
        <v>0</v>
      </c>
      <c r="G138" s="44">
        <f t="shared" si="36"/>
        <v>0</v>
      </c>
      <c r="H138" s="44">
        <f t="shared" si="36"/>
        <v>0</v>
      </c>
      <c r="I138" s="44">
        <f t="shared" si="36"/>
        <v>0</v>
      </c>
      <c r="J138" s="44">
        <f t="shared" si="36"/>
        <v>0</v>
      </c>
      <c r="K138" s="44">
        <f t="shared" si="36"/>
        <v>0</v>
      </c>
      <c r="L138" s="44">
        <f t="shared" si="36"/>
        <v>0</v>
      </c>
      <c r="M138" s="44">
        <f t="shared" si="36"/>
        <v>0</v>
      </c>
      <c r="N138" s="44">
        <f t="shared" si="36"/>
        <v>0</v>
      </c>
      <c r="O138" s="44">
        <f t="shared" si="36"/>
        <v>0</v>
      </c>
      <c r="P138" s="44">
        <f t="shared" si="36"/>
        <v>0</v>
      </c>
      <c r="Q138" s="44">
        <f t="shared" si="36"/>
        <v>0</v>
      </c>
      <c r="R138" s="44">
        <f t="shared" si="36"/>
        <v>0</v>
      </c>
      <c r="S138" s="44">
        <f t="shared" si="36"/>
        <v>0</v>
      </c>
      <c r="T138" s="44">
        <f t="shared" si="36"/>
        <v>0</v>
      </c>
      <c r="U138" s="44">
        <f t="shared" si="36"/>
        <v>0</v>
      </c>
      <c r="V138" s="44">
        <f t="shared" si="36"/>
        <v>0</v>
      </c>
      <c r="W138" s="44">
        <f t="shared" si="36"/>
        <v>0</v>
      </c>
      <c r="X138" s="44">
        <f t="shared" si="36"/>
        <v>0</v>
      </c>
      <c r="Y138" s="44">
        <f t="shared" si="36"/>
        <v>0</v>
      </c>
      <c r="Z138" s="44">
        <f t="shared" si="36"/>
        <v>0</v>
      </c>
      <c r="AA138" s="44">
        <f t="shared" si="36"/>
        <v>0</v>
      </c>
      <c r="AB138" s="44">
        <f t="shared" si="36"/>
        <v>0</v>
      </c>
      <c r="AC138" s="44">
        <f t="shared" si="36"/>
        <v>0</v>
      </c>
      <c r="AD138" s="44">
        <f t="shared" si="36"/>
        <v>0</v>
      </c>
      <c r="AE138" s="44">
        <f t="shared" si="36"/>
        <v>0</v>
      </c>
      <c r="AF138" s="44">
        <f t="shared" si="36"/>
        <v>0</v>
      </c>
      <c r="AG138" s="44">
        <f t="shared" si="36"/>
        <v>0</v>
      </c>
      <c r="AH138" s="44">
        <f t="shared" si="36"/>
        <v>0</v>
      </c>
      <c r="AI138" s="44">
        <f t="shared" si="36"/>
        <v>0</v>
      </c>
      <c r="AJ138" s="44">
        <f t="shared" si="36"/>
        <v>0</v>
      </c>
      <c r="AK138" s="44">
        <f t="shared" si="36"/>
        <v>0</v>
      </c>
      <c r="AL138" s="44">
        <f t="shared" si="36"/>
        <v>0</v>
      </c>
      <c r="AM138" s="44">
        <f t="shared" si="36"/>
        <v>0</v>
      </c>
      <c r="AN138" s="44">
        <f t="shared" si="36"/>
        <v>0</v>
      </c>
      <c r="AO138" s="44">
        <f t="shared" si="36"/>
        <v>0</v>
      </c>
      <c r="AP138" s="44">
        <f t="shared" si="36"/>
        <v>0</v>
      </c>
      <c r="AQ138" s="44">
        <f t="shared" si="36"/>
        <v>0</v>
      </c>
      <c r="AR138" s="44">
        <f t="shared" si="36"/>
        <v>0</v>
      </c>
      <c r="AS138" s="44">
        <f t="shared" si="36"/>
        <v>0</v>
      </c>
      <c r="AT138" s="44">
        <f t="shared" si="36"/>
        <v>0</v>
      </c>
      <c r="AU138" s="44">
        <f t="shared" si="36"/>
        <v>0</v>
      </c>
      <c r="AV138" s="44">
        <f t="shared" si="36"/>
        <v>0</v>
      </c>
      <c r="AW138" s="44">
        <f t="shared" si="36"/>
        <v>0</v>
      </c>
      <c r="AX138" s="44">
        <f t="shared" si="36"/>
        <v>0</v>
      </c>
      <c r="AY138" s="44">
        <f t="shared" si="36"/>
        <v>0</v>
      </c>
      <c r="AZ138" s="44">
        <f t="shared" si="36"/>
        <v>0</v>
      </c>
      <c r="BA138" s="44">
        <f t="shared" si="36"/>
        <v>0</v>
      </c>
      <c r="BB138" s="44">
        <f t="shared" si="36"/>
        <v>0</v>
      </c>
      <c r="BC138" s="44">
        <f t="shared" si="36"/>
        <v>0</v>
      </c>
      <c r="BD138" s="44">
        <f t="shared" si="36"/>
        <v>0</v>
      </c>
    </row>
    <row r="139" spans="2:56" x14ac:dyDescent="0.25">
      <c r="C139" s="103"/>
      <c r="D139" s="74" t="s">
        <v>37</v>
      </c>
      <c r="E139" s="44">
        <f t="shared" si="37"/>
        <v>0</v>
      </c>
      <c r="F139" s="44">
        <f t="shared" si="36"/>
        <v>0</v>
      </c>
      <c r="G139" s="44">
        <f t="shared" si="36"/>
        <v>0</v>
      </c>
      <c r="H139" s="44">
        <f t="shared" si="36"/>
        <v>0</v>
      </c>
      <c r="I139" s="44">
        <f t="shared" si="36"/>
        <v>0</v>
      </c>
      <c r="J139" s="44">
        <f t="shared" si="36"/>
        <v>0</v>
      </c>
      <c r="K139" s="44">
        <f t="shared" si="36"/>
        <v>0</v>
      </c>
      <c r="L139" s="44">
        <f t="shared" si="36"/>
        <v>0</v>
      </c>
      <c r="M139" s="44">
        <f t="shared" si="36"/>
        <v>0</v>
      </c>
      <c r="N139" s="44">
        <f t="shared" si="36"/>
        <v>0</v>
      </c>
      <c r="O139" s="44">
        <f t="shared" si="36"/>
        <v>0</v>
      </c>
      <c r="P139" s="44">
        <f t="shared" si="36"/>
        <v>0</v>
      </c>
      <c r="Q139" s="44">
        <f t="shared" si="36"/>
        <v>0</v>
      </c>
      <c r="R139" s="44">
        <f t="shared" si="36"/>
        <v>0</v>
      </c>
      <c r="S139" s="44">
        <f t="shared" si="36"/>
        <v>0</v>
      </c>
      <c r="T139" s="44">
        <f t="shared" si="36"/>
        <v>0</v>
      </c>
      <c r="U139" s="44">
        <f t="shared" si="36"/>
        <v>0</v>
      </c>
      <c r="V139" s="44">
        <f t="shared" si="36"/>
        <v>0</v>
      </c>
      <c r="W139" s="44">
        <f t="shared" si="36"/>
        <v>0</v>
      </c>
      <c r="X139" s="44">
        <f t="shared" si="36"/>
        <v>0</v>
      </c>
      <c r="Y139" s="44">
        <f t="shared" si="36"/>
        <v>0</v>
      </c>
      <c r="Z139" s="44">
        <f t="shared" si="36"/>
        <v>0</v>
      </c>
      <c r="AA139" s="44">
        <f t="shared" si="36"/>
        <v>0</v>
      </c>
      <c r="AB139" s="44">
        <f t="shared" si="36"/>
        <v>0</v>
      </c>
      <c r="AC139" s="44">
        <f t="shared" si="36"/>
        <v>0</v>
      </c>
      <c r="AD139" s="44">
        <f t="shared" si="36"/>
        <v>0</v>
      </c>
      <c r="AE139" s="44">
        <f t="shared" si="36"/>
        <v>0</v>
      </c>
      <c r="AF139" s="44">
        <f t="shared" si="36"/>
        <v>0</v>
      </c>
      <c r="AG139" s="44">
        <f t="shared" si="36"/>
        <v>0</v>
      </c>
      <c r="AH139" s="44">
        <f t="shared" si="36"/>
        <v>0</v>
      </c>
      <c r="AI139" s="44">
        <f t="shared" si="36"/>
        <v>0</v>
      </c>
      <c r="AJ139" s="44">
        <f t="shared" si="36"/>
        <v>0</v>
      </c>
      <c r="AK139" s="44">
        <f t="shared" si="36"/>
        <v>0</v>
      </c>
      <c r="AL139" s="44">
        <f t="shared" si="36"/>
        <v>0</v>
      </c>
      <c r="AM139" s="44">
        <f t="shared" si="36"/>
        <v>0</v>
      </c>
      <c r="AN139" s="44">
        <f t="shared" si="36"/>
        <v>0</v>
      </c>
      <c r="AO139" s="44">
        <f t="shared" si="36"/>
        <v>0</v>
      </c>
      <c r="AP139" s="44">
        <f t="shared" si="36"/>
        <v>0</v>
      </c>
      <c r="AQ139" s="44">
        <f t="shared" si="36"/>
        <v>0</v>
      </c>
      <c r="AR139" s="44">
        <f t="shared" si="36"/>
        <v>0</v>
      </c>
      <c r="AS139" s="44">
        <f t="shared" si="36"/>
        <v>0</v>
      </c>
      <c r="AT139" s="44">
        <f t="shared" si="36"/>
        <v>0</v>
      </c>
      <c r="AU139" s="44">
        <f t="shared" si="36"/>
        <v>0</v>
      </c>
      <c r="AV139" s="44">
        <f t="shared" si="36"/>
        <v>0</v>
      </c>
      <c r="AW139" s="44">
        <f t="shared" si="36"/>
        <v>0</v>
      </c>
      <c r="AX139" s="44">
        <f t="shared" si="36"/>
        <v>0</v>
      </c>
      <c r="AY139" s="44">
        <f t="shared" si="36"/>
        <v>0</v>
      </c>
      <c r="AZ139" s="44">
        <f t="shared" si="36"/>
        <v>0</v>
      </c>
      <c r="BA139" s="44">
        <f t="shared" si="36"/>
        <v>0</v>
      </c>
      <c r="BB139" s="44">
        <f t="shared" si="36"/>
        <v>0</v>
      </c>
      <c r="BC139" s="44">
        <f t="shared" si="36"/>
        <v>0</v>
      </c>
      <c r="BD139" s="44">
        <f t="shared" si="36"/>
        <v>0</v>
      </c>
    </row>
    <row r="140" spans="2:56" x14ac:dyDescent="0.25">
      <c r="C140" s="103"/>
      <c r="D140" s="74" t="s">
        <v>38</v>
      </c>
      <c r="E140" s="44">
        <f t="shared" si="37"/>
        <v>31.88325</v>
      </c>
      <c r="F140" s="44">
        <f t="shared" si="36"/>
        <v>31.983249999999998</v>
      </c>
      <c r="G140" s="44">
        <f t="shared" si="36"/>
        <v>27.262500000000003</v>
      </c>
      <c r="H140" s="44">
        <f t="shared" si="36"/>
        <v>21.0625</v>
      </c>
      <c r="I140" s="44">
        <f t="shared" si="36"/>
        <v>21.587499999999999</v>
      </c>
      <c r="J140" s="44">
        <f t="shared" si="36"/>
        <v>21.587499999999999</v>
      </c>
      <c r="K140" s="44">
        <f t="shared" si="36"/>
        <v>18.274999999999999</v>
      </c>
      <c r="L140" s="44">
        <f t="shared" si="36"/>
        <v>18.362500000000001</v>
      </c>
      <c r="M140" s="44">
        <f t="shared" si="36"/>
        <v>0</v>
      </c>
      <c r="N140" s="44">
        <f t="shared" si="36"/>
        <v>0</v>
      </c>
      <c r="O140" s="44">
        <f t="shared" si="36"/>
        <v>0</v>
      </c>
      <c r="P140" s="44">
        <f t="shared" si="36"/>
        <v>0</v>
      </c>
      <c r="Q140" s="44">
        <f t="shared" si="36"/>
        <v>0</v>
      </c>
      <c r="R140" s="44">
        <f t="shared" si="36"/>
        <v>0</v>
      </c>
      <c r="S140" s="44">
        <f t="shared" si="36"/>
        <v>0</v>
      </c>
      <c r="T140" s="44">
        <f t="shared" si="36"/>
        <v>0</v>
      </c>
      <c r="U140" s="44">
        <f t="shared" si="36"/>
        <v>0</v>
      </c>
      <c r="V140" s="44">
        <f t="shared" si="36"/>
        <v>0</v>
      </c>
      <c r="W140" s="44">
        <f t="shared" si="36"/>
        <v>0</v>
      </c>
      <c r="X140" s="44">
        <f t="shared" si="36"/>
        <v>0</v>
      </c>
      <c r="Y140" s="44">
        <f t="shared" si="36"/>
        <v>0</v>
      </c>
      <c r="Z140" s="44">
        <f t="shared" si="36"/>
        <v>0</v>
      </c>
      <c r="AA140" s="44">
        <f t="shared" si="36"/>
        <v>0</v>
      </c>
      <c r="AB140" s="44">
        <f t="shared" si="36"/>
        <v>0</v>
      </c>
      <c r="AC140" s="44">
        <f t="shared" si="36"/>
        <v>0</v>
      </c>
      <c r="AD140" s="44">
        <f t="shared" si="36"/>
        <v>0</v>
      </c>
      <c r="AE140" s="44">
        <f t="shared" si="36"/>
        <v>0</v>
      </c>
      <c r="AF140" s="44">
        <f t="shared" si="36"/>
        <v>0</v>
      </c>
      <c r="AG140" s="44">
        <f t="shared" si="36"/>
        <v>0</v>
      </c>
      <c r="AH140" s="44">
        <f t="shared" si="36"/>
        <v>0</v>
      </c>
      <c r="AI140" s="44">
        <f t="shared" si="36"/>
        <v>0</v>
      </c>
      <c r="AJ140" s="44">
        <f t="shared" si="36"/>
        <v>0</v>
      </c>
      <c r="AK140" s="44">
        <f t="shared" si="36"/>
        <v>0</v>
      </c>
      <c r="AL140" s="44">
        <f t="shared" si="36"/>
        <v>0</v>
      </c>
      <c r="AM140" s="44">
        <f t="shared" si="36"/>
        <v>0</v>
      </c>
      <c r="AN140" s="44">
        <f t="shared" si="36"/>
        <v>0</v>
      </c>
      <c r="AO140" s="44">
        <f t="shared" si="36"/>
        <v>0</v>
      </c>
      <c r="AP140" s="44">
        <f t="shared" si="36"/>
        <v>0</v>
      </c>
      <c r="AQ140" s="44">
        <f t="shared" si="36"/>
        <v>0</v>
      </c>
      <c r="AR140" s="44">
        <f t="shared" si="36"/>
        <v>0</v>
      </c>
      <c r="AS140" s="44">
        <f t="shared" si="36"/>
        <v>0</v>
      </c>
      <c r="AT140" s="44">
        <f t="shared" si="36"/>
        <v>0</v>
      </c>
      <c r="AU140" s="44">
        <f t="shared" si="36"/>
        <v>0</v>
      </c>
      <c r="AV140" s="44">
        <f t="shared" si="36"/>
        <v>0</v>
      </c>
      <c r="AW140" s="44">
        <f t="shared" si="36"/>
        <v>0</v>
      </c>
      <c r="AX140" s="44">
        <f t="shared" si="36"/>
        <v>0</v>
      </c>
      <c r="AY140" s="44">
        <f t="shared" si="36"/>
        <v>0</v>
      </c>
      <c r="AZ140" s="44">
        <f t="shared" si="36"/>
        <v>0</v>
      </c>
      <c r="BA140" s="44">
        <f t="shared" si="36"/>
        <v>0</v>
      </c>
      <c r="BB140" s="44">
        <f t="shared" si="36"/>
        <v>0</v>
      </c>
      <c r="BC140" s="44">
        <f t="shared" si="36"/>
        <v>0</v>
      </c>
      <c r="BD140" s="44">
        <f t="shared" si="36"/>
        <v>0</v>
      </c>
    </row>
    <row r="141" spans="2:56" x14ac:dyDescent="0.25">
      <c r="C141" s="103"/>
      <c r="D141" s="74" t="s">
        <v>39</v>
      </c>
      <c r="E141" s="44">
        <f t="shared" si="37"/>
        <v>58</v>
      </c>
      <c r="F141" s="44">
        <f t="shared" si="36"/>
        <v>46</v>
      </c>
      <c r="G141" s="44">
        <f t="shared" si="36"/>
        <v>44</v>
      </c>
      <c r="H141" s="44">
        <f t="shared" si="36"/>
        <v>63</v>
      </c>
      <c r="I141" s="44">
        <f t="shared" si="36"/>
        <v>56</v>
      </c>
      <c r="J141" s="44">
        <f t="shared" si="36"/>
        <v>55</v>
      </c>
      <c r="K141" s="44">
        <f t="shared" si="36"/>
        <v>54</v>
      </c>
      <c r="L141" s="44">
        <f t="shared" si="36"/>
        <v>55</v>
      </c>
      <c r="M141" s="44">
        <f t="shared" si="36"/>
        <v>51</v>
      </c>
      <c r="N141" s="44">
        <f t="shared" si="36"/>
        <v>49</v>
      </c>
      <c r="O141" s="44">
        <f t="shared" si="36"/>
        <v>46</v>
      </c>
      <c r="P141" s="44">
        <f t="shared" si="36"/>
        <v>44</v>
      </c>
      <c r="Q141" s="44">
        <f t="shared" si="36"/>
        <v>43</v>
      </c>
      <c r="R141" s="44">
        <f t="shared" si="36"/>
        <v>43</v>
      </c>
      <c r="S141" s="44">
        <f t="shared" si="36"/>
        <v>42</v>
      </c>
      <c r="T141" s="44">
        <f t="shared" si="36"/>
        <v>41</v>
      </c>
      <c r="U141" s="44">
        <f t="shared" ref="U141:BD143" si="38">SUM(U23,U47,U69,U92,U114)</f>
        <v>39</v>
      </c>
      <c r="V141" s="44">
        <f t="shared" si="38"/>
        <v>47</v>
      </c>
      <c r="W141" s="44">
        <f t="shared" si="38"/>
        <v>46</v>
      </c>
      <c r="X141" s="44">
        <f t="shared" si="38"/>
        <v>46</v>
      </c>
      <c r="Y141" s="44">
        <f t="shared" si="38"/>
        <v>49.265000000000001</v>
      </c>
      <c r="Z141" s="44">
        <f t="shared" si="38"/>
        <v>47.680124999999997</v>
      </c>
      <c r="AA141" s="44">
        <f t="shared" si="38"/>
        <v>41.004573874999991</v>
      </c>
      <c r="AB141" s="44">
        <f t="shared" si="38"/>
        <v>40.438957763124996</v>
      </c>
      <c r="AC141" s="44">
        <f t="shared" si="38"/>
        <v>39.881578630446867</v>
      </c>
      <c r="AD141" s="44">
        <f t="shared" si="38"/>
        <v>42.332314158590073</v>
      </c>
      <c r="AE141" s="44">
        <f t="shared" si="38"/>
        <v>41.746043857773124</v>
      </c>
      <c r="AF141" s="44">
        <f t="shared" si="38"/>
        <v>42.168324039410628</v>
      </c>
      <c r="AG141" s="44">
        <f t="shared" si="38"/>
        <v>41.584027664126047</v>
      </c>
      <c r="AH141" s="44">
        <f t="shared" si="38"/>
        <v>41.008254592044196</v>
      </c>
      <c r="AI141" s="44">
        <f t="shared" si="38"/>
        <v>46.440878179329182</v>
      </c>
      <c r="AJ141" s="44">
        <f t="shared" si="38"/>
        <v>47.79177367577406</v>
      </c>
      <c r="AK141" s="44">
        <f t="shared" si="38"/>
        <v>47.132168196426591</v>
      </c>
      <c r="AL141" s="44">
        <f t="shared" si="38"/>
        <v>49.482170443640385</v>
      </c>
      <c r="AM141" s="44">
        <f t="shared" si="38"/>
        <v>48.796637733295178</v>
      </c>
      <c r="AN141" s="44">
        <f t="shared" si="38"/>
        <v>48.121104514373599</v>
      </c>
      <c r="AO141" s="44">
        <f t="shared" si="38"/>
        <v>47.455422212000443</v>
      </c>
      <c r="AP141" s="44">
        <f t="shared" si="38"/>
        <v>46.799444472836186</v>
      </c>
      <c r="AQ141" s="44">
        <f t="shared" si="38"/>
        <v>53.653027131789315</v>
      </c>
      <c r="AR141" s="44">
        <f t="shared" si="38"/>
        <v>52.903528179227919</v>
      </c>
      <c r="AS141" s="44">
        <f t="shared" si="38"/>
        <v>52.081428156620134</v>
      </c>
      <c r="AT141" s="44">
        <f t="shared" si="38"/>
        <v>63.755390144220272</v>
      </c>
      <c r="AU141" s="44">
        <f t="shared" si="38"/>
        <v>62.756358452740983</v>
      </c>
      <c r="AV141" s="44">
        <f t="shared" si="38"/>
        <v>84.256372008587959</v>
      </c>
      <c r="AW141" s="44">
        <f t="shared" si="38"/>
        <v>87.480055160694079</v>
      </c>
      <c r="AX141" s="44">
        <f t="shared" si="38"/>
        <v>130.83107327147422</v>
      </c>
      <c r="AY141" s="44">
        <f t="shared" si="38"/>
        <v>128.11202347178047</v>
      </c>
      <c r="AZ141" s="44">
        <f t="shared" si="38"/>
        <v>122.45728037830929</v>
      </c>
      <c r="BA141" s="44">
        <f t="shared" si="38"/>
        <v>124.64401087390763</v>
      </c>
      <c r="BB141" s="44">
        <f t="shared" si="38"/>
        <v>120.68729654432374</v>
      </c>
      <c r="BC141" s="44">
        <f t="shared" si="38"/>
        <v>116.79102162018663</v>
      </c>
      <c r="BD141" s="44">
        <f t="shared" si="38"/>
        <v>112.6953555658982</v>
      </c>
    </row>
    <row r="142" spans="2:56" x14ac:dyDescent="0.25">
      <c r="C142" s="103"/>
      <c r="D142" s="74" t="s">
        <v>40</v>
      </c>
      <c r="E142" s="44">
        <f t="shared" si="37"/>
        <v>31.5</v>
      </c>
      <c r="F142" s="44">
        <f t="shared" si="37"/>
        <v>28.125</v>
      </c>
      <c r="G142" s="44">
        <f t="shared" si="37"/>
        <v>20.25</v>
      </c>
      <c r="H142" s="44">
        <f t="shared" si="37"/>
        <v>19.125</v>
      </c>
      <c r="I142" s="44">
        <f t="shared" si="37"/>
        <v>19.125</v>
      </c>
      <c r="J142" s="44">
        <f t="shared" si="37"/>
        <v>19.125</v>
      </c>
      <c r="K142" s="44">
        <f t="shared" si="37"/>
        <v>15.75</v>
      </c>
      <c r="L142" s="44">
        <f t="shared" si="37"/>
        <v>18</v>
      </c>
      <c r="M142" s="44">
        <f t="shared" si="37"/>
        <v>15.75</v>
      </c>
      <c r="N142" s="44">
        <f t="shared" si="37"/>
        <v>16.875</v>
      </c>
      <c r="O142" s="44">
        <f t="shared" si="37"/>
        <v>16.875</v>
      </c>
      <c r="P142" s="44">
        <f t="shared" si="37"/>
        <v>16.880000000000003</v>
      </c>
      <c r="Q142" s="44">
        <f t="shared" si="37"/>
        <v>15.75</v>
      </c>
      <c r="R142" s="44">
        <f t="shared" si="37"/>
        <v>15.75</v>
      </c>
      <c r="S142" s="44">
        <f t="shared" si="37"/>
        <v>15.75</v>
      </c>
      <c r="T142" s="44">
        <f t="shared" si="37"/>
        <v>14.625</v>
      </c>
      <c r="U142" s="44">
        <f t="shared" si="38"/>
        <v>14.625</v>
      </c>
      <c r="V142" s="44">
        <f t="shared" si="38"/>
        <v>14.625</v>
      </c>
      <c r="W142" s="44">
        <f t="shared" si="38"/>
        <v>14.625</v>
      </c>
      <c r="X142" s="44">
        <f t="shared" si="38"/>
        <v>14.625</v>
      </c>
      <c r="Y142" s="44">
        <f t="shared" si="38"/>
        <v>14.158125</v>
      </c>
      <c r="Z142" s="44">
        <f t="shared" si="38"/>
        <v>13.709334375000001</v>
      </c>
      <c r="AA142" s="44">
        <f t="shared" si="38"/>
        <v>13.537107703125001</v>
      </c>
      <c r="AB142" s="44">
        <f t="shared" si="38"/>
        <v>13.367297364609376</v>
      </c>
      <c r="AC142" s="44">
        <f t="shared" si="38"/>
        <v>13.199867949786329</v>
      </c>
      <c r="AD142" s="44">
        <f t="shared" si="38"/>
        <v>13.034784575957397</v>
      </c>
      <c r="AE142" s="44">
        <f t="shared" si="38"/>
        <v>12.872012879508809</v>
      </c>
      <c r="AF142" s="44">
        <f t="shared" si="38"/>
        <v>12.711519008145997</v>
      </c>
      <c r="AG142" s="44">
        <f t="shared" si="38"/>
        <v>12.553269613244478</v>
      </c>
      <c r="AH142" s="44">
        <f t="shared" si="38"/>
        <v>12.397231842315378</v>
      </c>
      <c r="AI142" s="44">
        <f t="shared" si="38"/>
        <v>12.243373331583868</v>
      </c>
      <c r="AJ142" s="44">
        <f t="shared" si="38"/>
        <v>12.091662198678812</v>
      </c>
      <c r="AK142" s="44">
        <f t="shared" si="38"/>
        <v>11.942067035431991</v>
      </c>
      <c r="AL142" s="44">
        <f t="shared" si="38"/>
        <v>11.794556900785205</v>
      </c>
      <c r="AM142" s="44">
        <f t="shared" si="38"/>
        <v>11.649101313803698</v>
      </c>
      <c r="AN142" s="44">
        <f t="shared" si="38"/>
        <v>11.50567024679426</v>
      </c>
      <c r="AO142" s="44">
        <f t="shared" si="38"/>
        <v>11.364234118526475</v>
      </c>
      <c r="AP142" s="44">
        <f t="shared" si="38"/>
        <v>11.224763787555538</v>
      </c>
      <c r="AQ142" s="44">
        <f t="shared" si="38"/>
        <v>11.087230545645131</v>
      </c>
      <c r="AR142" s="44">
        <f t="shared" si="38"/>
        <v>10.951606111288864</v>
      </c>
      <c r="AS142" s="44">
        <f t="shared" si="38"/>
        <v>10.8178626233288</v>
      </c>
      <c r="AT142" s="44">
        <f t="shared" si="38"/>
        <v>10.685972634669589</v>
      </c>
      <c r="AU142" s="44">
        <f t="shared" si="38"/>
        <v>10.555909106086814</v>
      </c>
      <c r="AV142" s="44">
        <f t="shared" si="38"/>
        <v>39.958895400128092</v>
      </c>
      <c r="AW142" s="44">
        <f t="shared" si="38"/>
        <v>41.219772127083729</v>
      </c>
      <c r="AX142" s="44">
        <f t="shared" si="38"/>
        <v>69.829077690305681</v>
      </c>
      <c r="AY142" s="44">
        <f t="shared" si="38"/>
        <v>68.205607865115084</v>
      </c>
      <c r="AZ142" s="44">
        <f t="shared" si="38"/>
        <v>66.634938499968925</v>
      </c>
      <c r="BA142" s="44">
        <f t="shared" si="38"/>
        <v>63.788766273950166</v>
      </c>
      <c r="BB142" s="44">
        <f t="shared" si="38"/>
        <v>61.091660185737446</v>
      </c>
      <c r="BC142" s="44">
        <f t="shared" si="38"/>
        <v>58.535122746807936</v>
      </c>
      <c r="BD142" s="44">
        <f t="shared" si="38"/>
        <v>56.111197707313117</v>
      </c>
    </row>
    <row r="143" spans="2:56" x14ac:dyDescent="0.25">
      <c r="D143" s="75" t="s">
        <v>41</v>
      </c>
      <c r="E143" s="44">
        <f t="shared" si="37"/>
        <v>0</v>
      </c>
      <c r="F143" s="44">
        <f t="shared" si="37"/>
        <v>0</v>
      </c>
      <c r="G143" s="44">
        <f t="shared" si="37"/>
        <v>0</v>
      </c>
      <c r="H143" s="44">
        <f t="shared" si="37"/>
        <v>-11.174456521739129</v>
      </c>
      <c r="I143" s="44">
        <f t="shared" si="37"/>
        <v>-5.9690217391304348</v>
      </c>
      <c r="J143" s="44">
        <f t="shared" si="37"/>
        <v>0</v>
      </c>
      <c r="K143" s="44">
        <f t="shared" si="37"/>
        <v>-21.910054347826087</v>
      </c>
      <c r="L143" s="44">
        <f t="shared" si="37"/>
        <v>-13.114130434782608</v>
      </c>
      <c r="M143" s="44">
        <f t="shared" si="37"/>
        <v>-13.447826086956523</v>
      </c>
      <c r="N143" s="44">
        <f t="shared" si="37"/>
        <v>-6.4904891304347831</v>
      </c>
      <c r="O143" s="44">
        <f t="shared" si="37"/>
        <v>-0.67554347826086891</v>
      </c>
      <c r="P143" s="44">
        <f t="shared" si="37"/>
        <v>0</v>
      </c>
      <c r="Q143" s="44">
        <f t="shared" si="37"/>
        <v>-5.9934782608695656</v>
      </c>
      <c r="R143" s="44">
        <f t="shared" si="37"/>
        <v>0</v>
      </c>
      <c r="S143" s="44">
        <f t="shared" si="37"/>
        <v>-0.93559782608695652</v>
      </c>
      <c r="T143" s="44">
        <f t="shared" si="37"/>
        <v>-7.6176630434782622</v>
      </c>
      <c r="U143" s="44">
        <f t="shared" si="38"/>
        <v>5.6486413043478265</v>
      </c>
      <c r="V143" s="44">
        <f t="shared" si="38"/>
        <v>10.717391304347826</v>
      </c>
      <c r="W143" s="44">
        <f t="shared" si="38"/>
        <v>10.543478260869566</v>
      </c>
      <c r="X143" s="44">
        <f t="shared" si="38"/>
        <v>8.5709239130434778</v>
      </c>
      <c r="Y143" s="44">
        <f t="shared" si="38"/>
        <v>0</v>
      </c>
      <c r="Z143" s="44">
        <f t="shared" si="38"/>
        <v>-4.494539945652174</v>
      </c>
      <c r="AA143" s="44">
        <f t="shared" si="38"/>
        <v>7.2573866978260861</v>
      </c>
      <c r="AB143" s="44">
        <f t="shared" si="38"/>
        <v>5.3341792229021738</v>
      </c>
      <c r="AC143" s="44">
        <f t="shared" si="38"/>
        <v>2.7093134780613042</v>
      </c>
      <c r="AD143" s="44">
        <f t="shared" si="38"/>
        <v>-4.4216596055859485</v>
      </c>
      <c r="AE143" s="44">
        <f t="shared" si="38"/>
        <v>-7.319143148828557</v>
      </c>
      <c r="AF143" s="44">
        <f t="shared" si="38"/>
        <v>0</v>
      </c>
      <c r="AG143" s="44">
        <f t="shared" si="38"/>
        <v>-3.2144503556264916</v>
      </c>
      <c r="AH143" s="44">
        <f t="shared" si="38"/>
        <v>4.8102600583823065</v>
      </c>
      <c r="AI143" s="44">
        <f t="shared" si="38"/>
        <v>0</v>
      </c>
      <c r="AJ143" s="44">
        <f t="shared" si="38"/>
        <v>7.4244518839600806</v>
      </c>
      <c r="AK143" s="44">
        <f t="shared" si="38"/>
        <v>7.3130851057006794</v>
      </c>
      <c r="AL143" s="44">
        <f t="shared" si="38"/>
        <v>1.931281989887488</v>
      </c>
      <c r="AM143" s="44">
        <f t="shared" si="38"/>
        <v>0</v>
      </c>
      <c r="AN143" s="44">
        <f t="shared" si="38"/>
        <v>0</v>
      </c>
      <c r="AO143" s="44">
        <f t="shared" si="38"/>
        <v>0</v>
      </c>
      <c r="AP143" s="44">
        <f t="shared" si="38"/>
        <v>0</v>
      </c>
      <c r="AQ143" s="44">
        <f t="shared" si="38"/>
        <v>0</v>
      </c>
      <c r="AR143" s="44">
        <f t="shared" si="38"/>
        <v>0</v>
      </c>
      <c r="AS143" s="44">
        <f t="shared" si="38"/>
        <v>0</v>
      </c>
      <c r="AT143" s="44">
        <f t="shared" si="38"/>
        <v>0</v>
      </c>
      <c r="AU143" s="44">
        <f t="shared" si="38"/>
        <v>0</v>
      </c>
      <c r="AV143" s="44">
        <f t="shared" si="38"/>
        <v>0</v>
      </c>
      <c r="AW143" s="44">
        <f t="shared" si="38"/>
        <v>0</v>
      </c>
      <c r="AX143" s="44">
        <f t="shared" si="38"/>
        <v>0</v>
      </c>
      <c r="AY143" s="44">
        <f t="shared" si="38"/>
        <v>0</v>
      </c>
      <c r="AZ143" s="44">
        <f t="shared" si="38"/>
        <v>55.475986991630656</v>
      </c>
      <c r="BA143" s="44">
        <f t="shared" si="38"/>
        <v>36.793459331912445</v>
      </c>
      <c r="BB143" s="44">
        <f t="shared" si="38"/>
        <v>0</v>
      </c>
      <c r="BC143" s="44">
        <f t="shared" si="38"/>
        <v>0</v>
      </c>
      <c r="BD143" s="44">
        <f t="shared" si="38"/>
        <v>0</v>
      </c>
    </row>
    <row r="144" spans="2:56" x14ac:dyDescent="0.25">
      <c r="D144" s="75" t="s">
        <v>42</v>
      </c>
      <c r="E144" s="71">
        <v>0.85</v>
      </c>
      <c r="F144" s="71">
        <v>0.85</v>
      </c>
      <c r="G144" s="71">
        <v>0.85</v>
      </c>
      <c r="H144" s="71">
        <v>0.85</v>
      </c>
      <c r="I144" s="71">
        <v>0.85</v>
      </c>
      <c r="J144" s="71">
        <v>0.85</v>
      </c>
      <c r="K144" s="71">
        <v>0.85</v>
      </c>
      <c r="L144" s="71">
        <v>0.85</v>
      </c>
      <c r="M144" s="71">
        <v>0.85</v>
      </c>
      <c r="N144" s="71">
        <v>0.85</v>
      </c>
      <c r="O144" s="71">
        <v>0.85</v>
      </c>
      <c r="P144" s="71">
        <v>0.85</v>
      </c>
      <c r="Q144" s="71">
        <v>0.85</v>
      </c>
      <c r="R144" s="71">
        <v>0.85</v>
      </c>
      <c r="S144" s="71">
        <v>0.85</v>
      </c>
      <c r="T144" s="71">
        <v>0.85</v>
      </c>
      <c r="U144" s="71">
        <v>0.85</v>
      </c>
      <c r="V144" s="71">
        <v>0.85</v>
      </c>
      <c r="W144" s="71">
        <v>0.85</v>
      </c>
      <c r="X144" s="71">
        <v>0.85</v>
      </c>
      <c r="Y144" s="71">
        <v>0.85</v>
      </c>
      <c r="Z144" s="71">
        <v>0.85</v>
      </c>
      <c r="AA144" s="71">
        <v>0.85</v>
      </c>
      <c r="AB144" s="71">
        <v>0.85</v>
      </c>
      <c r="AC144" s="71">
        <v>0.85</v>
      </c>
      <c r="AD144" s="71">
        <v>0.85</v>
      </c>
      <c r="AE144" s="71">
        <v>0.85</v>
      </c>
      <c r="AF144" s="71">
        <v>0.85</v>
      </c>
      <c r="AG144" s="71">
        <v>0.85</v>
      </c>
      <c r="AH144" s="71">
        <v>0.85</v>
      </c>
      <c r="AI144" s="71">
        <v>0.85</v>
      </c>
      <c r="AJ144" s="71">
        <v>0.85</v>
      </c>
      <c r="AK144" s="71">
        <v>0.85</v>
      </c>
      <c r="AL144" s="71">
        <v>0.85</v>
      </c>
      <c r="AM144" s="71">
        <v>0.85</v>
      </c>
      <c r="AN144" s="71">
        <v>0.85</v>
      </c>
      <c r="AO144" s="71">
        <v>0.85</v>
      </c>
      <c r="AP144" s="71">
        <v>0.85</v>
      </c>
      <c r="AQ144" s="71">
        <v>0.85</v>
      </c>
      <c r="AR144" s="71">
        <v>0.85</v>
      </c>
      <c r="AS144" s="71">
        <v>0.85</v>
      </c>
      <c r="AT144" s="71">
        <v>0.85</v>
      </c>
      <c r="AU144" s="71">
        <v>0.85</v>
      </c>
      <c r="AV144" s="71">
        <v>0.85</v>
      </c>
      <c r="AW144" s="71">
        <v>0.85</v>
      </c>
      <c r="AX144" s="71">
        <v>0.85</v>
      </c>
      <c r="AY144" s="71">
        <v>0.85</v>
      </c>
      <c r="AZ144" s="71">
        <v>0.85</v>
      </c>
      <c r="BA144" s="71">
        <v>0.85</v>
      </c>
      <c r="BB144" s="71">
        <v>0.85</v>
      </c>
      <c r="BC144" s="71">
        <v>0.85</v>
      </c>
      <c r="BD144" s="71">
        <v>0.85</v>
      </c>
    </row>
    <row r="145" spans="4:56" x14ac:dyDescent="0.25">
      <c r="D145" s="75" t="s">
        <v>43</v>
      </c>
      <c r="E145" s="63">
        <f t="shared" ref="E145:BD145" si="39">(E143*(40*(1-E144)+40))/SUM(E136:E142)</f>
        <v>0</v>
      </c>
      <c r="F145" s="63">
        <f t="shared" si="39"/>
        <v>0</v>
      </c>
      <c r="G145" s="63">
        <f t="shared" si="39"/>
        <v>0</v>
      </c>
      <c r="H145" s="63">
        <f t="shared" si="39"/>
        <v>-2.9509867240760674</v>
      </c>
      <c r="I145" s="63">
        <f t="shared" si="39"/>
        <v>-1.6606940349285551</v>
      </c>
      <c r="J145" s="63">
        <f t="shared" si="39"/>
        <v>0</v>
      </c>
      <c r="K145" s="63">
        <f t="shared" si="39"/>
        <v>-7.2248207885304661</v>
      </c>
      <c r="L145" s="63">
        <f t="shared" si="39"/>
        <v>-4.2074978204010458</v>
      </c>
      <c r="M145" s="63">
        <f t="shared" si="39"/>
        <v>-4.4858593183466278</v>
      </c>
      <c r="N145" s="63">
        <f t="shared" si="39"/>
        <v>-2.1713636363636364</v>
      </c>
      <c r="O145" s="63">
        <f t="shared" si="39"/>
        <v>-0.22430749796986355</v>
      </c>
      <c r="P145" s="63">
        <f t="shared" si="39"/>
        <v>0</v>
      </c>
      <c r="Q145" s="63">
        <f t="shared" si="39"/>
        <v>-2.1593890738202468</v>
      </c>
      <c r="R145" s="63">
        <f t="shared" si="39"/>
        <v>0</v>
      </c>
      <c r="S145" s="63">
        <f t="shared" si="39"/>
        <v>-0.34651771336553944</v>
      </c>
      <c r="T145" s="63">
        <f t="shared" si="39"/>
        <v>-2.8911922442244231</v>
      </c>
      <c r="U145" s="63">
        <f t="shared" si="39"/>
        <v>2.1529777317452101</v>
      </c>
      <c r="V145" s="63">
        <f t="shared" si="39"/>
        <v>3.8643934940231235</v>
      </c>
      <c r="W145" s="63">
        <f t="shared" si="39"/>
        <v>3.9223615042458557</v>
      </c>
      <c r="X145" s="63">
        <f t="shared" si="39"/>
        <v>3.2210988562091503</v>
      </c>
      <c r="Y145" s="63">
        <f t="shared" si="39"/>
        <v>0</v>
      </c>
      <c r="Z145" s="63">
        <f t="shared" si="39"/>
        <v>-1.7182527983748772</v>
      </c>
      <c r="AA145" s="63">
        <f t="shared" si="39"/>
        <v>2.9663083003984849</v>
      </c>
      <c r="AB145" s="63">
        <f t="shared" si="39"/>
        <v>2.2127042169095499</v>
      </c>
      <c r="AC145" s="63">
        <f t="shared" si="39"/>
        <v>1.1405672618264011</v>
      </c>
      <c r="AD145" s="63">
        <f t="shared" si="39"/>
        <v>-1.8378242556622639</v>
      </c>
      <c r="AE145" s="63">
        <f t="shared" si="39"/>
        <v>-3.0871799038480234</v>
      </c>
      <c r="AF145" s="63">
        <f t="shared" si="39"/>
        <v>0</v>
      </c>
      <c r="AG145" s="63">
        <f t="shared" si="39"/>
        <v>-1.3832890622520411</v>
      </c>
      <c r="AH145" s="63">
        <f t="shared" si="39"/>
        <v>1.9608748183884663</v>
      </c>
      <c r="AI145" s="63">
        <f t="shared" si="39"/>
        <v>0</v>
      </c>
      <c r="AJ145" s="63">
        <f t="shared" si="39"/>
        <v>2.6958977146966863</v>
      </c>
      <c r="AK145" s="63">
        <f t="shared" si="39"/>
        <v>2.696149025638229</v>
      </c>
      <c r="AL145" s="63">
        <f t="shared" si="39"/>
        <v>0.70559220473455009</v>
      </c>
      <c r="AM145" s="63">
        <f t="shared" si="39"/>
        <v>0</v>
      </c>
      <c r="AN145" s="63">
        <f t="shared" si="39"/>
        <v>0</v>
      </c>
      <c r="AO145" s="63">
        <f t="shared" si="39"/>
        <v>0</v>
      </c>
      <c r="AP145" s="63">
        <f t="shared" si="39"/>
        <v>0</v>
      </c>
      <c r="AQ145" s="63">
        <f t="shared" si="39"/>
        <v>0</v>
      </c>
      <c r="AR145" s="63">
        <f t="shared" si="39"/>
        <v>0</v>
      </c>
      <c r="AS145" s="63">
        <f t="shared" si="39"/>
        <v>0</v>
      </c>
      <c r="AT145" s="63">
        <f t="shared" si="39"/>
        <v>0</v>
      </c>
      <c r="AU145" s="63">
        <f t="shared" si="39"/>
        <v>0</v>
      </c>
      <c r="AV145" s="63">
        <f t="shared" si="39"/>
        <v>0</v>
      </c>
      <c r="AW145" s="63">
        <f t="shared" si="39"/>
        <v>0</v>
      </c>
      <c r="AX145" s="63">
        <f t="shared" si="39"/>
        <v>0</v>
      </c>
      <c r="AY145" s="63">
        <f t="shared" si="39"/>
        <v>0</v>
      </c>
      <c r="AZ145" s="63">
        <f t="shared" si="39"/>
        <v>6.3104141076399225</v>
      </c>
      <c r="BA145" s="63">
        <f t="shared" si="39"/>
        <v>4.3882557053825701</v>
      </c>
      <c r="BB145" s="63">
        <f t="shared" si="39"/>
        <v>0</v>
      </c>
      <c r="BC145" s="63">
        <f t="shared" si="39"/>
        <v>0</v>
      </c>
      <c r="BD145" s="63">
        <f t="shared" si="39"/>
        <v>0</v>
      </c>
    </row>
    <row r="146" spans="4:56" x14ac:dyDescent="0.25">
      <c r="D146" s="77" t="s">
        <v>44</v>
      </c>
      <c r="E146" s="61">
        <f t="shared" ref="E146:K146" si="40">SUM(E136:E143)</f>
        <v>284.58325000000002</v>
      </c>
      <c r="F146" s="61">
        <f t="shared" si="40"/>
        <v>232.82075</v>
      </c>
      <c r="G146" s="61">
        <f t="shared" si="40"/>
        <v>187.76249999999999</v>
      </c>
      <c r="H146" s="61">
        <f t="shared" si="40"/>
        <v>163.01304347826087</v>
      </c>
      <c r="I146" s="61">
        <f t="shared" si="40"/>
        <v>159.36847826086958</v>
      </c>
      <c r="J146" s="61">
        <f t="shared" si="40"/>
        <v>164.33750000000001</v>
      </c>
      <c r="K146" s="61">
        <f t="shared" si="40"/>
        <v>117.58994565217391</v>
      </c>
      <c r="L146" s="61">
        <f t="shared" ref="L146:BD146" si="41">SUM(L136:L143)</f>
        <v>130.2608695652174</v>
      </c>
      <c r="M146" s="61">
        <f t="shared" si="41"/>
        <v>124.45217391304348</v>
      </c>
      <c r="N146" s="61">
        <f t="shared" si="41"/>
        <v>131.00951086956522</v>
      </c>
      <c r="O146" s="61">
        <f t="shared" si="41"/>
        <v>137.86195652173913</v>
      </c>
      <c r="P146" s="61">
        <f t="shared" si="41"/>
        <v>129.81</v>
      </c>
      <c r="Q146" s="61">
        <f t="shared" si="41"/>
        <v>121.68152173913045</v>
      </c>
      <c r="R146" s="61">
        <f t="shared" si="41"/>
        <v>126.67500000000001</v>
      </c>
      <c r="S146" s="61">
        <f t="shared" si="41"/>
        <v>123.26440217391304</v>
      </c>
      <c r="T146" s="61">
        <f t="shared" si="41"/>
        <v>113.58233695652174</v>
      </c>
      <c r="U146" s="61">
        <f t="shared" si="41"/>
        <v>126.33614130434782</v>
      </c>
      <c r="V146" s="61">
        <f t="shared" si="41"/>
        <v>138.29239130434783</v>
      </c>
      <c r="W146" s="61">
        <f t="shared" si="41"/>
        <v>134.19347826086957</v>
      </c>
      <c r="X146" s="61">
        <f t="shared" si="41"/>
        <v>130.97092391304349</v>
      </c>
      <c r="Y146" s="61">
        <f t="shared" si="41"/>
        <v>123.75784374999999</v>
      </c>
      <c r="Z146" s="61">
        <f t="shared" si="41"/>
        <v>115.83050052309781</v>
      </c>
      <c r="AA146" s="61">
        <f t="shared" si="41"/>
        <v>119.80124737985733</v>
      </c>
      <c r="AB146" s="61">
        <f t="shared" si="41"/>
        <v>116.22665295633577</v>
      </c>
      <c r="AC146" s="61">
        <f t="shared" si="41"/>
        <v>111.97811696033146</v>
      </c>
      <c r="AD146" s="61">
        <f t="shared" si="41"/>
        <v>106.25069724806724</v>
      </c>
      <c r="AE146" s="61">
        <f t="shared" si="41"/>
        <v>101.7385066585109</v>
      </c>
      <c r="AF146" s="61">
        <f t="shared" si="41"/>
        <v>108.46988216898028</v>
      </c>
      <c r="AG146" s="61">
        <f t="shared" si="41"/>
        <v>103.67912698394264</v>
      </c>
      <c r="AH146" s="61">
        <f t="shared" si="41"/>
        <v>117.65375246828391</v>
      </c>
      <c r="AI146" s="61">
        <f t="shared" si="41"/>
        <v>117.16916462395871</v>
      </c>
      <c r="AJ146" s="61">
        <f t="shared" si="41"/>
        <v>134.10759152992711</v>
      </c>
      <c r="AK146" s="61">
        <f t="shared" si="41"/>
        <v>132.08434650976886</v>
      </c>
      <c r="AL146" s="61">
        <f t="shared" si="41"/>
        <v>127.83824487682364</v>
      </c>
      <c r="AM146" s="61">
        <f t="shared" si="41"/>
        <v>124.0442840230356</v>
      </c>
      <c r="AN146" s="61">
        <f t="shared" si="41"/>
        <v>121.37971608984003</v>
      </c>
      <c r="AO146" s="61">
        <f t="shared" si="41"/>
        <v>118.79427124522147</v>
      </c>
      <c r="AP146" s="61">
        <f t="shared" si="41"/>
        <v>116.28523173805726</v>
      </c>
      <c r="AQ146" s="61">
        <f t="shared" si="41"/>
        <v>143.84997897302941</v>
      </c>
      <c r="AR146" s="61">
        <f t="shared" si="41"/>
        <v>140.65048980340947</v>
      </c>
      <c r="AS146" s="61">
        <f t="shared" si="41"/>
        <v>159.85289453577801</v>
      </c>
      <c r="AT146" s="61">
        <f t="shared" si="41"/>
        <v>163.24323453562056</v>
      </c>
      <c r="AU146" s="61">
        <f t="shared" si="41"/>
        <v>204.49484453566839</v>
      </c>
      <c r="AV146" s="61">
        <f t="shared" si="41"/>
        <v>236.07865749641027</v>
      </c>
      <c r="AW146" s="61">
        <f t="shared" si="41"/>
        <v>277.26345501964181</v>
      </c>
      <c r="AX146" s="61">
        <f t="shared" si="41"/>
        <v>362.58955969013203</v>
      </c>
      <c r="AY146" s="61">
        <f t="shared" si="41"/>
        <v>429.24763224323863</v>
      </c>
      <c r="AZ146" s="61">
        <f t="shared" si="41"/>
        <v>459.87027207118967</v>
      </c>
      <c r="BA146" s="61">
        <f t="shared" si="41"/>
        <v>422.48181545755432</v>
      </c>
      <c r="BB146" s="61">
        <f t="shared" si="41"/>
        <v>362.31861097805353</v>
      </c>
      <c r="BC146" s="61">
        <f t="shared" si="41"/>
        <v>340.53389277110574</v>
      </c>
      <c r="BD146" s="61">
        <f t="shared" si="41"/>
        <v>318.97099363441737</v>
      </c>
    </row>
    <row r="147" spans="4:56" x14ac:dyDescent="0.25">
      <c r="D147" s="78" t="s">
        <v>45</v>
      </c>
      <c r="E147" s="56">
        <f t="shared" ref="E147:BD147" si="42">E146-E124</f>
        <v>34.708970191733755</v>
      </c>
      <c r="F147" s="56">
        <f t="shared" si="42"/>
        <v>31.198869787175425</v>
      </c>
      <c r="G147" s="56">
        <f t="shared" si="42"/>
        <v>32.292970612362552</v>
      </c>
      <c r="H147" s="56">
        <f t="shared" si="42"/>
        <v>18.675007175680491</v>
      </c>
      <c r="I147" s="56">
        <f t="shared" si="42"/>
        <v>19.121552474338699</v>
      </c>
      <c r="J147" s="56">
        <f t="shared" si="42"/>
        <v>37.545710270363784</v>
      </c>
      <c r="K147" s="56">
        <f t="shared" si="42"/>
        <v>11.45080517291187</v>
      </c>
      <c r="L147" s="56">
        <f t="shared" si="42"/>
        <v>22.211582783121457</v>
      </c>
      <c r="M147" s="56">
        <f t="shared" si="42"/>
        <v>18.492608694303385</v>
      </c>
      <c r="N147" s="56">
        <f t="shared" si="42"/>
        <v>11.15617352588032</v>
      </c>
      <c r="O147" s="56">
        <f t="shared" si="42"/>
        <v>0.85037419857633267</v>
      </c>
      <c r="P147" s="56">
        <f t="shared" si="42"/>
        <v>-5.3935376746363204</v>
      </c>
      <c r="Q147" s="56">
        <f t="shared" si="42"/>
        <v>12.485592990667101</v>
      </c>
      <c r="R147" s="56">
        <f t="shared" si="42"/>
        <v>18.127039669659752</v>
      </c>
      <c r="S147" s="56">
        <f t="shared" si="42"/>
        <v>12.639670021526129</v>
      </c>
      <c r="T147" s="56">
        <f t="shared" si="42"/>
        <v>-3.5694891899501897</v>
      </c>
      <c r="U147" s="56">
        <f t="shared" si="42"/>
        <v>7.2366389607338277</v>
      </c>
      <c r="V147" s="56">
        <f t="shared" si="42"/>
        <v>5.4027559294229661</v>
      </c>
      <c r="W147" s="56">
        <f t="shared" si="42"/>
        <v>4.6882719757897178</v>
      </c>
      <c r="X147" s="56">
        <f t="shared" si="42"/>
        <v>5.5768671832146026</v>
      </c>
      <c r="Y147" s="56">
        <f t="shared" si="42"/>
        <v>4.4409058619705064</v>
      </c>
      <c r="Z147" s="56">
        <f t="shared" si="42"/>
        <v>7.3477278430163437</v>
      </c>
      <c r="AA147" s="56">
        <f t="shared" si="42"/>
        <v>-3.0675517466480358</v>
      </c>
      <c r="AB147" s="56">
        <f t="shared" si="42"/>
        <v>-0.35831766670044374</v>
      </c>
      <c r="AC147" s="56">
        <f t="shared" si="42"/>
        <v>2.7991552899014209</v>
      </c>
      <c r="AD147" s="56">
        <f t="shared" si="42"/>
        <v>7.9672144647160792</v>
      </c>
      <c r="AE147" s="56">
        <f t="shared" si="42"/>
        <v>12.836254622475565</v>
      </c>
      <c r="AF147" s="56">
        <f t="shared" si="42"/>
        <v>10.15643401892369</v>
      </c>
      <c r="AG147" s="56">
        <f t="shared" si="42"/>
        <v>15.257945662340717</v>
      </c>
      <c r="AH147" s="56">
        <f t="shared" si="42"/>
        <v>12.586706181152167</v>
      </c>
      <c r="AI147" s="56">
        <f t="shared" si="42"/>
        <v>9.625566125813009</v>
      </c>
      <c r="AJ147" s="56">
        <f t="shared" si="42"/>
        <v>14.037565204333589</v>
      </c>
      <c r="AK147" s="56">
        <f t="shared" si="42"/>
        <v>8.5641002423805759</v>
      </c>
      <c r="AL147" s="56">
        <f t="shared" si="42"/>
        <v>5.6446154769670471</v>
      </c>
      <c r="AM147" s="56">
        <f t="shared" si="42"/>
        <v>4.2054063612949051</v>
      </c>
      <c r="AN147" s="56">
        <f t="shared" si="42"/>
        <v>15.314066379100211</v>
      </c>
      <c r="AO147" s="56">
        <f t="shared" si="42"/>
        <v>10.921152838858504</v>
      </c>
      <c r="AP147" s="56">
        <f t="shared" si="42"/>
        <v>2.6163416366352976</v>
      </c>
      <c r="AQ147" s="56">
        <f t="shared" si="42"/>
        <v>19.777632418914465</v>
      </c>
      <c r="AR147" s="56">
        <f t="shared" si="42"/>
        <v>18.342358345223317</v>
      </c>
      <c r="AS147" s="56">
        <f t="shared" si="42"/>
        <v>31.388120109410721</v>
      </c>
      <c r="AT147" s="56">
        <f t="shared" si="42"/>
        <v>31.55293485937375</v>
      </c>
      <c r="AU147" s="56">
        <f t="shared" si="42"/>
        <v>61.424393444974044</v>
      </c>
      <c r="AV147" s="56">
        <f t="shared" si="42"/>
        <v>66.64927140802186</v>
      </c>
      <c r="AW147" s="56">
        <f t="shared" si="42"/>
        <v>83.385010336573202</v>
      </c>
      <c r="AX147" s="56">
        <f t="shared" si="42"/>
        <v>167.8932677045045</v>
      </c>
      <c r="AY147" s="56">
        <f t="shared" si="42"/>
        <v>63.71286641757581</v>
      </c>
      <c r="AZ147" s="56">
        <f t="shared" si="42"/>
        <v>-24.411097127735729</v>
      </c>
      <c r="BA147" s="56">
        <f t="shared" si="42"/>
        <v>-21.368772546327307</v>
      </c>
      <c r="BB147" s="56">
        <f t="shared" si="42"/>
        <v>-21.244430660018281</v>
      </c>
      <c r="BC147" s="56">
        <f t="shared" si="42"/>
        <v>107.36667132153173</v>
      </c>
      <c r="BD147" s="56">
        <f t="shared" si="42"/>
        <v>113.5729933222525</v>
      </c>
    </row>
  </sheetData>
  <mergeCells count="7">
    <mergeCell ref="C136:C142"/>
    <mergeCell ref="C3:C7"/>
    <mergeCell ref="C36:C54"/>
    <mergeCell ref="C57:C76"/>
    <mergeCell ref="C79:C99"/>
    <mergeCell ref="C103:C120"/>
    <mergeCell ref="C125:C131"/>
  </mergeCells>
  <conditionalFormatting sqref="E30:K30 E121:K121 M121:BD121 M30:BD30">
    <cfRule type="expression" dxfId="487" priority="2420">
      <formula>IF(E$3=TODAY()-WEEKDAY(TODAY())+7,TRUE,FALSE)</formula>
    </cfRule>
  </conditionalFormatting>
  <conditionalFormatting sqref="E54:K54 M54:BD54">
    <cfRule type="expression" dxfId="486" priority="2417">
      <formula>IF(E$3=TODAY()-WEEKDAY(TODAY())+7,TRUE,FALSE)</formula>
    </cfRule>
  </conditionalFormatting>
  <conditionalFormatting sqref="E49:K49 M49:BD49">
    <cfRule type="expression" dxfId="485" priority="2419">
      <formula>IF(E$3=TODAY()-WEEKDAY(TODAY())+7,TRUE,FALSE)</formula>
    </cfRule>
  </conditionalFormatting>
  <conditionalFormatting sqref="E71:K71">
    <cfRule type="expression" dxfId="484" priority="2416">
      <formula>IF(E$3=TODAY()-WEEKDAY(TODAY())+7,TRUE,FALSE)</formula>
    </cfRule>
  </conditionalFormatting>
  <conditionalFormatting sqref="E74:K74">
    <cfRule type="expression" dxfId="483" priority="2415">
      <formula>IF(E$3=TODAY()-WEEKDAY(TODAY())+7,TRUE,FALSE)</formula>
    </cfRule>
  </conditionalFormatting>
  <conditionalFormatting sqref="E76:K76">
    <cfRule type="expression" dxfId="482" priority="2414">
      <formula>IF(E$3=TODAY()-WEEKDAY(TODAY())+7,TRUE,FALSE)</formula>
    </cfRule>
  </conditionalFormatting>
  <conditionalFormatting sqref="E94:K94">
    <cfRule type="expression" dxfId="481" priority="2413">
      <formula>IF(E$3=TODAY()-WEEKDAY(TODAY())+7,TRUE,FALSE)</formula>
    </cfRule>
  </conditionalFormatting>
  <conditionalFormatting sqref="E97:K97 M97:BD97">
    <cfRule type="expression" dxfId="480" priority="2412">
      <formula>IF(E$3=TODAY()-WEEKDAY(TODAY())+7,TRUE,FALSE)</formula>
    </cfRule>
  </conditionalFormatting>
  <conditionalFormatting sqref="E145:K145">
    <cfRule type="expression" dxfId="479" priority="2411">
      <formula>IF(E$3=TODAY()-WEEKDAY(TODAY())+7,TRUE,FALSE)</formula>
    </cfRule>
  </conditionalFormatting>
  <conditionalFormatting sqref="E146:K146">
    <cfRule type="expression" dxfId="478" priority="2410">
      <formula>IF(E$3=TODAY()-WEEKDAY(TODAY())+7,TRUE,FALSE)</formula>
    </cfRule>
  </conditionalFormatting>
  <conditionalFormatting sqref="E32:K32 M32:BD32">
    <cfRule type="expression" dxfId="477" priority="2409">
      <formula>IF(E$3=TODAY()-WEEKDAY(TODAY())+7,TRUE,FALSE)</formula>
    </cfRule>
  </conditionalFormatting>
  <conditionalFormatting sqref="E31:K31 M31:BD31">
    <cfRule type="expression" dxfId="476" priority="2408">
      <formula>IF(E$3=TODAY()-WEEKDAY(TODAY())+7,TRUE,FALSE)</formula>
    </cfRule>
  </conditionalFormatting>
  <conditionalFormatting sqref="E29:K29 M29:BD29">
    <cfRule type="expression" dxfId="475" priority="2407">
      <formula>IF(E$3=TODAY()-WEEKDAY(TODAY())+7,TRUE,FALSE)</formula>
    </cfRule>
  </conditionalFormatting>
  <conditionalFormatting sqref="E53:K53 M53:BD53">
    <cfRule type="expression" dxfId="474" priority="2406">
      <formula>IF(E$3=TODAY()-WEEKDAY(TODAY())+7,TRUE,FALSE)</formula>
    </cfRule>
  </conditionalFormatting>
  <conditionalFormatting sqref="E75:K75">
    <cfRule type="expression" dxfId="473" priority="2405">
      <formula>IF(E$3=TODAY()-WEEKDAY(TODAY())+7,TRUE,FALSE)</formula>
    </cfRule>
  </conditionalFormatting>
  <conditionalFormatting sqref="E98:K98 M98:BD98">
    <cfRule type="expression" dxfId="472" priority="2404">
      <formula>IF(E$3=TODAY()-WEEKDAY(TODAY())+7,TRUE,FALSE)</formula>
    </cfRule>
  </conditionalFormatting>
  <conditionalFormatting sqref="E147:K147">
    <cfRule type="expression" dxfId="471" priority="2403">
      <formula>IF(E$3=TODAY()-WEEKDAY(TODAY())+7,TRUE,FALSE)</formula>
    </cfRule>
  </conditionalFormatting>
  <conditionalFormatting sqref="F25:K25 M25:BD25">
    <cfRule type="expression" dxfId="470" priority="2402">
      <formula>IF(F$3=TODAY()-WEEKDAY(TODAY())+7,TRUE,FALSE)</formula>
    </cfRule>
  </conditionalFormatting>
  <conditionalFormatting sqref="E33:K33 M33:BD33">
    <cfRule type="cellIs" dxfId="469" priority="2398" operator="lessThan">
      <formula>0</formula>
    </cfRule>
  </conditionalFormatting>
  <conditionalFormatting sqref="E33:K33 M33:BD33">
    <cfRule type="expression" dxfId="468" priority="2399">
      <formula>IF(E$3=TODAY()-WEEKDAY(TODAY())+7,TRUE,FALSE)</formula>
    </cfRule>
  </conditionalFormatting>
  <conditionalFormatting sqref="M71:BD71">
    <cfRule type="expression" dxfId="467" priority="2390">
      <formula>IF(M$3=TODAY()-WEEKDAY(TODAY())+7,TRUE,FALSE)</formula>
    </cfRule>
  </conditionalFormatting>
  <conditionalFormatting sqref="M74:BD74">
    <cfRule type="expression" dxfId="466" priority="2389">
      <formula>IF(M$3=TODAY()-WEEKDAY(TODAY())+7,TRUE,FALSE)</formula>
    </cfRule>
  </conditionalFormatting>
  <conditionalFormatting sqref="M76:BD76">
    <cfRule type="expression" dxfId="465" priority="2388">
      <formula>IF(M$3=TODAY()-WEEKDAY(TODAY())+7,TRUE,FALSE)</formula>
    </cfRule>
  </conditionalFormatting>
  <conditionalFormatting sqref="M75:BD75">
    <cfRule type="expression" dxfId="464" priority="2387">
      <formula>IF(M$3=TODAY()-WEEKDAY(TODAY())+7,TRUE,FALSE)</formula>
    </cfRule>
  </conditionalFormatting>
  <conditionalFormatting sqref="M94:BD94">
    <cfRule type="expression" dxfId="463" priority="2383">
      <formula>IF(M$3=TODAY()-WEEKDAY(TODAY())+7,TRUE,FALSE)</formula>
    </cfRule>
  </conditionalFormatting>
  <conditionalFormatting sqref="M147:BD147">
    <cfRule type="expression" dxfId="462" priority="2378">
      <formula>IF(M$3=TODAY()-WEEKDAY(TODAY())+7,TRUE,FALSE)</formula>
    </cfRule>
  </conditionalFormatting>
  <conditionalFormatting sqref="M145:BD145">
    <cfRule type="expression" dxfId="461" priority="2380">
      <formula>IF(M$3=TODAY()-WEEKDAY(TODAY())+7,TRUE,FALSE)</formula>
    </cfRule>
  </conditionalFormatting>
  <conditionalFormatting sqref="M146:BD146">
    <cfRule type="expression" dxfId="460" priority="2379">
      <formula>IF(M$3=TODAY()-WEEKDAY(TODAY())+7,TRUE,FALSE)</formula>
    </cfRule>
  </conditionalFormatting>
  <conditionalFormatting sqref="E25:K25 M25:BD25">
    <cfRule type="expression" dxfId="459" priority="2361">
      <formula>IF(E$3=TODAY()-WEEKDAY(TODAY())+7,TRUE,FALSE)</formula>
    </cfRule>
  </conditionalFormatting>
  <conditionalFormatting sqref="E125:K125 M125:BD125">
    <cfRule type="expression" dxfId="458" priority="2360">
      <formula>IF(E$3=TODAY()-WEEKDAY(TODAY())+7,TRUE,FALSE)</formula>
    </cfRule>
  </conditionalFormatting>
  <conditionalFormatting sqref="E126:K126 M126:BD126">
    <cfRule type="expression" dxfId="457" priority="2359">
      <formula>IF(E$3=TODAY()-WEEKDAY(TODAY())+7,TRUE,FALSE)</formula>
    </cfRule>
  </conditionalFormatting>
  <conditionalFormatting sqref="E127:K131 M127:BD131">
    <cfRule type="expression" dxfId="456" priority="2358">
      <formula>IF(E$3=TODAY()-WEEKDAY(TODAY())+7,TRUE,FALSE)</formula>
    </cfRule>
  </conditionalFormatting>
  <conditionalFormatting sqref="E2">
    <cfRule type="expression" dxfId="455" priority="2357">
      <formula>IF(E$3=TODAY()-WEEKDAY(TODAY())+7,TRUE,FALSE)</formula>
    </cfRule>
  </conditionalFormatting>
  <conditionalFormatting sqref="F2:K2 M2:BD2">
    <cfRule type="expression" dxfId="454" priority="2356">
      <formula>IF(F$3=TODAY()-WEEKDAY(TODAY())+7,TRUE,FALSE)</formula>
    </cfRule>
  </conditionalFormatting>
  <conditionalFormatting sqref="E123">
    <cfRule type="expression" dxfId="453" priority="2355">
      <formula>IF(E$3=TODAY()-WEEKDAY(TODAY())+7,TRUE,FALSE)</formula>
    </cfRule>
  </conditionalFormatting>
  <conditionalFormatting sqref="F123:K123 M123:BD123">
    <cfRule type="expression" dxfId="452" priority="2354">
      <formula>IF(F$3=TODAY()-WEEKDAY(TODAY())+7,TRUE,FALSE)</formula>
    </cfRule>
  </conditionalFormatting>
  <conditionalFormatting sqref="F78:K78 M78:BD78">
    <cfRule type="expression" dxfId="451" priority="2348">
      <formula>IF(F$3=TODAY()-WEEKDAY(TODAY())+7,TRUE,FALSE)</formula>
    </cfRule>
  </conditionalFormatting>
  <conditionalFormatting sqref="E78">
    <cfRule type="expression" dxfId="450" priority="2349">
      <formula>IF(E$3=TODAY()-WEEKDAY(TODAY())+7,TRUE,FALSE)</formula>
    </cfRule>
  </conditionalFormatting>
  <conditionalFormatting sqref="E35">
    <cfRule type="expression" dxfId="449" priority="2353">
      <formula>IF(E$3=TODAY()-WEEKDAY(TODAY())+7,TRUE,FALSE)</formula>
    </cfRule>
  </conditionalFormatting>
  <conditionalFormatting sqref="F35:K35 M35:BD35">
    <cfRule type="expression" dxfId="448" priority="2352">
      <formula>IF(F$3=TODAY()-WEEKDAY(TODAY())+7,TRUE,FALSE)</formula>
    </cfRule>
  </conditionalFormatting>
  <conditionalFormatting sqref="E56">
    <cfRule type="expression" dxfId="447" priority="2351">
      <formula>IF(E$3=TODAY()-WEEKDAY(TODAY())+7,TRUE,FALSE)</formula>
    </cfRule>
  </conditionalFormatting>
  <conditionalFormatting sqref="F56:K56 M56:BD56">
    <cfRule type="expression" dxfId="446" priority="2350">
      <formula>IF(F$3=TODAY()-WEEKDAY(TODAY())+7,TRUE,FALSE)</formula>
    </cfRule>
  </conditionalFormatting>
  <conditionalFormatting sqref="E99:K101 E122:K122 M122:BD122 M99:BD101">
    <cfRule type="expression" dxfId="445" priority="2347">
      <formula>IF(E$3=TODAY()-WEEKDAY(TODAY())+7,TRUE,FALSE)</formula>
    </cfRule>
  </conditionalFormatting>
  <conditionalFormatting sqref="E116:K116">
    <cfRule type="expression" dxfId="444" priority="2346">
      <formula>IF(E$3=TODAY()-WEEKDAY(TODAY())+7,TRUE,FALSE)</formula>
    </cfRule>
  </conditionalFormatting>
  <conditionalFormatting sqref="E119:K119 M119:BD119">
    <cfRule type="expression" dxfId="443" priority="2345">
      <formula>IF(E$3=TODAY()-WEEKDAY(TODAY())+7,TRUE,FALSE)</formula>
    </cfRule>
  </conditionalFormatting>
  <conditionalFormatting sqref="E120:K120 M120:BD120">
    <cfRule type="expression" dxfId="442" priority="2344">
      <formula>IF(E$3=TODAY()-WEEKDAY(TODAY())+7,TRUE,FALSE)</formula>
    </cfRule>
  </conditionalFormatting>
  <conditionalFormatting sqref="M116:BD116">
    <cfRule type="expression" dxfId="441" priority="2341">
      <formula>IF(M$3=TODAY()-WEEKDAY(TODAY())+7,TRUE,FALSE)</formula>
    </cfRule>
  </conditionalFormatting>
  <conditionalFormatting sqref="F102:K102 M102:BD102">
    <cfRule type="expression" dxfId="440" priority="2334">
      <formula>IF(F$3=TODAY()-WEEKDAY(TODAY())+7,TRUE,FALSE)</formula>
    </cfRule>
  </conditionalFormatting>
  <conditionalFormatting sqref="E102:K102 M102:BD102">
    <cfRule type="expression" dxfId="439" priority="2335">
      <formula>IF(E$3=TODAY()-WEEKDAY(TODAY())+7,TRUE,FALSE)</formula>
    </cfRule>
  </conditionalFormatting>
  <conditionalFormatting sqref="L30 L121">
    <cfRule type="expression" dxfId="438" priority="2319">
      <formula>IF(L$3=TODAY()-WEEKDAY(TODAY())+7,TRUE,FALSE)</formula>
    </cfRule>
  </conditionalFormatting>
  <conditionalFormatting sqref="L54">
    <cfRule type="expression" dxfId="437" priority="2316">
      <formula>IF(L$3=TODAY()-WEEKDAY(TODAY())+7,TRUE,FALSE)</formula>
    </cfRule>
  </conditionalFormatting>
  <conditionalFormatting sqref="L49">
    <cfRule type="expression" dxfId="436" priority="2318">
      <formula>IF(L$3=TODAY()-WEEKDAY(TODAY())+7,TRUE,FALSE)</formula>
    </cfRule>
  </conditionalFormatting>
  <conditionalFormatting sqref="L97">
    <cfRule type="expression" dxfId="435" priority="2315">
      <formula>IF(L$3=TODAY()-WEEKDAY(TODAY())+7,TRUE,FALSE)</formula>
    </cfRule>
  </conditionalFormatting>
  <conditionalFormatting sqref="L32">
    <cfRule type="expression" dxfId="434" priority="2314">
      <formula>IF(L$3=TODAY()-WEEKDAY(TODAY())+7,TRUE,FALSE)</formula>
    </cfRule>
  </conditionalFormatting>
  <conditionalFormatting sqref="L31">
    <cfRule type="expression" dxfId="433" priority="2313">
      <formula>IF(L$3=TODAY()-WEEKDAY(TODAY())+7,TRUE,FALSE)</formula>
    </cfRule>
  </conditionalFormatting>
  <conditionalFormatting sqref="L29">
    <cfRule type="expression" dxfId="432" priority="2312">
      <formula>IF(L$3=TODAY()-WEEKDAY(TODAY())+7,TRUE,FALSE)</formula>
    </cfRule>
  </conditionalFormatting>
  <conditionalFormatting sqref="L53">
    <cfRule type="expression" dxfId="431" priority="2311">
      <formula>IF(L$3=TODAY()-WEEKDAY(TODAY())+7,TRUE,FALSE)</formula>
    </cfRule>
  </conditionalFormatting>
  <conditionalFormatting sqref="L98">
    <cfRule type="expression" dxfId="430" priority="2310">
      <formula>IF(L$3=TODAY()-WEEKDAY(TODAY())+7,TRUE,FALSE)</formula>
    </cfRule>
  </conditionalFormatting>
  <conditionalFormatting sqref="L25">
    <cfRule type="expression" dxfId="429" priority="2309">
      <formula>IF(L$3=TODAY()-WEEKDAY(TODAY())+7,TRUE,FALSE)</formula>
    </cfRule>
  </conditionalFormatting>
  <conditionalFormatting sqref="L33">
    <cfRule type="cellIs" dxfId="428" priority="2306" operator="lessThan">
      <formula>0</formula>
    </cfRule>
  </conditionalFormatting>
  <conditionalFormatting sqref="L33">
    <cfRule type="expression" dxfId="427" priority="2307">
      <formula>IF(L$3=TODAY()-WEEKDAY(TODAY())+7,TRUE,FALSE)</formula>
    </cfRule>
  </conditionalFormatting>
  <conditionalFormatting sqref="L71">
    <cfRule type="expression" dxfId="426" priority="2298">
      <formula>IF(L$3=TODAY()-WEEKDAY(TODAY())+7,TRUE,FALSE)</formula>
    </cfRule>
  </conditionalFormatting>
  <conditionalFormatting sqref="L74">
    <cfRule type="expression" dxfId="425" priority="2297">
      <formula>IF(L$3=TODAY()-WEEKDAY(TODAY())+7,TRUE,FALSE)</formula>
    </cfRule>
  </conditionalFormatting>
  <conditionalFormatting sqref="L76">
    <cfRule type="expression" dxfId="424" priority="2296">
      <formula>IF(L$3=TODAY()-WEEKDAY(TODAY())+7,TRUE,FALSE)</formula>
    </cfRule>
  </conditionalFormatting>
  <conditionalFormatting sqref="L75">
    <cfRule type="expression" dxfId="423" priority="2295">
      <formula>IF(L$3=TODAY()-WEEKDAY(TODAY())+7,TRUE,FALSE)</formula>
    </cfRule>
  </conditionalFormatting>
  <conditionalFormatting sqref="L94">
    <cfRule type="expression" dxfId="422" priority="2291">
      <formula>IF(L$3=TODAY()-WEEKDAY(TODAY())+7,TRUE,FALSE)</formula>
    </cfRule>
  </conditionalFormatting>
  <conditionalFormatting sqref="L147">
    <cfRule type="expression" dxfId="421" priority="2286">
      <formula>IF(L$3=TODAY()-WEEKDAY(TODAY())+7,TRUE,FALSE)</formula>
    </cfRule>
  </conditionalFormatting>
  <conditionalFormatting sqref="L145">
    <cfRule type="expression" dxfId="420" priority="2288">
      <formula>IF(L$3=TODAY()-WEEKDAY(TODAY())+7,TRUE,FALSE)</formula>
    </cfRule>
  </conditionalFormatting>
  <conditionalFormatting sqref="L146">
    <cfRule type="expression" dxfId="419" priority="2287">
      <formula>IF(L$3=TODAY()-WEEKDAY(TODAY())+7,TRUE,FALSE)</formula>
    </cfRule>
  </conditionalFormatting>
  <conditionalFormatting sqref="L25">
    <cfRule type="expression" dxfId="418" priority="2269">
      <formula>IF(L$3=TODAY()-WEEKDAY(TODAY())+7,TRUE,FALSE)</formula>
    </cfRule>
  </conditionalFormatting>
  <conditionalFormatting sqref="L125">
    <cfRule type="expression" dxfId="417" priority="2268">
      <formula>IF(L$3=TODAY()-WEEKDAY(TODAY())+7,TRUE,FALSE)</formula>
    </cfRule>
  </conditionalFormatting>
  <conditionalFormatting sqref="L126">
    <cfRule type="expression" dxfId="416" priority="2267">
      <formula>IF(L$3=TODAY()-WEEKDAY(TODAY())+7,TRUE,FALSE)</formula>
    </cfRule>
  </conditionalFormatting>
  <conditionalFormatting sqref="L127:L131">
    <cfRule type="expression" dxfId="415" priority="2266">
      <formula>IF(L$3=TODAY()-WEEKDAY(TODAY())+7,TRUE,FALSE)</formula>
    </cfRule>
  </conditionalFormatting>
  <conditionalFormatting sqref="L2">
    <cfRule type="expression" dxfId="414" priority="2265">
      <formula>IF(L$3=TODAY()-WEEKDAY(TODAY())+7,TRUE,FALSE)</formula>
    </cfRule>
  </conditionalFormatting>
  <conditionalFormatting sqref="L123">
    <cfRule type="expression" dxfId="413" priority="2264">
      <formula>IF(L$3=TODAY()-WEEKDAY(TODAY())+7,TRUE,FALSE)</formula>
    </cfRule>
  </conditionalFormatting>
  <conditionalFormatting sqref="L78">
    <cfRule type="expression" dxfId="412" priority="2261">
      <formula>IF(L$3=TODAY()-WEEKDAY(TODAY())+7,TRUE,FALSE)</formula>
    </cfRule>
  </conditionalFormatting>
  <conditionalFormatting sqref="L35">
    <cfRule type="expression" dxfId="411" priority="2263">
      <formula>IF(L$3=TODAY()-WEEKDAY(TODAY())+7,TRUE,FALSE)</formula>
    </cfRule>
  </conditionalFormatting>
  <conditionalFormatting sqref="L56">
    <cfRule type="expression" dxfId="410" priority="2262">
      <formula>IF(L$3=TODAY()-WEEKDAY(TODAY())+7,TRUE,FALSE)</formula>
    </cfRule>
  </conditionalFormatting>
  <conditionalFormatting sqref="L99:L101 L122">
    <cfRule type="expression" dxfId="409" priority="2260">
      <formula>IF(L$3=TODAY()-WEEKDAY(TODAY())+7,TRUE,FALSE)</formula>
    </cfRule>
  </conditionalFormatting>
  <conditionalFormatting sqref="L119">
    <cfRule type="expression" dxfId="408" priority="2259">
      <formula>IF(L$3=TODAY()-WEEKDAY(TODAY())+7,TRUE,FALSE)</formula>
    </cfRule>
  </conditionalFormatting>
  <conditionalFormatting sqref="L120">
    <cfRule type="expression" dxfId="407" priority="2258">
      <formula>IF(L$3=TODAY()-WEEKDAY(TODAY())+7,TRUE,FALSE)</formula>
    </cfRule>
  </conditionalFormatting>
  <conditionalFormatting sqref="L116">
    <cfRule type="expression" dxfId="406" priority="2255">
      <formula>IF(L$3=TODAY()-WEEKDAY(TODAY())+7,TRUE,FALSE)</formula>
    </cfRule>
  </conditionalFormatting>
  <conditionalFormatting sqref="L102">
    <cfRule type="expression" dxfId="405" priority="2248">
      <formula>IF(L$3=TODAY()-WEEKDAY(TODAY())+7,TRUE,FALSE)</formula>
    </cfRule>
  </conditionalFormatting>
  <conditionalFormatting sqref="L102">
    <cfRule type="expression" dxfId="404" priority="2249">
      <formula>IF(L$3=TODAY()-WEEKDAY(TODAY())+7,TRUE,FALSE)</formula>
    </cfRule>
  </conditionalFormatting>
  <conditionalFormatting sqref="E28:K28 M28:BD28">
    <cfRule type="expression" dxfId="403" priority="2127">
      <formula>IF(E$3=TODAY()-WEEKDAY(TODAY())+7,TRUE,FALSE)</formula>
    </cfRule>
  </conditionalFormatting>
  <conditionalFormatting sqref="L28">
    <cfRule type="expression" dxfId="402" priority="2126">
      <formula>IF(L$3=TODAY()-WEEKDAY(TODAY())+7,TRUE,FALSE)</formula>
    </cfRule>
  </conditionalFormatting>
  <conditionalFormatting sqref="E3:K3 M3:BD3">
    <cfRule type="expression" dxfId="401" priority="101">
      <formula>IF(E$3=TODAY()-WEEKDAY(TODAY())+7,TRUE,FALSE)</formula>
    </cfRule>
  </conditionalFormatting>
  <conditionalFormatting sqref="E4:K4 M4:BD4">
    <cfRule type="expression" dxfId="400" priority="100">
      <formula>IF(E$3=TODAY()-WEEKDAY(TODAY())+7,TRUE,FALSE)</formula>
    </cfRule>
  </conditionalFormatting>
  <conditionalFormatting sqref="E5:K5 M5:BD5">
    <cfRule type="expression" dxfId="399" priority="99">
      <formula>IF(E$3=TODAY()-WEEKDAY(TODAY())+7,TRUE,FALSE)</formula>
    </cfRule>
  </conditionalFormatting>
  <conditionalFormatting sqref="E6:K6 M6:BD6">
    <cfRule type="expression" dxfId="398" priority="98">
      <formula>IF(E$3=TODAY()-WEEKDAY(TODAY())+7,TRUE,FALSE)</formula>
    </cfRule>
  </conditionalFormatting>
  <conditionalFormatting sqref="L3">
    <cfRule type="expression" dxfId="397" priority="97">
      <formula>IF(L$3=TODAY()-WEEKDAY(TODAY())+7,TRUE,FALSE)</formula>
    </cfRule>
  </conditionalFormatting>
  <conditionalFormatting sqref="L4">
    <cfRule type="expression" dxfId="396" priority="96">
      <formula>IF(L$3=TODAY()-WEEKDAY(TODAY())+7,TRUE,FALSE)</formula>
    </cfRule>
  </conditionalFormatting>
  <conditionalFormatting sqref="L5">
    <cfRule type="expression" dxfId="395" priority="95">
      <formula>IF(L$3=TODAY()-WEEKDAY(TODAY())+7,TRUE,FALSE)</formula>
    </cfRule>
  </conditionalFormatting>
  <conditionalFormatting sqref="L6">
    <cfRule type="expression" dxfId="394" priority="94">
      <formula>IF(L$3=TODAY()-WEEKDAY(TODAY())+7,TRUE,FALSE)</formula>
    </cfRule>
  </conditionalFormatting>
  <conditionalFormatting sqref="E10:BD16">
    <cfRule type="expression" dxfId="393" priority="93">
      <formula>IF(E$3=TODAY()-WEEKDAY(TODAY())+7,TRUE,FALSE)</formula>
    </cfRule>
  </conditionalFormatting>
  <conditionalFormatting sqref="E18:F24">
    <cfRule type="cellIs" dxfId="392" priority="91" operator="lessThan">
      <formula>0</formula>
    </cfRule>
  </conditionalFormatting>
  <conditionalFormatting sqref="E18:F24">
    <cfRule type="expression" dxfId="391" priority="92">
      <formula>IF(E$3=TODAY()-WEEKDAY(TODAY())+7,TRUE,FALSE)</formula>
    </cfRule>
  </conditionalFormatting>
  <conditionalFormatting sqref="G18:K24 M18:BD24">
    <cfRule type="cellIs" dxfId="390" priority="89" operator="lessThan">
      <formula>0</formula>
    </cfRule>
  </conditionalFormatting>
  <conditionalFormatting sqref="G18:K24 M18:BD24">
    <cfRule type="expression" dxfId="389" priority="90">
      <formula>IF(G$3=TODAY()-WEEKDAY(TODAY())+7,TRUE,FALSE)</formula>
    </cfRule>
  </conditionalFormatting>
  <conditionalFormatting sqref="L18:L24">
    <cfRule type="cellIs" dxfId="388" priority="87" operator="lessThan">
      <formula>0</formula>
    </cfRule>
  </conditionalFormatting>
  <conditionalFormatting sqref="L18:L24">
    <cfRule type="expression" dxfId="387" priority="88">
      <formula>IF(L$3=TODAY()-WEEKDAY(TODAY())+7,TRUE,FALSE)</formula>
    </cfRule>
  </conditionalFormatting>
  <conditionalFormatting sqref="E26:K26 M26:BD26">
    <cfRule type="expression" dxfId="386" priority="86">
      <formula>IF(E$3=TODAY()-WEEKDAY(TODAY())+7,TRUE,FALSE)</formula>
    </cfRule>
  </conditionalFormatting>
  <conditionalFormatting sqref="E27:K27 M27:BD27">
    <cfRule type="cellIs" dxfId="385" priority="84" operator="greaterThan">
      <formula>0</formula>
    </cfRule>
    <cfRule type="cellIs" dxfId="384" priority="85" operator="lessThan">
      <formula>0</formula>
    </cfRule>
  </conditionalFormatting>
  <conditionalFormatting sqref="L26">
    <cfRule type="expression" dxfId="383" priority="83">
      <formula>IF(L$3=TODAY()-WEEKDAY(TODAY())+7,TRUE,FALSE)</formula>
    </cfRule>
  </conditionalFormatting>
  <conditionalFormatting sqref="L27">
    <cfRule type="cellIs" dxfId="382" priority="81" operator="greaterThan">
      <formula>0</formula>
    </cfRule>
    <cfRule type="cellIs" dxfId="381" priority="82" operator="lessThan">
      <formula>0</formula>
    </cfRule>
  </conditionalFormatting>
  <conditionalFormatting sqref="E36:K36 M36:BD36">
    <cfRule type="expression" dxfId="380" priority="80">
      <formula>IF(E$3=TODAY()-WEEKDAY(TODAY())+7,TRUE,FALSE)</formula>
    </cfRule>
  </conditionalFormatting>
  <conditionalFormatting sqref="E37:K37 M37:BD37">
    <cfRule type="expression" dxfId="379" priority="79">
      <formula>IF(E$3=TODAY()-WEEKDAY(TODAY())+7,TRUE,FALSE)</formula>
    </cfRule>
  </conditionalFormatting>
  <conditionalFormatting sqref="E38:K38 M38:BD38">
    <cfRule type="expression" dxfId="378" priority="78">
      <formula>IF(E$3=TODAY()-WEEKDAY(TODAY())+7,TRUE,FALSE)</formula>
    </cfRule>
  </conditionalFormatting>
  <conditionalFormatting sqref="E39:K39 M39:BD39">
    <cfRule type="expression" dxfId="377" priority="77">
      <formula>IF(E$3=TODAY()-WEEKDAY(TODAY())+7,TRUE,FALSE)</formula>
    </cfRule>
  </conditionalFormatting>
  <conditionalFormatting sqref="L36">
    <cfRule type="expression" dxfId="376" priority="76">
      <formula>IF(L$3=TODAY()-WEEKDAY(TODAY())+7,TRUE,FALSE)</formula>
    </cfRule>
  </conditionalFormatting>
  <conditionalFormatting sqref="L37">
    <cfRule type="expression" dxfId="375" priority="75">
      <formula>IF(L$3=TODAY()-WEEKDAY(TODAY())+7,TRUE,FALSE)</formula>
    </cfRule>
  </conditionalFormatting>
  <conditionalFormatting sqref="L38">
    <cfRule type="expression" dxfId="374" priority="74">
      <formula>IF(L$3=TODAY()-WEEKDAY(TODAY())+7,TRUE,FALSE)</formula>
    </cfRule>
  </conditionalFormatting>
  <conditionalFormatting sqref="L39">
    <cfRule type="expression" dxfId="373" priority="73">
      <formula>IF(L$3=TODAY()-WEEKDAY(TODAY())+7,TRUE,FALSE)</formula>
    </cfRule>
  </conditionalFormatting>
  <conditionalFormatting sqref="E42:K48 M42:BD48">
    <cfRule type="cellIs" dxfId="372" priority="71" operator="lessThan">
      <formula>0</formula>
    </cfRule>
  </conditionalFormatting>
  <conditionalFormatting sqref="E42:K48 M42:BD48">
    <cfRule type="expression" dxfId="371" priority="72">
      <formula>IF(E$3=TODAY()-WEEKDAY(TODAY())+7,TRUE,FALSE)</formula>
    </cfRule>
  </conditionalFormatting>
  <conditionalFormatting sqref="L42:L48">
    <cfRule type="cellIs" dxfId="370" priority="69" operator="lessThan">
      <formula>0</formula>
    </cfRule>
  </conditionalFormatting>
  <conditionalFormatting sqref="L42:L48">
    <cfRule type="expression" dxfId="369" priority="70">
      <formula>IF(L$3=TODAY()-WEEKDAY(TODAY())+7,TRUE,FALSE)</formula>
    </cfRule>
  </conditionalFormatting>
  <conditionalFormatting sqref="E52:BD52">
    <cfRule type="expression" dxfId="368" priority="68">
      <formula>IF(E$3=TODAY()-WEEKDAY(TODAY())+7,TRUE,FALSE)</formula>
    </cfRule>
  </conditionalFormatting>
  <conditionalFormatting sqref="E50:K50 M50:BD50">
    <cfRule type="expression" dxfId="367" priority="67">
      <formula>IF(E$3=TODAY()-WEEKDAY(TODAY())+7,TRUE,FALSE)</formula>
    </cfRule>
  </conditionalFormatting>
  <conditionalFormatting sqref="E51:K51 M51:BD51">
    <cfRule type="cellIs" dxfId="366" priority="65" operator="greaterThan">
      <formula>0</formula>
    </cfRule>
    <cfRule type="cellIs" dxfId="365" priority="66" operator="lessThan">
      <formula>0</formula>
    </cfRule>
  </conditionalFormatting>
  <conditionalFormatting sqref="L52">
    <cfRule type="expression" dxfId="364" priority="64">
      <formula>IF(L$3=TODAY()-WEEKDAY(TODAY())+7,TRUE,FALSE)</formula>
    </cfRule>
  </conditionalFormatting>
  <conditionalFormatting sqref="L50">
    <cfRule type="expression" dxfId="363" priority="63">
      <formula>IF(L$3=TODAY()-WEEKDAY(TODAY())+7,TRUE,FALSE)</formula>
    </cfRule>
  </conditionalFormatting>
  <conditionalFormatting sqref="L51">
    <cfRule type="cellIs" dxfId="362" priority="61" operator="greaterThan">
      <formula>0</formula>
    </cfRule>
    <cfRule type="cellIs" dxfId="361" priority="62" operator="lessThan">
      <formula>0</formula>
    </cfRule>
  </conditionalFormatting>
  <conditionalFormatting sqref="E61:K61 M61:BD61">
    <cfRule type="expression" dxfId="360" priority="60">
      <formula>IF(E$3=TODAY()-WEEKDAY(TODAY())+7,TRUE,FALSE)</formula>
    </cfRule>
  </conditionalFormatting>
  <conditionalFormatting sqref="E57:K57 M57:BD57">
    <cfRule type="expression" dxfId="359" priority="59">
      <formula>IF(E$3=TODAY()-WEEKDAY(TODAY())+7,TRUE,FALSE)</formula>
    </cfRule>
  </conditionalFormatting>
  <conditionalFormatting sqref="E58:K58 M58:BD58">
    <cfRule type="expression" dxfId="358" priority="58">
      <formula>IF(E$3=TODAY()-WEEKDAY(TODAY())+7,TRUE,FALSE)</formula>
    </cfRule>
  </conditionalFormatting>
  <conditionalFormatting sqref="E59:K59 M59:BD59">
    <cfRule type="expression" dxfId="357" priority="57">
      <formula>IF(E$3=TODAY()-WEEKDAY(TODAY())+7,TRUE,FALSE)</formula>
    </cfRule>
  </conditionalFormatting>
  <conditionalFormatting sqref="E60:K60 M60:BD60">
    <cfRule type="expression" dxfId="356" priority="56">
      <formula>IF(E$3=TODAY()-WEEKDAY(TODAY())+7,TRUE,FALSE)</formula>
    </cfRule>
  </conditionalFormatting>
  <conditionalFormatting sqref="L61">
    <cfRule type="expression" dxfId="355" priority="55">
      <formula>IF(L$3=TODAY()-WEEKDAY(TODAY())+7,TRUE,FALSE)</formula>
    </cfRule>
  </conditionalFormatting>
  <conditionalFormatting sqref="L57">
    <cfRule type="expression" dxfId="354" priority="54">
      <formula>IF(L$3=TODAY()-WEEKDAY(TODAY())+7,TRUE,FALSE)</formula>
    </cfRule>
  </conditionalFormatting>
  <conditionalFormatting sqref="L58">
    <cfRule type="expression" dxfId="353" priority="53">
      <formula>IF(L$3=TODAY()-WEEKDAY(TODAY())+7,TRUE,FALSE)</formula>
    </cfRule>
  </conditionalFormatting>
  <conditionalFormatting sqref="L59">
    <cfRule type="expression" dxfId="352" priority="52">
      <formula>IF(L$3=TODAY()-WEEKDAY(TODAY())+7,TRUE,FALSE)</formula>
    </cfRule>
  </conditionalFormatting>
  <conditionalFormatting sqref="L60">
    <cfRule type="expression" dxfId="351" priority="51">
      <formula>IF(L$3=TODAY()-WEEKDAY(TODAY())+7,TRUE,FALSE)</formula>
    </cfRule>
  </conditionalFormatting>
  <conditionalFormatting sqref="E64:K70 M64:BD70">
    <cfRule type="cellIs" dxfId="350" priority="49" operator="lessThan">
      <formula>0</formula>
    </cfRule>
  </conditionalFormatting>
  <conditionalFormatting sqref="E64:K70 M64:BD70">
    <cfRule type="expression" dxfId="349" priority="50">
      <formula>IF(E$3=TODAY()-WEEKDAY(TODAY())+7,TRUE,FALSE)</formula>
    </cfRule>
  </conditionalFormatting>
  <conditionalFormatting sqref="L64:L70">
    <cfRule type="cellIs" dxfId="348" priority="47" operator="lessThan">
      <formula>0</formula>
    </cfRule>
  </conditionalFormatting>
  <conditionalFormatting sqref="L64:L70">
    <cfRule type="expression" dxfId="347" priority="48">
      <formula>IF(L$3=TODAY()-WEEKDAY(TODAY())+7,TRUE,FALSE)</formula>
    </cfRule>
  </conditionalFormatting>
  <conditionalFormatting sqref="E72:K72 M72:BD72">
    <cfRule type="expression" dxfId="346" priority="46">
      <formula>IF(E$3=TODAY()-WEEKDAY(TODAY())+7,TRUE,FALSE)</formula>
    </cfRule>
  </conditionalFormatting>
  <conditionalFormatting sqref="E73:K73 M73:BD73">
    <cfRule type="cellIs" dxfId="345" priority="44" operator="greaterThan">
      <formula>0</formula>
    </cfRule>
    <cfRule type="cellIs" dxfId="344" priority="45" operator="lessThan">
      <formula>0</formula>
    </cfRule>
  </conditionalFormatting>
  <conditionalFormatting sqref="L72">
    <cfRule type="expression" dxfId="343" priority="43">
      <formula>IF(L$3=TODAY()-WEEKDAY(TODAY())+7,TRUE,FALSE)</formula>
    </cfRule>
  </conditionalFormatting>
  <conditionalFormatting sqref="L73">
    <cfRule type="cellIs" dxfId="342" priority="41" operator="greaterThan">
      <formula>0</formula>
    </cfRule>
    <cfRule type="cellIs" dxfId="341" priority="42" operator="lessThan">
      <formula>0</formula>
    </cfRule>
  </conditionalFormatting>
  <conditionalFormatting sqref="E83:K84 M83:BD84">
    <cfRule type="expression" dxfId="340" priority="40">
      <formula>IF(E$3=TODAY()-WEEKDAY(TODAY())+7,TRUE,FALSE)</formula>
    </cfRule>
  </conditionalFormatting>
  <conditionalFormatting sqref="E79:K79 M79:BD79">
    <cfRule type="expression" dxfId="339" priority="39">
      <formula>IF(E$3=TODAY()-WEEKDAY(TODAY())+7,TRUE,FALSE)</formula>
    </cfRule>
  </conditionalFormatting>
  <conditionalFormatting sqref="E80:K80 M80:BD80">
    <cfRule type="expression" dxfId="338" priority="38">
      <formula>IF(E$3=TODAY()-WEEKDAY(TODAY())+7,TRUE,FALSE)</formula>
    </cfRule>
  </conditionalFormatting>
  <conditionalFormatting sqref="E81:K81 M81:BD81">
    <cfRule type="expression" dxfId="337" priority="37">
      <formula>IF(E$3=TODAY()-WEEKDAY(TODAY())+7,TRUE,FALSE)</formula>
    </cfRule>
  </conditionalFormatting>
  <conditionalFormatting sqref="E82:K82 M82:BD82">
    <cfRule type="expression" dxfId="336" priority="36">
      <formula>IF(E$3=TODAY()-WEEKDAY(TODAY())+7,TRUE,FALSE)</formula>
    </cfRule>
  </conditionalFormatting>
  <conditionalFormatting sqref="L83:L84">
    <cfRule type="expression" dxfId="335" priority="35">
      <formula>IF(L$3=TODAY()-WEEKDAY(TODAY())+7,TRUE,FALSE)</formula>
    </cfRule>
  </conditionalFormatting>
  <conditionalFormatting sqref="L79">
    <cfRule type="expression" dxfId="334" priority="34">
      <formula>IF(L$3=TODAY()-WEEKDAY(TODAY())+7,TRUE,FALSE)</formula>
    </cfRule>
  </conditionalFormatting>
  <conditionalFormatting sqref="L80">
    <cfRule type="expression" dxfId="333" priority="33">
      <formula>IF(L$3=TODAY()-WEEKDAY(TODAY())+7,TRUE,FALSE)</formula>
    </cfRule>
  </conditionalFormatting>
  <conditionalFormatting sqref="L81">
    <cfRule type="expression" dxfId="332" priority="32">
      <formula>IF(L$3=TODAY()-WEEKDAY(TODAY())+7,TRUE,FALSE)</formula>
    </cfRule>
  </conditionalFormatting>
  <conditionalFormatting sqref="L82">
    <cfRule type="expression" dxfId="331" priority="31">
      <formula>IF(L$3=TODAY()-WEEKDAY(TODAY())+7,TRUE,FALSE)</formula>
    </cfRule>
  </conditionalFormatting>
  <conditionalFormatting sqref="E87:K93 M87:BD93">
    <cfRule type="cellIs" dxfId="330" priority="29" operator="lessThan">
      <formula>0</formula>
    </cfRule>
  </conditionalFormatting>
  <conditionalFormatting sqref="E87:K93 M87:BD93">
    <cfRule type="expression" dxfId="329" priority="30">
      <formula>IF(E$3=TODAY()-WEEKDAY(TODAY())+7,TRUE,FALSE)</formula>
    </cfRule>
  </conditionalFormatting>
  <conditionalFormatting sqref="L87:L93">
    <cfRule type="cellIs" dxfId="328" priority="27" operator="lessThan">
      <formula>0</formula>
    </cfRule>
  </conditionalFormatting>
  <conditionalFormatting sqref="L87:L93">
    <cfRule type="expression" dxfId="327" priority="28">
      <formula>IF(L$3=TODAY()-WEEKDAY(TODAY())+7,TRUE,FALSE)</formula>
    </cfRule>
  </conditionalFormatting>
  <conditionalFormatting sqref="E95:K95 M95:BD95">
    <cfRule type="expression" dxfId="326" priority="26">
      <formula>IF(E$3=TODAY()-WEEKDAY(TODAY())+7,TRUE,FALSE)</formula>
    </cfRule>
  </conditionalFormatting>
  <conditionalFormatting sqref="E96:K96 M96:BD96">
    <cfRule type="cellIs" dxfId="325" priority="24" operator="greaterThan">
      <formula>0</formula>
    </cfRule>
    <cfRule type="cellIs" dxfId="324" priority="25" operator="lessThan">
      <formula>0</formula>
    </cfRule>
  </conditionalFormatting>
  <conditionalFormatting sqref="L95">
    <cfRule type="expression" dxfId="323" priority="23">
      <formula>IF(L$3=TODAY()-WEEKDAY(TODAY())+7,TRUE,FALSE)</formula>
    </cfRule>
  </conditionalFormatting>
  <conditionalFormatting sqref="L96">
    <cfRule type="cellIs" dxfId="322" priority="21" operator="greaterThan">
      <formula>0</formula>
    </cfRule>
    <cfRule type="cellIs" dxfId="321" priority="22" operator="lessThan">
      <formula>0</formula>
    </cfRule>
  </conditionalFormatting>
  <conditionalFormatting sqref="E103:K103 M103:BD103">
    <cfRule type="expression" dxfId="320" priority="20">
      <formula>IF(E$3=TODAY()-WEEKDAY(TODAY())+7,TRUE,FALSE)</formula>
    </cfRule>
  </conditionalFormatting>
  <conditionalFormatting sqref="E104:K104 M104:BD104">
    <cfRule type="expression" dxfId="319" priority="19">
      <formula>IF(E$3=TODAY()-WEEKDAY(TODAY())+7,TRUE,FALSE)</formula>
    </cfRule>
  </conditionalFormatting>
  <conditionalFormatting sqref="E105:K105 M105:BD105">
    <cfRule type="expression" dxfId="318" priority="18">
      <formula>IF(E$3=TODAY()-WEEKDAY(TODAY())+7,TRUE,FALSE)</formula>
    </cfRule>
  </conditionalFormatting>
  <conditionalFormatting sqref="E106:K106 M106:BD106">
    <cfRule type="expression" dxfId="317" priority="17">
      <formula>IF(E$3=TODAY()-WEEKDAY(TODAY())+7,TRUE,FALSE)</formula>
    </cfRule>
  </conditionalFormatting>
  <conditionalFormatting sqref="L103">
    <cfRule type="expression" dxfId="316" priority="16">
      <formula>IF(L$3=TODAY()-WEEKDAY(TODAY())+7,TRUE,FALSE)</formula>
    </cfRule>
  </conditionalFormatting>
  <conditionalFormatting sqref="L104">
    <cfRule type="expression" dxfId="315" priority="15">
      <formula>IF(L$3=TODAY()-WEEKDAY(TODAY())+7,TRUE,FALSE)</formula>
    </cfRule>
  </conditionalFormatting>
  <conditionalFormatting sqref="L105">
    <cfRule type="expression" dxfId="314" priority="14">
      <formula>IF(L$3=TODAY()-WEEKDAY(TODAY())+7,TRUE,FALSE)</formula>
    </cfRule>
  </conditionalFormatting>
  <conditionalFormatting sqref="L106">
    <cfRule type="expression" dxfId="313" priority="13">
      <formula>IF(L$3=TODAY()-WEEKDAY(TODAY())+7,TRUE,FALSE)</formula>
    </cfRule>
  </conditionalFormatting>
  <conditionalFormatting sqref="E109:K115 M109:BD115">
    <cfRule type="cellIs" dxfId="312" priority="11" operator="lessThan">
      <formula>0</formula>
    </cfRule>
  </conditionalFormatting>
  <conditionalFormatting sqref="E109:K115 M109:BD115">
    <cfRule type="expression" dxfId="311" priority="12">
      <formula>IF(E$3=TODAY()-WEEKDAY(TODAY())+7,TRUE,FALSE)</formula>
    </cfRule>
  </conditionalFormatting>
  <conditionalFormatting sqref="L109:L115">
    <cfRule type="cellIs" dxfId="310" priority="9" operator="lessThan">
      <formula>0</formula>
    </cfRule>
  </conditionalFormatting>
  <conditionalFormatting sqref="L109:L115">
    <cfRule type="expression" dxfId="309" priority="10">
      <formula>IF(L$3=TODAY()-WEEKDAY(TODAY())+7,TRUE,FALSE)</formula>
    </cfRule>
  </conditionalFormatting>
  <conditionalFormatting sqref="E117:K117 M117:BD117">
    <cfRule type="expression" dxfId="308" priority="8">
      <formula>IF(E$3=TODAY()-WEEKDAY(TODAY())+7,TRUE,FALSE)</formula>
    </cfRule>
  </conditionalFormatting>
  <conditionalFormatting sqref="E118:K118 M118:BD118">
    <cfRule type="cellIs" dxfId="307" priority="6" operator="greaterThan">
      <formula>0</formula>
    </cfRule>
    <cfRule type="cellIs" dxfId="306" priority="7" operator="lessThan">
      <formula>0</formula>
    </cfRule>
  </conditionalFormatting>
  <conditionalFormatting sqref="L117">
    <cfRule type="expression" dxfId="305" priority="5">
      <formula>IF(L$3=TODAY()-WEEKDAY(TODAY())+7,TRUE,FALSE)</formula>
    </cfRule>
  </conditionalFormatting>
  <conditionalFormatting sqref="L118">
    <cfRule type="cellIs" dxfId="304" priority="3" operator="greaterThan">
      <formula>0</formula>
    </cfRule>
    <cfRule type="cellIs" dxfId="303" priority="4" operator="lessThan">
      <formula>0</formula>
    </cfRule>
  </conditionalFormatting>
  <conditionalFormatting sqref="E144:K144 M144:BD144">
    <cfRule type="expression" dxfId="302" priority="2">
      <formula>IF(E$3=TODAY()-WEEKDAY(TODAY())+7,TRUE,FALSE)</formula>
    </cfRule>
  </conditionalFormatting>
  <conditionalFormatting sqref="L144">
    <cfRule type="expression" dxfId="301" priority="1">
      <formula>IF(L$3=TODAY()-WEEKDAY(TODAY())+7,TRUE,FALSE)</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16DB2-E971-4F9D-98B2-F6D6EE60404A}">
  <sheetPr codeName="Sheet5"/>
  <dimension ref="C2:BD135"/>
  <sheetViews>
    <sheetView showGridLines="0" zoomScaleNormal="100" workbookViewId="0">
      <pane xSplit="4" ySplit="2" topLeftCell="M120" activePane="bottomRight" state="frozen"/>
      <selection pane="topRight" activeCell="E1" sqref="E1"/>
      <selection pane="bottomLeft" activeCell="A3" sqref="A3"/>
      <selection pane="bottomRight" activeCell="Z124" sqref="Z124"/>
    </sheetView>
  </sheetViews>
  <sheetFormatPr defaultRowHeight="15" x14ac:dyDescent="0.25"/>
  <cols>
    <col min="1" max="1" width="9.140625" style="41"/>
    <col min="2" max="2" width="11.85546875" style="41" customWidth="1"/>
    <col min="3" max="3" width="26.7109375" style="41" customWidth="1"/>
    <col min="4" max="4" width="23.7109375" style="41" bestFit="1" customWidth="1"/>
    <col min="5" max="7" width="8.7109375" style="43" hidden="1" customWidth="1"/>
    <col min="8" max="23" width="8.7109375" style="41" hidden="1" customWidth="1"/>
    <col min="24" max="56" width="8.7109375" style="41" bestFit="1" customWidth="1"/>
    <col min="57" max="16384" width="9.140625" style="41"/>
  </cols>
  <sheetData>
    <row r="2" spans="3:56" ht="26.25" x14ac:dyDescent="0.4">
      <c r="D2" s="47" t="s">
        <v>32</v>
      </c>
      <c r="E2" s="82">
        <v>44569</v>
      </c>
      <c r="F2" s="82">
        <f>E2+7</f>
        <v>44576</v>
      </c>
      <c r="G2" s="82">
        <f t="shared" ref="G2:BD2" si="0">F2+7</f>
        <v>44583</v>
      </c>
      <c r="H2" s="82">
        <f t="shared" si="0"/>
        <v>44590</v>
      </c>
      <c r="I2" s="82">
        <f t="shared" si="0"/>
        <v>44597</v>
      </c>
      <c r="J2" s="82">
        <f t="shared" si="0"/>
        <v>44604</v>
      </c>
      <c r="K2" s="82">
        <f t="shared" si="0"/>
        <v>44611</v>
      </c>
      <c r="L2" s="82">
        <f t="shared" si="0"/>
        <v>44618</v>
      </c>
      <c r="M2" s="82">
        <f t="shared" si="0"/>
        <v>44625</v>
      </c>
      <c r="N2" s="82">
        <f t="shared" si="0"/>
        <v>44632</v>
      </c>
      <c r="O2" s="82">
        <f t="shared" si="0"/>
        <v>44639</v>
      </c>
      <c r="P2" s="82">
        <f t="shared" si="0"/>
        <v>44646</v>
      </c>
      <c r="Q2" s="82">
        <f t="shared" si="0"/>
        <v>44653</v>
      </c>
      <c r="R2" s="82">
        <f t="shared" si="0"/>
        <v>44660</v>
      </c>
      <c r="S2" s="82">
        <f t="shared" si="0"/>
        <v>44667</v>
      </c>
      <c r="T2" s="82">
        <f t="shared" si="0"/>
        <v>44674</v>
      </c>
      <c r="U2" s="82">
        <f t="shared" si="0"/>
        <v>44681</v>
      </c>
      <c r="V2" s="82">
        <f t="shared" si="0"/>
        <v>44688</v>
      </c>
      <c r="W2" s="82">
        <f t="shared" si="0"/>
        <v>44695</v>
      </c>
      <c r="X2" s="82">
        <f t="shared" si="0"/>
        <v>44702</v>
      </c>
      <c r="Y2" s="82">
        <f t="shared" si="0"/>
        <v>44709</v>
      </c>
      <c r="Z2" s="82">
        <f t="shared" si="0"/>
        <v>44716</v>
      </c>
      <c r="AA2" s="82">
        <f t="shared" si="0"/>
        <v>44723</v>
      </c>
      <c r="AB2" s="82">
        <f t="shared" si="0"/>
        <v>44730</v>
      </c>
      <c r="AC2" s="82">
        <f t="shared" si="0"/>
        <v>44737</v>
      </c>
      <c r="AD2" s="82">
        <f t="shared" si="0"/>
        <v>44744</v>
      </c>
      <c r="AE2" s="82">
        <f t="shared" si="0"/>
        <v>44751</v>
      </c>
      <c r="AF2" s="82">
        <f t="shared" si="0"/>
        <v>44758</v>
      </c>
      <c r="AG2" s="82">
        <f t="shared" si="0"/>
        <v>44765</v>
      </c>
      <c r="AH2" s="82">
        <f t="shared" si="0"/>
        <v>44772</v>
      </c>
      <c r="AI2" s="82">
        <f t="shared" si="0"/>
        <v>44779</v>
      </c>
      <c r="AJ2" s="82">
        <f t="shared" si="0"/>
        <v>44786</v>
      </c>
      <c r="AK2" s="82">
        <f t="shared" si="0"/>
        <v>44793</v>
      </c>
      <c r="AL2" s="82">
        <f t="shared" si="0"/>
        <v>44800</v>
      </c>
      <c r="AM2" s="82">
        <f t="shared" si="0"/>
        <v>44807</v>
      </c>
      <c r="AN2" s="82">
        <f t="shared" si="0"/>
        <v>44814</v>
      </c>
      <c r="AO2" s="82">
        <f t="shared" si="0"/>
        <v>44821</v>
      </c>
      <c r="AP2" s="82">
        <f t="shared" si="0"/>
        <v>44828</v>
      </c>
      <c r="AQ2" s="82">
        <f t="shared" si="0"/>
        <v>44835</v>
      </c>
      <c r="AR2" s="82">
        <f t="shared" si="0"/>
        <v>44842</v>
      </c>
      <c r="AS2" s="82">
        <f t="shared" si="0"/>
        <v>44849</v>
      </c>
      <c r="AT2" s="82">
        <f t="shared" si="0"/>
        <v>44856</v>
      </c>
      <c r="AU2" s="82">
        <f t="shared" si="0"/>
        <v>44863</v>
      </c>
      <c r="AV2" s="82">
        <f t="shared" si="0"/>
        <v>44870</v>
      </c>
      <c r="AW2" s="82">
        <f t="shared" si="0"/>
        <v>44877</v>
      </c>
      <c r="AX2" s="82">
        <f t="shared" si="0"/>
        <v>44884</v>
      </c>
      <c r="AY2" s="82">
        <f t="shared" si="0"/>
        <v>44891</v>
      </c>
      <c r="AZ2" s="82">
        <f t="shared" si="0"/>
        <v>44898</v>
      </c>
      <c r="BA2" s="82">
        <f t="shared" si="0"/>
        <v>44905</v>
      </c>
      <c r="BB2" s="82">
        <f t="shared" si="0"/>
        <v>44912</v>
      </c>
      <c r="BC2" s="82">
        <f t="shared" si="0"/>
        <v>44919</v>
      </c>
      <c r="BD2" s="82">
        <f t="shared" si="0"/>
        <v>44926</v>
      </c>
    </row>
    <row r="3" spans="3:56" x14ac:dyDescent="0.25">
      <c r="C3" s="104" t="s">
        <v>18</v>
      </c>
      <c r="D3" s="41" t="s">
        <v>21</v>
      </c>
      <c r="E3" s="70">
        <v>7310</v>
      </c>
      <c r="F3" s="70">
        <v>5584</v>
      </c>
      <c r="G3" s="70">
        <v>4598</v>
      </c>
      <c r="H3" s="70">
        <v>4360</v>
      </c>
      <c r="I3" s="70">
        <v>4229</v>
      </c>
      <c r="J3" s="70">
        <v>3755</v>
      </c>
      <c r="K3" s="70">
        <v>3235</v>
      </c>
      <c r="L3" s="70">
        <v>3166.2400000000002</v>
      </c>
      <c r="M3" s="70">
        <v>3253.8</v>
      </c>
      <c r="N3" s="70">
        <v>3889.6</v>
      </c>
      <c r="O3" s="70">
        <v>4336.2</v>
      </c>
      <c r="P3" s="70">
        <v>4198.92</v>
      </c>
      <c r="Q3" s="70">
        <v>3257.32</v>
      </c>
      <c r="R3" s="70">
        <v>3394.2919999999999</v>
      </c>
      <c r="S3" s="70">
        <v>3553.1319999999996</v>
      </c>
      <c r="T3" s="70">
        <v>3417.04</v>
      </c>
      <c r="U3" s="70">
        <v>3696</v>
      </c>
      <c r="V3" s="70">
        <v>4117.5200000000004</v>
      </c>
      <c r="W3" s="70">
        <v>4049.76</v>
      </c>
      <c r="X3" s="70">
        <v>3975.4</v>
      </c>
      <c r="Y3" s="70">
        <v>3583.36</v>
      </c>
      <c r="Z3" s="70">
        <v>3338.72</v>
      </c>
      <c r="AA3" s="70">
        <v>4136.4399999999996</v>
      </c>
      <c r="AB3" s="70">
        <v>3903.2400000000002</v>
      </c>
      <c r="AC3" s="70">
        <v>3689.84</v>
      </c>
      <c r="AD3" s="70">
        <v>3180.32</v>
      </c>
      <c r="AE3" s="70">
        <v>2773.32</v>
      </c>
      <c r="AF3" s="70">
        <v>3103.76</v>
      </c>
      <c r="AG3" s="70">
        <v>2788.28</v>
      </c>
      <c r="AH3" s="70">
        <v>3319.36</v>
      </c>
      <c r="AI3" s="70">
        <v>3427.16</v>
      </c>
      <c r="AJ3" s="70">
        <v>3854.4</v>
      </c>
      <c r="AK3" s="70">
        <v>4026.44</v>
      </c>
      <c r="AL3" s="70">
        <v>3982</v>
      </c>
      <c r="AM3" s="70">
        <v>3626.6467842673364</v>
      </c>
      <c r="AN3" s="70">
        <v>3208.2930192466015</v>
      </c>
      <c r="AO3" s="70">
        <v>3266.3232283980296</v>
      </c>
      <c r="AP3" s="70">
        <v>3423.1475609185236</v>
      </c>
      <c r="AQ3" s="70">
        <v>3724.3523920040138</v>
      </c>
      <c r="AR3" s="70">
        <v>3467.763681949923</v>
      </c>
      <c r="AS3" s="70">
        <v>3661.5329981831833</v>
      </c>
      <c r="AT3" s="70">
        <v>3774.5962434909238</v>
      </c>
      <c r="AU3" s="70">
        <v>4001.2253856921138</v>
      </c>
      <c r="AV3" s="70">
        <v>4628.8696646771714</v>
      </c>
      <c r="AW3" s="70">
        <v>4949.0113552308258</v>
      </c>
      <c r="AX3" s="70">
        <v>4853.2550540907441</v>
      </c>
      <c r="AY3" s="70">
        <v>11556.745080079259</v>
      </c>
      <c r="AZ3" s="70">
        <v>16132.632101882715</v>
      </c>
      <c r="BA3" s="70">
        <v>14006.211439865983</v>
      </c>
      <c r="BB3" s="70">
        <v>11644.025167529051</v>
      </c>
      <c r="BC3" s="70">
        <v>6561.9700220661753</v>
      </c>
      <c r="BD3" s="70">
        <v>5904.1603765476184</v>
      </c>
    </row>
    <row r="4" spans="3:56" x14ac:dyDescent="0.25">
      <c r="C4" s="104"/>
      <c r="D4" s="41" t="s">
        <v>22</v>
      </c>
      <c r="E4" s="70">
        <v>620</v>
      </c>
      <c r="F4" s="70">
        <v>620</v>
      </c>
      <c r="G4" s="70">
        <v>620</v>
      </c>
      <c r="H4" s="70">
        <v>600</v>
      </c>
      <c r="I4" s="70">
        <v>600</v>
      </c>
      <c r="J4" s="70">
        <v>600</v>
      </c>
      <c r="K4" s="70">
        <v>585</v>
      </c>
      <c r="L4" s="70">
        <v>585</v>
      </c>
      <c r="M4" s="70">
        <v>585</v>
      </c>
      <c r="N4" s="70">
        <v>585</v>
      </c>
      <c r="O4" s="70">
        <v>585</v>
      </c>
      <c r="P4" s="70">
        <v>585</v>
      </c>
      <c r="Q4" s="70">
        <v>575</v>
      </c>
      <c r="R4" s="70">
        <v>575</v>
      </c>
      <c r="S4" s="70">
        <v>575</v>
      </c>
      <c r="T4" s="70">
        <v>570</v>
      </c>
      <c r="U4" s="70">
        <v>570</v>
      </c>
      <c r="V4" s="70">
        <v>570</v>
      </c>
      <c r="W4" s="70">
        <v>575</v>
      </c>
      <c r="X4" s="70">
        <v>575</v>
      </c>
      <c r="Y4" s="70">
        <v>575</v>
      </c>
      <c r="Z4" s="70">
        <v>560</v>
      </c>
      <c r="AA4" s="70">
        <v>560</v>
      </c>
      <c r="AB4" s="70">
        <v>560</v>
      </c>
      <c r="AC4" s="70">
        <v>560</v>
      </c>
      <c r="AD4" s="70">
        <v>560</v>
      </c>
      <c r="AE4" s="70">
        <v>560</v>
      </c>
      <c r="AF4" s="70">
        <v>560</v>
      </c>
      <c r="AG4" s="70">
        <v>560</v>
      </c>
      <c r="AH4" s="70">
        <v>585</v>
      </c>
      <c r="AI4" s="70">
        <v>585</v>
      </c>
      <c r="AJ4" s="70">
        <v>585</v>
      </c>
      <c r="AK4" s="70">
        <v>570</v>
      </c>
      <c r="AL4" s="70">
        <v>570</v>
      </c>
      <c r="AM4" s="70">
        <v>560</v>
      </c>
      <c r="AN4" s="70">
        <v>560</v>
      </c>
      <c r="AO4" s="70">
        <v>560</v>
      </c>
      <c r="AP4" s="70">
        <v>565</v>
      </c>
      <c r="AQ4" s="70">
        <v>565</v>
      </c>
      <c r="AR4" s="70">
        <v>565</v>
      </c>
      <c r="AS4" s="70">
        <v>565</v>
      </c>
      <c r="AT4" s="70">
        <v>565</v>
      </c>
      <c r="AU4" s="70">
        <v>585</v>
      </c>
      <c r="AV4" s="70">
        <v>605</v>
      </c>
      <c r="AW4" s="70">
        <v>605</v>
      </c>
      <c r="AX4" s="70">
        <v>605</v>
      </c>
      <c r="AY4" s="70">
        <v>605</v>
      </c>
      <c r="AZ4" s="70">
        <v>595</v>
      </c>
      <c r="BA4" s="70">
        <v>580</v>
      </c>
      <c r="BB4" s="70">
        <v>580</v>
      </c>
      <c r="BC4" s="70">
        <v>570</v>
      </c>
      <c r="BD4" s="70">
        <v>570</v>
      </c>
    </row>
    <row r="5" spans="3:56" x14ac:dyDescent="0.25">
      <c r="C5" s="104"/>
      <c r="D5" s="41" t="s">
        <v>30</v>
      </c>
      <c r="E5" s="68">
        <v>0.76382845640182495</v>
      </c>
      <c r="F5" s="68">
        <v>0.73306530714035034</v>
      </c>
      <c r="G5" s="68">
        <v>0.7095942497253418</v>
      </c>
      <c r="H5" s="68">
        <v>0.70140761137008667</v>
      </c>
      <c r="I5" s="68">
        <v>0.69543033838272095</v>
      </c>
      <c r="J5" s="68">
        <v>0.68068152666091919</v>
      </c>
      <c r="K5" s="68">
        <v>0.65633469820022583</v>
      </c>
      <c r="L5" s="68">
        <v>0.65316677093505859</v>
      </c>
      <c r="M5" s="68">
        <v>0.65733087062835693</v>
      </c>
      <c r="N5" s="68">
        <v>0.68308496475219727</v>
      </c>
      <c r="O5" s="68">
        <v>0.6957668662071228</v>
      </c>
      <c r="P5" s="68">
        <v>0.69175106287002563</v>
      </c>
      <c r="Q5" s="68">
        <v>0.65495955944061279</v>
      </c>
      <c r="R5" s="68">
        <v>0.66249483823776245</v>
      </c>
      <c r="S5" s="68">
        <v>0.67240256071090698</v>
      </c>
      <c r="T5" s="68">
        <v>0.66217225790023804</v>
      </c>
      <c r="U5" s="68">
        <v>0.67276650667190552</v>
      </c>
      <c r="V5" s="68">
        <v>0.69087022542953491</v>
      </c>
      <c r="W5" s="68">
        <v>0.68872976303100586</v>
      </c>
      <c r="X5" s="68">
        <v>0.68432432413101196</v>
      </c>
      <c r="Y5" s="68">
        <v>0.6721729040145874</v>
      </c>
      <c r="Z5" s="68">
        <v>0.65511399507522583</v>
      </c>
      <c r="AA5" s="68">
        <v>0.68777942657470703</v>
      </c>
      <c r="AB5" s="68">
        <v>0.6765826940536499</v>
      </c>
      <c r="AC5" s="68">
        <v>0.67269492149353027</v>
      </c>
      <c r="AD5" s="68">
        <v>0.65061664581298828</v>
      </c>
      <c r="AE5" s="68">
        <v>0.62855720520019531</v>
      </c>
      <c r="AF5" s="68">
        <v>0.65049028396606445</v>
      </c>
      <c r="AG5" s="68">
        <v>0.62935119867324829</v>
      </c>
      <c r="AH5" s="68">
        <v>0.66118454933166504</v>
      </c>
      <c r="AI5" s="68">
        <v>0.66860741376876831</v>
      </c>
      <c r="AJ5" s="68">
        <v>0.681194007396698</v>
      </c>
      <c r="AK5" s="68">
        <v>0.6853528618812561</v>
      </c>
      <c r="AL5" s="68">
        <v>0.68291258811950684</v>
      </c>
      <c r="AM5" s="68">
        <v>0.67253422737121582</v>
      </c>
      <c r="AN5" s="68">
        <v>0.65103763341903687</v>
      </c>
      <c r="AO5" s="68">
        <v>0.65245586633682251</v>
      </c>
      <c r="AP5" s="68">
        <v>0.66083896160125732</v>
      </c>
      <c r="AQ5" s="68">
        <v>0.67287707328796387</v>
      </c>
      <c r="AR5" s="68">
        <v>0.66357666254043579</v>
      </c>
      <c r="AS5" s="68">
        <v>0.67250311374664307</v>
      </c>
      <c r="AT5" s="68">
        <v>0.67373031377792358</v>
      </c>
      <c r="AU5" s="68">
        <v>0.63983703851699825</v>
      </c>
      <c r="AV5" s="68">
        <v>0.65767486095428462</v>
      </c>
      <c r="AW5" s="68">
        <v>0.62006994485855105</v>
      </c>
      <c r="AX5" s="68">
        <v>0.61545207500457766</v>
      </c>
      <c r="AY5" s="68">
        <v>0.87117749452590942</v>
      </c>
      <c r="AZ5" s="68">
        <v>0.89657610654830933</v>
      </c>
      <c r="BA5" s="68">
        <v>0.88539963960647583</v>
      </c>
      <c r="BB5" s="68">
        <v>0.86924111843109131</v>
      </c>
      <c r="BC5" s="68">
        <v>0.74419158697128296</v>
      </c>
      <c r="BD5" s="68">
        <v>0.73314005136489868</v>
      </c>
    </row>
    <row r="6" spans="3:56" x14ac:dyDescent="0.25">
      <c r="C6" s="104"/>
      <c r="D6" s="41" t="s">
        <v>31</v>
      </c>
      <c r="E6" s="68">
        <v>0.39</v>
      </c>
      <c r="F6" s="68">
        <v>0.39</v>
      </c>
      <c r="G6" s="68">
        <v>0.38</v>
      </c>
      <c r="H6" s="68">
        <v>0.38</v>
      </c>
      <c r="I6" s="68">
        <v>0.37</v>
      </c>
      <c r="J6" s="68">
        <v>0.37</v>
      </c>
      <c r="K6" s="68">
        <v>0.37</v>
      </c>
      <c r="L6" s="68">
        <v>0.37</v>
      </c>
      <c r="M6" s="68">
        <v>0.37</v>
      </c>
      <c r="N6" s="68">
        <v>0.36</v>
      </c>
      <c r="O6" s="68">
        <v>0.36</v>
      </c>
      <c r="P6" s="68">
        <v>0.36</v>
      </c>
      <c r="Q6" s="68">
        <v>0.36</v>
      </c>
      <c r="R6" s="68">
        <v>0.36</v>
      </c>
      <c r="S6" s="68">
        <v>0.39249999999999996</v>
      </c>
      <c r="T6" s="68">
        <v>0.39249999999999996</v>
      </c>
      <c r="U6" s="68">
        <v>0.41249999999999998</v>
      </c>
      <c r="V6" s="68">
        <v>0.39249999999999996</v>
      </c>
      <c r="W6" s="68">
        <v>0.38</v>
      </c>
      <c r="X6" s="68">
        <v>0.4</v>
      </c>
      <c r="Y6" s="68">
        <v>0.4</v>
      </c>
      <c r="Z6" s="68">
        <v>0.38</v>
      </c>
      <c r="AA6" s="68">
        <v>0.37</v>
      </c>
      <c r="AB6" s="68">
        <v>0.37</v>
      </c>
      <c r="AC6" s="68">
        <v>0.37</v>
      </c>
      <c r="AD6" s="68">
        <v>0.35000000000000003</v>
      </c>
      <c r="AE6" s="68">
        <v>0.38000000000000006</v>
      </c>
      <c r="AF6" s="68">
        <v>0.38000000000000006</v>
      </c>
      <c r="AG6" s="68">
        <v>0.37000000000000005</v>
      </c>
      <c r="AH6" s="68">
        <v>0.37000000000000005</v>
      </c>
      <c r="AI6" s="68">
        <v>0.36000000000000004</v>
      </c>
      <c r="AJ6" s="68">
        <v>0.36000000000000004</v>
      </c>
      <c r="AK6" s="68">
        <v>0.36000000000000004</v>
      </c>
      <c r="AL6" s="68">
        <v>0.36000000000000004</v>
      </c>
      <c r="AM6" s="68">
        <v>0.36000000000000004</v>
      </c>
      <c r="AN6" s="68">
        <v>0.35000000000000003</v>
      </c>
      <c r="AO6" s="68">
        <v>0.35000000000000003</v>
      </c>
      <c r="AP6" s="68">
        <v>0.35000000000000003</v>
      </c>
      <c r="AQ6" s="68">
        <v>0.35000000000000003</v>
      </c>
      <c r="AR6" s="68">
        <v>0.46</v>
      </c>
      <c r="AS6" s="68">
        <v>0.46</v>
      </c>
      <c r="AT6" s="68">
        <v>0.45000000000000007</v>
      </c>
      <c r="AU6" s="68">
        <v>0.45000000000000007</v>
      </c>
      <c r="AV6" s="68">
        <v>0.44000000000000006</v>
      </c>
      <c r="AW6" s="68">
        <v>0.44000000000000006</v>
      </c>
      <c r="AX6" s="68">
        <v>0.44000000000000006</v>
      </c>
      <c r="AY6" s="68">
        <v>0.44000000000000006</v>
      </c>
      <c r="AZ6" s="68">
        <v>0.43000000000000005</v>
      </c>
      <c r="BA6" s="68">
        <v>0.43000000000000005</v>
      </c>
      <c r="BB6" s="68">
        <v>0.43000000000000005</v>
      </c>
      <c r="BC6" s="68">
        <v>0.43000000000000005</v>
      </c>
      <c r="BD6" s="68">
        <v>0.43000000000000005</v>
      </c>
    </row>
    <row r="7" spans="3:56" x14ac:dyDescent="0.25">
      <c r="C7" s="104"/>
      <c r="D7" s="41" t="s">
        <v>33</v>
      </c>
      <c r="E7" s="83">
        <f>(E3*E4)/3600/40/E5/(1-E6)</f>
        <v>67.549308167649286</v>
      </c>
      <c r="F7" s="83">
        <f t="shared" ref="F7:BD7" si="1">(F3*F4)/3600/40/F5/(1-F6)</f>
        <v>53.765303948939078</v>
      </c>
      <c r="G7" s="83">
        <f t="shared" si="1"/>
        <v>44.998329070330982</v>
      </c>
      <c r="H7" s="83">
        <f t="shared" si="1"/>
        <v>41.774675372544472</v>
      </c>
      <c r="I7" s="83">
        <f t="shared" si="1"/>
        <v>40.219091943302637</v>
      </c>
      <c r="J7" s="83">
        <f t="shared" si="1"/>
        <v>36.484986167440745</v>
      </c>
      <c r="K7" s="83">
        <f t="shared" si="1"/>
        <v>31.783501826991937</v>
      </c>
      <c r="L7" s="83">
        <f t="shared" si="1"/>
        <v>31.25881954005926</v>
      </c>
      <c r="M7" s="83">
        <f t="shared" si="1"/>
        <v>31.919762444806882</v>
      </c>
      <c r="N7" s="84">
        <f t="shared" si="1"/>
        <v>36.144616005355545</v>
      </c>
      <c r="O7" s="83">
        <f t="shared" si="1"/>
        <v>39.56024405315123</v>
      </c>
      <c r="P7" s="83">
        <f t="shared" si="1"/>
        <v>38.530191295503563</v>
      </c>
      <c r="Q7" s="83">
        <f t="shared" si="1"/>
        <v>31.029252910408065</v>
      </c>
      <c r="R7" s="83">
        <f t="shared" si="1"/>
        <v>31.966278606766128</v>
      </c>
      <c r="S7" s="83">
        <f t="shared" si="1"/>
        <v>34.732900611812198</v>
      </c>
      <c r="T7" s="83">
        <f t="shared" si="1"/>
        <v>33.623673685430667</v>
      </c>
      <c r="U7" s="83">
        <f t="shared" si="1"/>
        <v>37.014517537090661</v>
      </c>
      <c r="V7" s="83">
        <f t="shared" si="1"/>
        <v>38.833391614936211</v>
      </c>
      <c r="W7" s="83">
        <f t="shared" si="1"/>
        <v>37.869894777205658</v>
      </c>
      <c r="X7" s="83">
        <f t="shared" si="1"/>
        <v>38.660988890302171</v>
      </c>
      <c r="Y7" s="83">
        <f t="shared" si="1"/>
        <v>35.478360478623301</v>
      </c>
      <c r="Z7" s="83">
        <f t="shared" si="1"/>
        <v>31.966638282991678</v>
      </c>
      <c r="AA7" s="83">
        <f t="shared" si="1"/>
        <v>37.124664187872604</v>
      </c>
      <c r="AB7" s="83">
        <f t="shared" si="1"/>
        <v>35.611425308143524</v>
      </c>
      <c r="AC7" s="83">
        <f t="shared" si="1"/>
        <v>33.859018993167545</v>
      </c>
      <c r="AD7" s="83">
        <f t="shared" si="1"/>
        <v>29.245417678761321</v>
      </c>
      <c r="AE7" s="83">
        <f t="shared" si="1"/>
        <v>27.675088600003566</v>
      </c>
      <c r="AF7" s="83">
        <f t="shared" si="1"/>
        <v>29.928238981738211</v>
      </c>
      <c r="AG7" s="83">
        <f t="shared" si="1"/>
        <v>27.348172172478325</v>
      </c>
      <c r="AH7" s="83">
        <f t="shared" si="1"/>
        <v>32.373114580852295</v>
      </c>
      <c r="AI7" s="83">
        <f t="shared" si="1"/>
        <v>32.53693145746896</v>
      </c>
      <c r="AJ7" s="83">
        <f t="shared" si="1"/>
        <v>35.916942874325414</v>
      </c>
      <c r="AK7" s="83">
        <f t="shared" si="1"/>
        <v>36.336190252141051</v>
      </c>
      <c r="AL7" s="83">
        <f t="shared" si="1"/>
        <v>36.063554306636227</v>
      </c>
      <c r="AM7" s="83">
        <f t="shared" si="1"/>
        <v>32.766980960930397</v>
      </c>
      <c r="AN7" s="83">
        <f t="shared" si="1"/>
        <v>29.483572860389916</v>
      </c>
      <c r="AO7" s="83">
        <f t="shared" si="1"/>
        <v>29.951611738898798</v>
      </c>
      <c r="AP7" s="83">
        <f t="shared" si="1"/>
        <v>31.268178285298614</v>
      </c>
      <c r="AQ7" s="83">
        <f t="shared" si="1"/>
        <v>33.410858460384368</v>
      </c>
      <c r="AR7" s="83">
        <f t="shared" si="1"/>
        <v>37.970873325116507</v>
      </c>
      <c r="AS7" s="83">
        <f t="shared" si="1"/>
        <v>39.560415909599087</v>
      </c>
      <c r="AT7" s="83">
        <f t="shared" si="1"/>
        <v>39.967564193918079</v>
      </c>
      <c r="AU7" s="83">
        <f t="shared" si="1"/>
        <v>46.190676548316354</v>
      </c>
      <c r="AV7" s="83">
        <f t="shared" si="1"/>
        <v>52.804212048181626</v>
      </c>
      <c r="AW7" s="83">
        <f t="shared" si="1"/>
        <v>59.880114825464574</v>
      </c>
      <c r="AX7" s="83">
        <f t="shared" si="1"/>
        <v>59.162120378425641</v>
      </c>
      <c r="AY7" s="83">
        <f t="shared" si="1"/>
        <v>99.525356437244824</v>
      </c>
      <c r="AZ7" s="83">
        <f t="shared" si="1"/>
        <v>130.43606457003395</v>
      </c>
      <c r="BA7" s="83">
        <f t="shared" si="1"/>
        <v>111.78202765148245</v>
      </c>
      <c r="BB7" s="83">
        <f t="shared" si="1"/>
        <v>94.65717071087451</v>
      </c>
      <c r="BC7" s="83">
        <f t="shared" si="1"/>
        <v>61.233205349453762</v>
      </c>
      <c r="BD7" s="83">
        <f t="shared" si="1"/>
        <v>55.925349665036975</v>
      </c>
    </row>
    <row r="8" spans="3:56" x14ac:dyDescent="0.25">
      <c r="C8" s="48"/>
      <c r="E8" s="42"/>
      <c r="F8" s="42"/>
      <c r="G8" s="42"/>
      <c r="H8" s="42"/>
      <c r="I8" s="42"/>
      <c r="J8" s="42"/>
      <c r="K8" s="42"/>
      <c r="L8" s="42"/>
      <c r="M8" s="42"/>
    </row>
    <row r="9" spans="3:56" x14ac:dyDescent="0.25">
      <c r="C9" s="48"/>
      <c r="D9" s="80" t="s">
        <v>50</v>
      </c>
      <c r="E9" s="81"/>
      <c r="F9" s="81"/>
      <c r="G9" s="81"/>
      <c r="H9" s="81"/>
      <c r="I9" s="81"/>
      <c r="J9" s="81"/>
      <c r="K9" s="81"/>
      <c r="L9" s="81"/>
      <c r="M9" s="81"/>
    </row>
    <row r="10" spans="3:56" x14ac:dyDescent="0.25">
      <c r="C10" s="48"/>
      <c r="D10" s="57" t="s">
        <v>34</v>
      </c>
      <c r="E10" s="64"/>
      <c r="F10" s="64"/>
      <c r="G10" s="64"/>
      <c r="H10" s="64">
        <v>9</v>
      </c>
      <c r="I10" s="64"/>
      <c r="J10" s="64"/>
      <c r="K10" s="64"/>
      <c r="L10" s="64"/>
      <c r="M10" s="64"/>
      <c r="N10" s="64"/>
      <c r="O10" s="64"/>
      <c r="P10" s="64"/>
      <c r="Q10" s="64"/>
      <c r="R10" s="64"/>
      <c r="S10" s="64"/>
      <c r="T10" s="64">
        <v>6</v>
      </c>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row>
    <row r="11" spans="3:56" x14ac:dyDescent="0.25">
      <c r="C11" s="48"/>
      <c r="D11" s="57" t="s">
        <v>35</v>
      </c>
      <c r="E11" s="64"/>
      <c r="F11" s="64"/>
      <c r="G11" s="64"/>
      <c r="H11" s="64"/>
      <c r="I11" s="64"/>
      <c r="J11" s="64"/>
      <c r="K11" s="64">
        <v>1</v>
      </c>
      <c r="L11" s="64"/>
      <c r="M11" s="64"/>
      <c r="N11" s="64"/>
      <c r="O11" s="64"/>
      <c r="P11" s="64"/>
      <c r="Q11" s="64"/>
      <c r="R11" s="64"/>
      <c r="S11" s="64">
        <v>3</v>
      </c>
      <c r="T11" s="64">
        <v>-4</v>
      </c>
      <c r="U11" s="64"/>
      <c r="V11" s="64"/>
      <c r="W11" s="64"/>
      <c r="X11" s="64"/>
      <c r="Y11" s="64"/>
      <c r="Z11" s="64"/>
      <c r="AA11" s="64"/>
      <c r="AB11" s="64"/>
      <c r="AC11" s="64"/>
      <c r="AD11" s="64"/>
      <c r="AE11" s="64"/>
      <c r="AF11" s="64"/>
      <c r="AG11" s="64"/>
      <c r="AH11" s="64"/>
      <c r="AI11" s="64">
        <v>-2</v>
      </c>
      <c r="AJ11" s="64"/>
      <c r="AK11" s="64"/>
      <c r="AL11" s="64"/>
      <c r="AM11" s="64"/>
      <c r="AN11" s="64"/>
      <c r="AO11" s="64"/>
      <c r="AP11" s="64"/>
      <c r="AQ11" s="64"/>
      <c r="AR11" s="64"/>
      <c r="AS11" s="64">
        <v>-5</v>
      </c>
      <c r="AT11" s="64"/>
      <c r="AU11" s="64">
        <v>-15</v>
      </c>
      <c r="AV11" s="64"/>
      <c r="AW11" s="64"/>
      <c r="AX11" s="64">
        <v>14</v>
      </c>
      <c r="AY11" s="64"/>
      <c r="AZ11" s="64"/>
      <c r="BA11" s="64"/>
      <c r="BB11" s="64"/>
      <c r="BC11" s="64"/>
      <c r="BD11" s="64"/>
    </row>
    <row r="12" spans="3:56" x14ac:dyDescent="0.25">
      <c r="C12" s="48"/>
      <c r="D12" s="57" t="s">
        <v>36</v>
      </c>
      <c r="E12" s="64"/>
      <c r="F12" s="64"/>
      <c r="G12" s="64"/>
      <c r="H12" s="64"/>
      <c r="I12" s="64"/>
      <c r="J12" s="64"/>
      <c r="K12" s="64"/>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row>
    <row r="13" spans="3:56" x14ac:dyDescent="0.25">
      <c r="C13" s="48"/>
      <c r="D13" s="57" t="s">
        <v>37</v>
      </c>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row>
    <row r="14" spans="3:56" x14ac:dyDescent="0.25">
      <c r="C14" s="48"/>
      <c r="D14" s="57" t="s">
        <v>38</v>
      </c>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row>
    <row r="15" spans="3:56" x14ac:dyDescent="0.25">
      <c r="C15" s="48"/>
      <c r="D15" s="57" t="s">
        <v>39</v>
      </c>
      <c r="E15" s="64">
        <v>1</v>
      </c>
      <c r="F15" s="64">
        <v>5</v>
      </c>
      <c r="G15" s="64"/>
      <c r="H15" s="64">
        <v>0</v>
      </c>
      <c r="I15" s="64">
        <v>0</v>
      </c>
      <c r="J15" s="64">
        <v>0</v>
      </c>
      <c r="K15" s="64">
        <v>0</v>
      </c>
      <c r="L15" s="64">
        <v>0</v>
      </c>
      <c r="M15" s="64">
        <v>0</v>
      </c>
      <c r="N15" s="64">
        <v>-5</v>
      </c>
      <c r="O15" s="64">
        <v>0</v>
      </c>
      <c r="P15" s="64">
        <v>0</v>
      </c>
      <c r="Q15" s="64">
        <v>1</v>
      </c>
      <c r="R15" s="64">
        <v>0</v>
      </c>
      <c r="S15" s="64">
        <v>-2</v>
      </c>
      <c r="T15" s="64">
        <v>0</v>
      </c>
      <c r="U15" s="64">
        <v>-2</v>
      </c>
      <c r="V15" s="64">
        <v>0</v>
      </c>
      <c r="W15" s="64">
        <v>0</v>
      </c>
      <c r="X15" s="64">
        <v>-5</v>
      </c>
      <c r="Y15" s="64">
        <v>0</v>
      </c>
      <c r="Z15" s="64">
        <v>-6</v>
      </c>
      <c r="AA15" s="64">
        <v>0</v>
      </c>
      <c r="AB15" s="64">
        <v>0</v>
      </c>
      <c r="AC15" s="64">
        <v>3</v>
      </c>
      <c r="AD15" s="64">
        <v>0</v>
      </c>
      <c r="AE15" s="64">
        <v>1</v>
      </c>
      <c r="AF15" s="64">
        <v>0</v>
      </c>
      <c r="AG15" s="64">
        <v>0</v>
      </c>
      <c r="AH15" s="64">
        <v>6</v>
      </c>
      <c r="AI15" s="64">
        <v>2</v>
      </c>
      <c r="AJ15" s="64">
        <v>0</v>
      </c>
      <c r="AK15" s="64">
        <v>3</v>
      </c>
      <c r="AL15" s="64">
        <v>0</v>
      </c>
      <c r="AM15" s="64">
        <v>0</v>
      </c>
      <c r="AN15" s="64">
        <v>0</v>
      </c>
      <c r="AO15" s="64">
        <v>0</v>
      </c>
      <c r="AP15" s="64">
        <v>0</v>
      </c>
      <c r="AQ15" s="64">
        <v>0</v>
      </c>
      <c r="AR15" s="64">
        <v>0</v>
      </c>
      <c r="AS15" s="64">
        <v>-10</v>
      </c>
      <c r="AT15" s="64">
        <v>0</v>
      </c>
      <c r="AU15" s="64">
        <v>0</v>
      </c>
      <c r="AV15" s="64">
        <v>5</v>
      </c>
      <c r="AW15" s="64">
        <v>0</v>
      </c>
      <c r="AX15" s="64">
        <v>0</v>
      </c>
      <c r="AY15" s="64">
        <v>-3</v>
      </c>
      <c r="AZ15" s="64">
        <v>6</v>
      </c>
      <c r="BA15" s="64"/>
      <c r="BB15" s="64"/>
      <c r="BC15" s="64"/>
      <c r="BD15" s="64"/>
    </row>
    <row r="16" spans="3:56" x14ac:dyDescent="0.25">
      <c r="C16" s="48"/>
      <c r="D16" s="57" t="s">
        <v>40</v>
      </c>
      <c r="E16" s="64">
        <v>7.875</v>
      </c>
      <c r="F16" s="64">
        <v>0</v>
      </c>
      <c r="G16" s="64">
        <v>0</v>
      </c>
      <c r="H16" s="64">
        <v>0</v>
      </c>
      <c r="I16" s="64">
        <v>1.125</v>
      </c>
      <c r="J16" s="64">
        <v>1.1249999999999991</v>
      </c>
      <c r="K16" s="64">
        <v>0</v>
      </c>
      <c r="L16" s="64">
        <v>0</v>
      </c>
      <c r="M16" s="64">
        <v>0</v>
      </c>
      <c r="N16" s="64">
        <v>0</v>
      </c>
      <c r="O16" s="64">
        <v>0</v>
      </c>
      <c r="P16" s="64">
        <v>0</v>
      </c>
      <c r="Q16" s="64">
        <v>0</v>
      </c>
      <c r="R16" s="64">
        <v>0</v>
      </c>
      <c r="S16" s="64">
        <v>0</v>
      </c>
      <c r="T16" s="64">
        <v>0</v>
      </c>
      <c r="U16" s="64">
        <v>0</v>
      </c>
      <c r="V16" s="64">
        <v>0</v>
      </c>
      <c r="W16" s="64">
        <v>0</v>
      </c>
      <c r="X16" s="64">
        <v>0</v>
      </c>
      <c r="Y16" s="64">
        <v>0</v>
      </c>
      <c r="Z16" s="64">
        <v>0</v>
      </c>
      <c r="AA16" s="64">
        <v>0</v>
      </c>
      <c r="AB16" s="64">
        <v>0</v>
      </c>
      <c r="AC16" s="64">
        <v>0</v>
      </c>
      <c r="AD16" s="64">
        <v>0</v>
      </c>
      <c r="AE16" s="64">
        <v>0</v>
      </c>
      <c r="AF16" s="64">
        <v>0</v>
      </c>
      <c r="AG16" s="64">
        <v>0</v>
      </c>
      <c r="AH16" s="64">
        <v>0</v>
      </c>
      <c r="AI16" s="64">
        <v>0</v>
      </c>
      <c r="AJ16" s="64">
        <v>0</v>
      </c>
      <c r="AK16" s="64">
        <v>0</v>
      </c>
      <c r="AL16" s="64">
        <v>0</v>
      </c>
      <c r="AM16" s="64">
        <v>0</v>
      </c>
      <c r="AN16" s="64">
        <v>0</v>
      </c>
      <c r="AO16" s="64">
        <v>0</v>
      </c>
      <c r="AP16" s="64">
        <v>0</v>
      </c>
      <c r="AQ16" s="64">
        <v>0</v>
      </c>
      <c r="AR16" s="64">
        <v>0</v>
      </c>
      <c r="AS16" s="64">
        <v>0</v>
      </c>
      <c r="AT16" s="64">
        <v>0</v>
      </c>
      <c r="AU16" s="64">
        <v>0</v>
      </c>
      <c r="AV16" s="64">
        <v>0</v>
      </c>
      <c r="AW16" s="64">
        <v>0</v>
      </c>
      <c r="AX16" s="64">
        <v>0</v>
      </c>
      <c r="AY16" s="64">
        <v>0</v>
      </c>
      <c r="AZ16" s="64">
        <v>0</v>
      </c>
      <c r="BA16" s="64"/>
      <c r="BB16" s="64"/>
      <c r="BC16" s="64"/>
      <c r="BD16" s="64"/>
    </row>
    <row r="17" spans="3:56" x14ac:dyDescent="0.25">
      <c r="C17" s="48"/>
      <c r="E17" s="45"/>
      <c r="F17" s="45"/>
      <c r="G17" s="45"/>
      <c r="H17" s="45"/>
      <c r="I17" s="45"/>
      <c r="J17" s="45"/>
      <c r="K17" s="45"/>
      <c r="L17" s="45"/>
      <c r="M17" s="45"/>
    </row>
    <row r="18" spans="3:56" x14ac:dyDescent="0.25">
      <c r="C18" s="48"/>
      <c r="D18" s="49" t="s">
        <v>34</v>
      </c>
      <c r="E18" s="65">
        <v>29.112500000000001</v>
      </c>
      <c r="F18" s="65">
        <v>29.862500000000001</v>
      </c>
      <c r="G18" s="65">
        <v>30.862500000000001</v>
      </c>
      <c r="H18" s="65">
        <v>36.612499999999997</v>
      </c>
      <c r="I18" s="65">
        <v>36.612499999999997</v>
      </c>
      <c r="J18" s="65">
        <v>36.612499999999997</v>
      </c>
      <c r="K18" s="65">
        <v>36.612499999999997</v>
      </c>
      <c r="L18" s="65">
        <v>34.5625</v>
      </c>
      <c r="M18" s="65">
        <v>37.337499999999999</v>
      </c>
      <c r="N18" s="65">
        <v>38.325000000000003</v>
      </c>
      <c r="O18" s="65">
        <v>37.325000000000003</v>
      </c>
      <c r="P18" s="65">
        <v>37.33</v>
      </c>
      <c r="Q18" s="65">
        <v>37.325000000000003</v>
      </c>
      <c r="R18" s="65">
        <v>33.325000000000003</v>
      </c>
      <c r="S18" s="65">
        <v>33.325000000000003</v>
      </c>
      <c r="T18" s="65">
        <v>33.325000000000003</v>
      </c>
      <c r="U18" s="65">
        <v>27.6875</v>
      </c>
      <c r="V18" s="65">
        <v>27.1875</v>
      </c>
      <c r="W18" s="65">
        <v>27.1875</v>
      </c>
      <c r="X18" s="65">
        <v>26.887499999999999</v>
      </c>
      <c r="Y18" s="65">
        <v>26.080874999999999</v>
      </c>
      <c r="Z18" s="65">
        <v>25.298448749999999</v>
      </c>
      <c r="AA18" s="65">
        <v>24.792479775</v>
      </c>
      <c r="AB18" s="65">
        <v>24.296630179499999</v>
      </c>
      <c r="AC18" s="65">
        <v>23.810697575909998</v>
      </c>
      <c r="AD18" s="65">
        <v>23.334483624391797</v>
      </c>
      <c r="AE18" s="65">
        <v>22.867793951903963</v>
      </c>
      <c r="AF18" s="65">
        <v>22.410438072865883</v>
      </c>
      <c r="AG18" s="65">
        <v>21.962229311408567</v>
      </c>
      <c r="AH18" s="65">
        <v>21.522984725180397</v>
      </c>
      <c r="AI18" s="65">
        <v>21.092525030676789</v>
      </c>
      <c r="AJ18" s="65">
        <v>20.670674530063252</v>
      </c>
      <c r="AK18" s="65">
        <v>20.257261039461987</v>
      </c>
      <c r="AL18" s="65">
        <v>19.852115818672747</v>
      </c>
      <c r="AM18" s="65">
        <v>19.455073502299292</v>
      </c>
      <c r="AN18" s="65">
        <v>18.71578070921192</v>
      </c>
      <c r="AO18" s="65">
        <v>18.004581042261869</v>
      </c>
      <c r="AP18" s="65">
        <v>17.320406962655916</v>
      </c>
      <c r="AQ18" s="65">
        <v>16.662231498074991</v>
      </c>
      <c r="AR18" s="65">
        <v>16.029066701148142</v>
      </c>
      <c r="AS18" s="65">
        <v>15.387904033102217</v>
      </c>
      <c r="AT18" s="65">
        <v>14.772387871778129</v>
      </c>
      <c r="AU18" s="65">
        <v>14.181492356907004</v>
      </c>
      <c r="AV18" s="65">
        <v>13.614232662630723</v>
      </c>
      <c r="AW18" s="65">
        <v>34.752809396367653</v>
      </c>
      <c r="AX18" s="65">
        <v>31.277528456730888</v>
      </c>
      <c r="AY18" s="65">
        <v>28.149775611057798</v>
      </c>
      <c r="AZ18" s="65">
        <v>25.334798049952017</v>
      </c>
      <c r="BA18" s="65">
        <v>22.547970264457295</v>
      </c>
      <c r="BB18" s="65">
        <v>20.067693535366992</v>
      </c>
      <c r="BC18" s="65">
        <v>17.860247246476622</v>
      </c>
      <c r="BD18" s="65">
        <v>15.895620049364194</v>
      </c>
    </row>
    <row r="19" spans="3:56" x14ac:dyDescent="0.25">
      <c r="C19" s="48"/>
      <c r="D19" s="49" t="s">
        <v>35</v>
      </c>
      <c r="E19" s="65">
        <v>29.049999999999997</v>
      </c>
      <c r="F19" s="65">
        <v>18.55</v>
      </c>
      <c r="G19" s="65">
        <v>9.25</v>
      </c>
      <c r="H19" s="65">
        <v>9.25</v>
      </c>
      <c r="I19" s="65">
        <v>8.25</v>
      </c>
      <c r="J19" s="65">
        <v>8.25</v>
      </c>
      <c r="K19" s="65">
        <v>5.85825</v>
      </c>
      <c r="L19" s="65">
        <v>5.9582499999999996</v>
      </c>
      <c r="M19" s="65">
        <v>14.158250000000001</v>
      </c>
      <c r="N19" s="65">
        <v>13.42075</v>
      </c>
      <c r="O19" s="65">
        <v>12.620749999999999</v>
      </c>
      <c r="P19" s="65">
        <v>13.42</v>
      </c>
      <c r="Q19" s="65">
        <v>13.42075</v>
      </c>
      <c r="R19" s="65">
        <v>13.42075</v>
      </c>
      <c r="S19" s="65">
        <v>13.620749999999999</v>
      </c>
      <c r="T19" s="65">
        <v>12.620749999999999</v>
      </c>
      <c r="U19" s="65">
        <v>11.720750000000001</v>
      </c>
      <c r="V19" s="65">
        <v>11.77075</v>
      </c>
      <c r="W19" s="65">
        <v>11.27075</v>
      </c>
      <c r="X19" s="65">
        <v>11.07075</v>
      </c>
      <c r="Y19" s="65">
        <v>10.7386275</v>
      </c>
      <c r="Z19" s="65">
        <v>10.416468674999999</v>
      </c>
      <c r="AA19" s="65">
        <v>10.208139301499999</v>
      </c>
      <c r="AB19" s="65">
        <v>10.003976515469999</v>
      </c>
      <c r="AC19" s="65">
        <v>9.8038969851605984</v>
      </c>
      <c r="AD19" s="65">
        <v>12.607819045457386</v>
      </c>
      <c r="AE19" s="65">
        <v>12.355662664548239</v>
      </c>
      <c r="AF19" s="65">
        <v>12.108549411257275</v>
      </c>
      <c r="AG19" s="65">
        <v>11.866378423032129</v>
      </c>
      <c r="AH19" s="65">
        <v>11.629050854571487</v>
      </c>
      <c r="AI19" s="65">
        <v>11.396469837480057</v>
      </c>
      <c r="AJ19" s="65">
        <v>22.418540440730453</v>
      </c>
      <c r="AK19" s="65">
        <v>21.970169631915844</v>
      </c>
      <c r="AL19" s="65">
        <v>21.530766239277529</v>
      </c>
      <c r="AM19" s="65">
        <v>21.10015091449198</v>
      </c>
      <c r="AN19" s="65">
        <v>20.298345179741286</v>
      </c>
      <c r="AO19" s="65">
        <v>19.527008062911118</v>
      </c>
      <c r="AP19" s="65">
        <v>18.784981756520494</v>
      </c>
      <c r="AQ19" s="65">
        <v>18.071152449772715</v>
      </c>
      <c r="AR19" s="65">
        <v>17.38444865668135</v>
      </c>
      <c r="AS19" s="65">
        <v>16.689070710414097</v>
      </c>
      <c r="AT19" s="65">
        <v>21.021507881997533</v>
      </c>
      <c r="AU19" s="65">
        <v>42.680647566717631</v>
      </c>
      <c r="AV19" s="65">
        <v>35.973421664048928</v>
      </c>
      <c r="AW19" s="65">
        <v>77.376079497644042</v>
      </c>
      <c r="AX19" s="65">
        <v>59.638471547879632</v>
      </c>
      <c r="AY19" s="65">
        <v>92.174624393091676</v>
      </c>
      <c r="AZ19" s="65">
        <v>82.957161953782503</v>
      </c>
      <c r="BA19" s="65">
        <v>79.831874138866425</v>
      </c>
      <c r="BB19" s="65">
        <v>76.050367983591116</v>
      </c>
      <c r="BC19" s="65">
        <v>80.6848275053961</v>
      </c>
      <c r="BD19" s="65">
        <v>71.809496479802533</v>
      </c>
    </row>
    <row r="20" spans="3:56" x14ac:dyDescent="0.25">
      <c r="C20" s="48"/>
      <c r="D20" s="49" t="s">
        <v>36</v>
      </c>
      <c r="E20" s="65">
        <v>0</v>
      </c>
      <c r="F20" s="65">
        <v>0</v>
      </c>
      <c r="G20" s="65">
        <v>0</v>
      </c>
      <c r="H20" s="65">
        <v>0</v>
      </c>
      <c r="I20" s="65">
        <v>0</v>
      </c>
      <c r="J20" s="65">
        <v>0</v>
      </c>
      <c r="K20" s="65">
        <v>0</v>
      </c>
      <c r="L20" s="65">
        <v>0</v>
      </c>
      <c r="M20" s="65">
        <v>0</v>
      </c>
      <c r="N20" s="65">
        <v>0</v>
      </c>
      <c r="O20" s="65">
        <v>0</v>
      </c>
      <c r="P20" s="65">
        <v>0</v>
      </c>
      <c r="Q20" s="65">
        <v>0</v>
      </c>
      <c r="R20" s="65">
        <v>0</v>
      </c>
      <c r="S20" s="65">
        <v>0</v>
      </c>
      <c r="T20" s="65">
        <v>0</v>
      </c>
      <c r="U20" s="65">
        <v>0</v>
      </c>
      <c r="V20" s="65">
        <v>0</v>
      </c>
      <c r="W20" s="65">
        <v>0</v>
      </c>
      <c r="X20" s="65">
        <v>0</v>
      </c>
      <c r="Y20" s="65">
        <v>0</v>
      </c>
      <c r="Z20" s="65">
        <v>0</v>
      </c>
      <c r="AA20" s="65">
        <v>0</v>
      </c>
      <c r="AB20" s="65">
        <v>0</v>
      </c>
      <c r="AC20" s="65">
        <v>0</v>
      </c>
      <c r="AD20" s="65">
        <v>0</v>
      </c>
      <c r="AE20" s="65">
        <v>0</v>
      </c>
      <c r="AF20" s="65">
        <v>0</v>
      </c>
      <c r="AG20" s="65">
        <v>0</v>
      </c>
      <c r="AH20" s="65">
        <v>0</v>
      </c>
      <c r="AI20" s="65">
        <v>0</v>
      </c>
      <c r="AJ20" s="65">
        <v>0</v>
      </c>
      <c r="AK20" s="65">
        <v>0</v>
      </c>
      <c r="AL20" s="65">
        <v>0</v>
      </c>
      <c r="AM20" s="65">
        <v>0</v>
      </c>
      <c r="AN20" s="65">
        <v>0</v>
      </c>
      <c r="AO20" s="65">
        <v>0</v>
      </c>
      <c r="AP20" s="65">
        <v>0</v>
      </c>
      <c r="AQ20" s="65">
        <v>0</v>
      </c>
      <c r="AR20" s="65">
        <v>0</v>
      </c>
      <c r="AS20" s="65">
        <v>0</v>
      </c>
      <c r="AT20" s="65">
        <v>0</v>
      </c>
      <c r="AU20" s="65">
        <v>0</v>
      </c>
      <c r="AV20" s="65">
        <v>0</v>
      </c>
      <c r="AW20" s="65">
        <v>0</v>
      </c>
      <c r="AX20" s="65">
        <v>0</v>
      </c>
      <c r="AY20" s="65">
        <v>0</v>
      </c>
      <c r="AZ20" s="65">
        <v>0</v>
      </c>
      <c r="BA20" s="65">
        <v>0</v>
      </c>
      <c r="BB20" s="65">
        <v>0</v>
      </c>
      <c r="BC20" s="65">
        <v>0</v>
      </c>
      <c r="BD20" s="65">
        <v>0</v>
      </c>
    </row>
    <row r="21" spans="3:56" x14ac:dyDescent="0.25">
      <c r="C21" s="48"/>
      <c r="D21" s="49" t="s">
        <v>37</v>
      </c>
      <c r="E21" s="65">
        <v>0</v>
      </c>
      <c r="F21" s="65">
        <v>0</v>
      </c>
      <c r="G21" s="65">
        <v>0</v>
      </c>
      <c r="H21" s="65">
        <v>0</v>
      </c>
      <c r="I21" s="65">
        <v>0</v>
      </c>
      <c r="J21" s="65">
        <v>0</v>
      </c>
      <c r="K21" s="65">
        <v>0</v>
      </c>
      <c r="L21" s="65">
        <v>0</v>
      </c>
      <c r="M21" s="65">
        <v>0</v>
      </c>
      <c r="N21" s="65">
        <v>0</v>
      </c>
      <c r="O21" s="65">
        <v>0</v>
      </c>
      <c r="P21" s="65">
        <v>0</v>
      </c>
      <c r="Q21" s="65">
        <v>0</v>
      </c>
      <c r="R21" s="65">
        <v>0</v>
      </c>
      <c r="S21" s="65">
        <v>0</v>
      </c>
      <c r="T21" s="65">
        <v>0</v>
      </c>
      <c r="U21" s="65">
        <v>0</v>
      </c>
      <c r="V21" s="65">
        <v>0</v>
      </c>
      <c r="W21" s="65">
        <v>0</v>
      </c>
      <c r="X21" s="65">
        <v>0</v>
      </c>
      <c r="Y21" s="65">
        <v>0</v>
      </c>
      <c r="Z21" s="65">
        <v>0</v>
      </c>
      <c r="AA21" s="65">
        <v>0</v>
      </c>
      <c r="AB21" s="65">
        <v>0</v>
      </c>
      <c r="AC21" s="65">
        <v>0</v>
      </c>
      <c r="AD21" s="65">
        <v>0</v>
      </c>
      <c r="AE21" s="65">
        <v>0</v>
      </c>
      <c r="AF21" s="65">
        <v>0</v>
      </c>
      <c r="AG21" s="65">
        <v>0</v>
      </c>
      <c r="AH21" s="65">
        <v>0</v>
      </c>
      <c r="AI21" s="65">
        <v>0</v>
      </c>
      <c r="AJ21" s="65">
        <v>0</v>
      </c>
      <c r="AK21" s="65">
        <v>0</v>
      </c>
      <c r="AL21" s="65">
        <v>0</v>
      </c>
      <c r="AM21" s="65">
        <v>0</v>
      </c>
      <c r="AN21" s="65">
        <v>0</v>
      </c>
      <c r="AO21" s="65">
        <v>0</v>
      </c>
      <c r="AP21" s="65">
        <v>0</v>
      </c>
      <c r="AQ21" s="65">
        <v>0</v>
      </c>
      <c r="AR21" s="65">
        <v>0</v>
      </c>
      <c r="AS21" s="65">
        <v>0</v>
      </c>
      <c r="AT21" s="65">
        <v>0</v>
      </c>
      <c r="AU21" s="65">
        <v>0</v>
      </c>
      <c r="AV21" s="65">
        <v>0</v>
      </c>
      <c r="AW21" s="65">
        <v>0</v>
      </c>
      <c r="AX21" s="65">
        <v>0</v>
      </c>
      <c r="AY21" s="65">
        <v>0</v>
      </c>
      <c r="AZ21" s="65">
        <v>0</v>
      </c>
      <c r="BA21" s="65">
        <v>0</v>
      </c>
      <c r="BB21" s="65">
        <v>0</v>
      </c>
      <c r="BC21" s="65">
        <v>0</v>
      </c>
      <c r="BD21" s="65">
        <v>0</v>
      </c>
    </row>
    <row r="22" spans="3:56" x14ac:dyDescent="0.25">
      <c r="C22" s="48"/>
      <c r="D22" s="49" t="s">
        <v>38</v>
      </c>
      <c r="E22" s="65">
        <v>3.4</v>
      </c>
      <c r="F22" s="65">
        <v>4</v>
      </c>
      <c r="G22" s="65">
        <v>7.8707500000000001</v>
      </c>
      <c r="H22" s="65">
        <v>9.8707499999999992</v>
      </c>
      <c r="I22" s="65">
        <v>11.720750000000001</v>
      </c>
      <c r="J22" s="65">
        <v>10.720750000000001</v>
      </c>
      <c r="K22" s="65">
        <v>7.7125000000000004</v>
      </c>
      <c r="L22" s="65">
        <v>8.1999999999999993</v>
      </c>
      <c r="M22" s="65">
        <v>0</v>
      </c>
      <c r="N22" s="65">
        <v>0</v>
      </c>
      <c r="O22" s="65">
        <v>0</v>
      </c>
      <c r="P22" s="65">
        <v>0</v>
      </c>
      <c r="Q22" s="65">
        <v>0</v>
      </c>
      <c r="R22" s="65">
        <v>0</v>
      </c>
      <c r="S22" s="65">
        <v>0</v>
      </c>
      <c r="T22" s="65">
        <v>0</v>
      </c>
      <c r="U22" s="65">
        <v>0</v>
      </c>
      <c r="V22" s="65">
        <v>0</v>
      </c>
      <c r="W22" s="65">
        <v>0</v>
      </c>
      <c r="X22" s="65">
        <v>0</v>
      </c>
      <c r="Y22" s="65">
        <v>0</v>
      </c>
      <c r="Z22" s="65">
        <v>0</v>
      </c>
      <c r="AA22" s="65">
        <v>0</v>
      </c>
      <c r="AB22" s="65">
        <v>0</v>
      </c>
      <c r="AC22" s="65">
        <v>0</v>
      </c>
      <c r="AD22" s="65">
        <v>0</v>
      </c>
      <c r="AE22" s="65">
        <v>0</v>
      </c>
      <c r="AF22" s="65">
        <v>0</v>
      </c>
      <c r="AG22" s="65">
        <v>0</v>
      </c>
      <c r="AH22" s="65">
        <v>0</v>
      </c>
      <c r="AI22" s="65">
        <v>0</v>
      </c>
      <c r="AJ22" s="65">
        <v>0</v>
      </c>
      <c r="AK22" s="65">
        <v>0</v>
      </c>
      <c r="AL22" s="65">
        <v>0</v>
      </c>
      <c r="AM22" s="65">
        <v>0</v>
      </c>
      <c r="AN22" s="65">
        <v>0</v>
      </c>
      <c r="AO22" s="65">
        <v>0</v>
      </c>
      <c r="AP22" s="65">
        <v>0</v>
      </c>
      <c r="AQ22" s="65">
        <v>0</v>
      </c>
      <c r="AR22" s="65">
        <v>0</v>
      </c>
      <c r="AS22" s="65">
        <v>0</v>
      </c>
      <c r="AT22" s="65">
        <v>0</v>
      </c>
      <c r="AU22" s="65">
        <v>0</v>
      </c>
      <c r="AV22" s="65">
        <v>0</v>
      </c>
      <c r="AW22" s="65">
        <v>0</v>
      </c>
      <c r="AX22" s="65">
        <v>0</v>
      </c>
      <c r="AY22" s="65">
        <v>0</v>
      </c>
      <c r="AZ22" s="65">
        <v>0</v>
      </c>
      <c r="BA22" s="65">
        <v>0</v>
      </c>
      <c r="BB22" s="65">
        <v>0</v>
      </c>
      <c r="BC22" s="65">
        <v>0</v>
      </c>
      <c r="BD22" s="65">
        <v>0</v>
      </c>
    </row>
    <row r="23" spans="3:56" x14ac:dyDescent="0.25">
      <c r="C23" s="48"/>
      <c r="D23" s="49" t="s">
        <v>39</v>
      </c>
      <c r="E23" s="65">
        <v>0</v>
      </c>
      <c r="F23" s="65">
        <v>0</v>
      </c>
      <c r="G23" s="65">
        <v>0</v>
      </c>
      <c r="H23" s="65">
        <v>0</v>
      </c>
      <c r="I23" s="65">
        <v>0</v>
      </c>
      <c r="J23" s="65">
        <v>0</v>
      </c>
      <c r="K23" s="65">
        <v>0</v>
      </c>
      <c r="L23" s="65">
        <v>0</v>
      </c>
      <c r="M23" s="65">
        <v>0</v>
      </c>
      <c r="N23" s="65">
        <v>0</v>
      </c>
      <c r="O23" s="65">
        <v>0</v>
      </c>
      <c r="P23" s="65">
        <v>0</v>
      </c>
      <c r="Q23" s="65">
        <v>0</v>
      </c>
      <c r="R23" s="65">
        <v>0</v>
      </c>
      <c r="S23" s="65">
        <v>0</v>
      </c>
      <c r="T23" s="65">
        <v>0</v>
      </c>
      <c r="U23" s="65">
        <v>0</v>
      </c>
      <c r="V23" s="65">
        <v>0</v>
      </c>
      <c r="W23" s="65">
        <v>0</v>
      </c>
      <c r="X23" s="65">
        <v>0</v>
      </c>
      <c r="Y23" s="65">
        <v>0</v>
      </c>
      <c r="Z23" s="65">
        <v>0</v>
      </c>
      <c r="AA23" s="65">
        <v>0</v>
      </c>
      <c r="AB23" s="65">
        <v>0</v>
      </c>
      <c r="AC23" s="65">
        <v>0</v>
      </c>
      <c r="AD23" s="65">
        <v>0</v>
      </c>
      <c r="AE23" s="65">
        <v>0</v>
      </c>
      <c r="AF23" s="65">
        <v>0</v>
      </c>
      <c r="AG23" s="65">
        <v>0</v>
      </c>
      <c r="AH23" s="65">
        <v>0</v>
      </c>
      <c r="AI23" s="65">
        <v>0</v>
      </c>
      <c r="AJ23" s="65">
        <v>0</v>
      </c>
      <c r="AK23" s="65">
        <v>0</v>
      </c>
      <c r="AL23" s="65">
        <v>0</v>
      </c>
      <c r="AM23" s="65">
        <v>0</v>
      </c>
      <c r="AN23" s="65">
        <v>0</v>
      </c>
      <c r="AO23" s="65">
        <v>0</v>
      </c>
      <c r="AP23" s="65">
        <v>0</v>
      </c>
      <c r="AQ23" s="65">
        <v>0</v>
      </c>
      <c r="AR23" s="65">
        <v>0</v>
      </c>
      <c r="AS23" s="65">
        <v>0</v>
      </c>
      <c r="AT23" s="65">
        <v>0</v>
      </c>
      <c r="AU23" s="65">
        <v>0</v>
      </c>
      <c r="AV23" s="65">
        <v>0</v>
      </c>
      <c r="AW23" s="65">
        <v>0</v>
      </c>
      <c r="AX23" s="65">
        <v>0</v>
      </c>
      <c r="AY23" s="65">
        <v>0</v>
      </c>
      <c r="AZ23" s="65">
        <v>0</v>
      </c>
      <c r="BA23" s="65">
        <v>0</v>
      </c>
      <c r="BB23" s="65">
        <v>0</v>
      </c>
      <c r="BC23" s="65">
        <v>0</v>
      </c>
      <c r="BD23" s="65">
        <v>0</v>
      </c>
    </row>
    <row r="24" spans="3:56" x14ac:dyDescent="0.25">
      <c r="C24" s="48"/>
      <c r="D24" s="49" t="s">
        <v>40</v>
      </c>
      <c r="E24" s="65">
        <v>0</v>
      </c>
      <c r="F24" s="65">
        <v>0</v>
      </c>
      <c r="G24" s="65">
        <v>0</v>
      </c>
      <c r="H24" s="65">
        <v>0</v>
      </c>
      <c r="I24" s="65">
        <v>0</v>
      </c>
      <c r="J24" s="65">
        <v>0</v>
      </c>
      <c r="K24" s="65">
        <v>0</v>
      </c>
      <c r="L24" s="65">
        <v>0</v>
      </c>
      <c r="M24" s="65">
        <v>0</v>
      </c>
      <c r="N24" s="65">
        <v>0</v>
      </c>
      <c r="O24" s="65">
        <v>0</v>
      </c>
      <c r="P24" s="65">
        <v>0</v>
      </c>
      <c r="Q24" s="65">
        <v>0</v>
      </c>
      <c r="R24" s="65">
        <v>0</v>
      </c>
      <c r="S24" s="65">
        <v>0</v>
      </c>
      <c r="T24" s="65">
        <v>0</v>
      </c>
      <c r="U24" s="65">
        <v>0</v>
      </c>
      <c r="V24" s="65">
        <v>0</v>
      </c>
      <c r="W24" s="65">
        <v>0</v>
      </c>
      <c r="X24" s="65">
        <v>0</v>
      </c>
      <c r="Y24" s="65">
        <v>0</v>
      </c>
      <c r="Z24" s="65">
        <v>0</v>
      </c>
      <c r="AA24" s="65">
        <v>0</v>
      </c>
      <c r="AB24" s="65">
        <v>0</v>
      </c>
      <c r="AC24" s="65">
        <v>0</v>
      </c>
      <c r="AD24" s="65">
        <v>0</v>
      </c>
      <c r="AE24" s="65">
        <v>0</v>
      </c>
      <c r="AF24" s="65">
        <v>0</v>
      </c>
      <c r="AG24" s="65">
        <v>0</v>
      </c>
      <c r="AH24" s="65">
        <v>0</v>
      </c>
      <c r="AI24" s="65">
        <v>0</v>
      </c>
      <c r="AJ24" s="65">
        <v>0</v>
      </c>
      <c r="AK24" s="65">
        <v>0</v>
      </c>
      <c r="AL24" s="65">
        <v>0</v>
      </c>
      <c r="AM24" s="65">
        <v>0</v>
      </c>
      <c r="AN24" s="65">
        <v>0</v>
      </c>
      <c r="AO24" s="65">
        <v>0</v>
      </c>
      <c r="AP24" s="65">
        <v>0</v>
      </c>
      <c r="AQ24" s="65">
        <v>0</v>
      </c>
      <c r="AR24" s="65">
        <v>0</v>
      </c>
      <c r="AS24" s="65">
        <v>0</v>
      </c>
      <c r="AT24" s="65">
        <v>0</v>
      </c>
      <c r="AU24" s="65">
        <v>0</v>
      </c>
      <c r="AV24" s="65">
        <v>0</v>
      </c>
      <c r="AW24" s="65">
        <v>0</v>
      </c>
      <c r="AX24" s="65">
        <v>0</v>
      </c>
      <c r="AY24" s="65">
        <v>0</v>
      </c>
      <c r="AZ24" s="65">
        <v>0</v>
      </c>
      <c r="BA24" s="65">
        <v>0</v>
      </c>
      <c r="BB24" s="65">
        <v>0</v>
      </c>
      <c r="BC24" s="65">
        <v>0</v>
      </c>
      <c r="BD24" s="65">
        <v>0</v>
      </c>
    </row>
    <row r="25" spans="3:56" x14ac:dyDescent="0.25">
      <c r="C25" s="48"/>
      <c r="D25" s="50" t="s">
        <v>41</v>
      </c>
      <c r="E25" s="54">
        <f t="shared" ref="E25:BD25" si="2">(SUM(E18:E24)*E27)/((40*(1-E26)+40))</f>
        <v>0</v>
      </c>
      <c r="F25" s="54">
        <f t="shared" si="2"/>
        <v>0</v>
      </c>
      <c r="G25" s="54">
        <f t="shared" si="2"/>
        <v>0</v>
      </c>
      <c r="H25" s="54">
        <f t="shared" si="2"/>
        <v>-4.8463695652173913</v>
      </c>
      <c r="I25" s="54">
        <f t="shared" si="2"/>
        <v>-4.9202826086956524</v>
      </c>
      <c r="J25" s="54">
        <f t="shared" si="2"/>
        <v>0</v>
      </c>
      <c r="K25" s="54">
        <f t="shared" si="2"/>
        <v>-8.7275217391304345</v>
      </c>
      <c r="L25" s="54">
        <f t="shared" si="2"/>
        <v>-4.2365869565217391</v>
      </c>
      <c r="M25" s="54">
        <f t="shared" si="2"/>
        <v>-4.4778913043478266</v>
      </c>
      <c r="N25" s="54">
        <f t="shared" si="2"/>
        <v>-4.4996304347826088</v>
      </c>
      <c r="O25" s="54">
        <f t="shared" si="2"/>
        <v>-4.3431086956521741</v>
      </c>
      <c r="P25" s="54">
        <f t="shared" si="2"/>
        <v>0</v>
      </c>
      <c r="Q25" s="54">
        <f t="shared" si="2"/>
        <v>-4.412673913043478</v>
      </c>
      <c r="R25" s="54">
        <f t="shared" si="2"/>
        <v>0</v>
      </c>
      <c r="S25" s="54">
        <f t="shared" si="2"/>
        <v>0</v>
      </c>
      <c r="T25" s="54">
        <f t="shared" si="2"/>
        <v>-5.9929239130434784</v>
      </c>
      <c r="U25" s="54">
        <f t="shared" si="2"/>
        <v>-1.7134021739130436</v>
      </c>
      <c r="V25" s="54">
        <f t="shared" si="2"/>
        <v>0</v>
      </c>
      <c r="W25" s="54">
        <f t="shared" si="2"/>
        <v>0</v>
      </c>
      <c r="X25" s="54">
        <f t="shared" si="2"/>
        <v>1.6503586956521739</v>
      </c>
      <c r="Y25" s="54">
        <f t="shared" si="2"/>
        <v>0</v>
      </c>
      <c r="Z25" s="54">
        <f t="shared" si="2"/>
        <v>0</v>
      </c>
      <c r="AA25" s="54">
        <f t="shared" si="2"/>
        <v>6.0870641872173916</v>
      </c>
      <c r="AB25" s="54">
        <f t="shared" si="2"/>
        <v>4.4739921776047824</v>
      </c>
      <c r="AC25" s="54">
        <f t="shared" si="2"/>
        <v>2.9230082227017911</v>
      </c>
      <c r="AD25" s="54">
        <f t="shared" si="2"/>
        <v>-3.1254176234651463</v>
      </c>
      <c r="AE25" s="54">
        <f t="shared" si="2"/>
        <v>-3.0629092709958439</v>
      </c>
      <c r="AF25" s="54">
        <f t="shared" si="2"/>
        <v>0</v>
      </c>
      <c r="AG25" s="54">
        <f t="shared" si="2"/>
        <v>-2.9416180638644081</v>
      </c>
      <c r="AH25" s="54">
        <f t="shared" si="2"/>
        <v>0</v>
      </c>
      <c r="AI25" s="54">
        <f t="shared" si="2"/>
        <v>0</v>
      </c>
      <c r="AJ25" s="54">
        <f t="shared" si="2"/>
        <v>0</v>
      </c>
      <c r="AK25" s="54">
        <f t="shared" si="2"/>
        <v>0</v>
      </c>
      <c r="AL25" s="54">
        <f t="shared" si="2"/>
        <v>0</v>
      </c>
      <c r="AM25" s="54">
        <f t="shared" si="2"/>
        <v>0</v>
      </c>
      <c r="AN25" s="54">
        <f t="shared" si="2"/>
        <v>0</v>
      </c>
      <c r="AO25" s="54">
        <f t="shared" si="2"/>
        <v>0</v>
      </c>
      <c r="AP25" s="54">
        <f t="shared" si="2"/>
        <v>0</v>
      </c>
      <c r="AQ25" s="54">
        <f t="shared" si="2"/>
        <v>0</v>
      </c>
      <c r="AR25" s="54">
        <f t="shared" si="2"/>
        <v>0</v>
      </c>
      <c r="AS25" s="54">
        <f t="shared" si="2"/>
        <v>0</v>
      </c>
      <c r="AT25" s="54">
        <f t="shared" si="2"/>
        <v>0</v>
      </c>
      <c r="AU25" s="54">
        <f t="shared" si="2"/>
        <v>0</v>
      </c>
      <c r="AV25" s="54">
        <f t="shared" si="2"/>
        <v>0</v>
      </c>
      <c r="AW25" s="54">
        <f t="shared" si="2"/>
        <v>0</v>
      </c>
      <c r="AX25" s="54">
        <f t="shared" si="2"/>
        <v>0</v>
      </c>
      <c r="AY25" s="54">
        <f t="shared" si="2"/>
        <v>0</v>
      </c>
      <c r="AZ25" s="54">
        <f t="shared" si="2"/>
        <v>18.833384348475569</v>
      </c>
      <c r="BA25" s="54">
        <f t="shared" si="2"/>
        <v>8.9025951655064102</v>
      </c>
      <c r="BB25" s="54">
        <f t="shared" si="2"/>
        <v>0</v>
      </c>
      <c r="BC25" s="54">
        <f t="shared" si="2"/>
        <v>0</v>
      </c>
      <c r="BD25" s="54">
        <f t="shared" si="2"/>
        <v>0</v>
      </c>
    </row>
    <row r="26" spans="3:56" x14ac:dyDescent="0.25">
      <c r="C26" s="48"/>
      <c r="D26" s="50" t="s">
        <v>42</v>
      </c>
      <c r="E26" s="67">
        <v>0.85</v>
      </c>
      <c r="F26" s="67">
        <v>0.85</v>
      </c>
      <c r="G26" s="67">
        <v>0.85</v>
      </c>
      <c r="H26" s="67">
        <v>0.85</v>
      </c>
      <c r="I26" s="67">
        <v>0.85</v>
      </c>
      <c r="J26" s="67">
        <v>0.85</v>
      </c>
      <c r="K26" s="67">
        <v>0.85</v>
      </c>
      <c r="L26" s="67">
        <v>0.85</v>
      </c>
      <c r="M26" s="67">
        <v>0.85</v>
      </c>
      <c r="N26" s="67">
        <v>0.85</v>
      </c>
      <c r="O26" s="67">
        <v>0.85</v>
      </c>
      <c r="P26" s="67">
        <v>0.85</v>
      </c>
      <c r="Q26" s="67">
        <v>0.85</v>
      </c>
      <c r="R26" s="67">
        <v>0.85</v>
      </c>
      <c r="S26" s="67">
        <v>0.85</v>
      </c>
      <c r="T26" s="67">
        <v>0.85</v>
      </c>
      <c r="U26" s="67">
        <v>0.85</v>
      </c>
      <c r="V26" s="67">
        <v>0.85</v>
      </c>
      <c r="W26" s="67">
        <v>0.85</v>
      </c>
      <c r="X26" s="67">
        <v>0.85</v>
      </c>
      <c r="Y26" s="67">
        <v>0.85</v>
      </c>
      <c r="Z26" s="67">
        <v>0.85</v>
      </c>
      <c r="AA26" s="67">
        <v>0.85</v>
      </c>
      <c r="AB26" s="67">
        <v>0.85</v>
      </c>
      <c r="AC26" s="67">
        <v>0.85</v>
      </c>
      <c r="AD26" s="67">
        <v>0.85</v>
      </c>
      <c r="AE26" s="67">
        <v>0.85</v>
      </c>
      <c r="AF26" s="67">
        <v>0.85</v>
      </c>
      <c r="AG26" s="67">
        <v>0.85</v>
      </c>
      <c r="AH26" s="67">
        <v>0.85</v>
      </c>
      <c r="AI26" s="67">
        <v>0.85</v>
      </c>
      <c r="AJ26" s="67">
        <v>0.85</v>
      </c>
      <c r="AK26" s="67">
        <v>0.85</v>
      </c>
      <c r="AL26" s="67">
        <v>0.85</v>
      </c>
      <c r="AM26" s="67">
        <v>0.85</v>
      </c>
      <c r="AN26" s="67">
        <v>0.85</v>
      </c>
      <c r="AO26" s="67">
        <v>0.85</v>
      </c>
      <c r="AP26" s="67">
        <v>0.85</v>
      </c>
      <c r="AQ26" s="67">
        <v>0.85</v>
      </c>
      <c r="AR26" s="67">
        <v>0.85</v>
      </c>
      <c r="AS26" s="67">
        <v>0.85</v>
      </c>
      <c r="AT26" s="67">
        <v>0.85</v>
      </c>
      <c r="AU26" s="67">
        <v>0.85</v>
      </c>
      <c r="AV26" s="67">
        <v>0.85</v>
      </c>
      <c r="AW26" s="67">
        <v>0.85</v>
      </c>
      <c r="AX26" s="67">
        <v>0.85</v>
      </c>
      <c r="AY26" s="67">
        <v>0.85</v>
      </c>
      <c r="AZ26" s="67">
        <v>0.85</v>
      </c>
      <c r="BA26" s="67">
        <v>0.85</v>
      </c>
      <c r="BB26" s="67">
        <v>0.85</v>
      </c>
      <c r="BC26" s="67">
        <v>0.85</v>
      </c>
      <c r="BD26" s="67">
        <v>0.85</v>
      </c>
    </row>
    <row r="27" spans="3:56" x14ac:dyDescent="0.25">
      <c r="C27" s="48"/>
      <c r="D27" s="50" t="s">
        <v>43</v>
      </c>
      <c r="E27" s="65">
        <v>0</v>
      </c>
      <c r="F27" s="65">
        <v>0</v>
      </c>
      <c r="G27" s="65">
        <v>0</v>
      </c>
      <c r="H27" s="65">
        <v>-4</v>
      </c>
      <c r="I27" s="65">
        <v>-4</v>
      </c>
      <c r="J27" s="65">
        <v>0</v>
      </c>
      <c r="K27" s="65">
        <v>-8</v>
      </c>
      <c r="L27" s="65">
        <v>-4</v>
      </c>
      <c r="M27" s="65">
        <v>-4</v>
      </c>
      <c r="N27" s="65">
        <v>-4</v>
      </c>
      <c r="O27" s="65">
        <v>-4</v>
      </c>
      <c r="P27" s="65">
        <v>0</v>
      </c>
      <c r="Q27" s="65">
        <v>-4</v>
      </c>
      <c r="R27" s="65">
        <v>0</v>
      </c>
      <c r="S27" s="65">
        <v>0</v>
      </c>
      <c r="T27" s="65">
        <v>-6</v>
      </c>
      <c r="U27" s="65">
        <v>-2</v>
      </c>
      <c r="V27" s="65">
        <v>0</v>
      </c>
      <c r="W27" s="65">
        <v>0</v>
      </c>
      <c r="X27" s="65">
        <v>2</v>
      </c>
      <c r="Y27" s="65">
        <v>0</v>
      </c>
      <c r="Z27" s="65">
        <v>0</v>
      </c>
      <c r="AA27" s="65">
        <v>8</v>
      </c>
      <c r="AB27" s="65">
        <v>6</v>
      </c>
      <c r="AC27" s="65">
        <v>4</v>
      </c>
      <c r="AD27" s="65">
        <v>-4</v>
      </c>
      <c r="AE27" s="65">
        <v>-4</v>
      </c>
      <c r="AF27" s="65">
        <v>0</v>
      </c>
      <c r="AG27" s="65">
        <v>-4</v>
      </c>
      <c r="AH27" s="65">
        <v>0</v>
      </c>
      <c r="AI27" s="65">
        <v>0</v>
      </c>
      <c r="AJ27" s="65">
        <v>0</v>
      </c>
      <c r="AK27" s="65">
        <v>0</v>
      </c>
      <c r="AL27" s="65">
        <v>0</v>
      </c>
      <c r="AM27" s="65">
        <v>0</v>
      </c>
      <c r="AN27" s="65">
        <v>0</v>
      </c>
      <c r="AO27" s="65">
        <v>0</v>
      </c>
      <c r="AP27" s="65">
        <v>0</v>
      </c>
      <c r="AQ27" s="65">
        <v>0</v>
      </c>
      <c r="AR27" s="65">
        <v>0</v>
      </c>
      <c r="AS27" s="65">
        <v>0</v>
      </c>
      <c r="AT27" s="65">
        <v>0</v>
      </c>
      <c r="AU27" s="65">
        <v>0</v>
      </c>
      <c r="AV27" s="65">
        <v>0</v>
      </c>
      <c r="AW27" s="65">
        <v>0</v>
      </c>
      <c r="AX27" s="65">
        <v>0</v>
      </c>
      <c r="AY27" s="65">
        <v>0</v>
      </c>
      <c r="AZ27" s="65">
        <v>8</v>
      </c>
      <c r="BA27" s="65">
        <v>4</v>
      </c>
      <c r="BB27" s="65">
        <v>0</v>
      </c>
      <c r="BC27" s="65">
        <v>0</v>
      </c>
      <c r="BD27" s="65">
        <v>0</v>
      </c>
    </row>
    <row r="28" spans="3:56" x14ac:dyDescent="0.25">
      <c r="C28" s="48"/>
      <c r="D28" s="51" t="s">
        <v>44</v>
      </c>
      <c r="E28" s="55">
        <f t="shared" ref="E28:L28" si="3">SUM(E18:E25)</f>
        <v>61.562499999999993</v>
      </c>
      <c r="F28" s="55">
        <f t="shared" si="3"/>
        <v>52.412500000000001</v>
      </c>
      <c r="G28" s="55">
        <f t="shared" si="3"/>
        <v>47.983249999999998</v>
      </c>
      <c r="H28" s="55">
        <f t="shared" si="3"/>
        <v>50.886880434782604</v>
      </c>
      <c r="I28" s="55">
        <f t="shared" si="3"/>
        <v>51.662967391304349</v>
      </c>
      <c r="J28" s="55">
        <f t="shared" si="3"/>
        <v>55.58325</v>
      </c>
      <c r="K28" s="55">
        <f t="shared" si="3"/>
        <v>41.455728260869563</v>
      </c>
      <c r="L28" s="55">
        <f t="shared" si="3"/>
        <v>44.484163043478254</v>
      </c>
      <c r="M28" s="55">
        <f t="shared" ref="M28:BD28" si="4">SUM(M18:M25)</f>
        <v>47.017858695652173</v>
      </c>
      <c r="N28" s="55">
        <f t="shared" si="4"/>
        <v>47.246119565217391</v>
      </c>
      <c r="O28" s="55">
        <f t="shared" si="4"/>
        <v>45.602641304347827</v>
      </c>
      <c r="P28" s="55">
        <f t="shared" si="4"/>
        <v>50.75</v>
      </c>
      <c r="Q28" s="55">
        <f t="shared" si="4"/>
        <v>46.333076086956524</v>
      </c>
      <c r="R28" s="55">
        <f t="shared" si="4"/>
        <v>46.745750000000001</v>
      </c>
      <c r="S28" s="55">
        <f t="shared" si="4"/>
        <v>46.945750000000004</v>
      </c>
      <c r="T28" s="55">
        <f t="shared" si="4"/>
        <v>39.952826086956527</v>
      </c>
      <c r="U28" s="55">
        <f t="shared" si="4"/>
        <v>37.694847826086956</v>
      </c>
      <c r="V28" s="55">
        <f t="shared" si="4"/>
        <v>38.95825</v>
      </c>
      <c r="W28" s="55">
        <f t="shared" si="4"/>
        <v>38.45825</v>
      </c>
      <c r="X28" s="55">
        <f t="shared" si="4"/>
        <v>39.608608695652173</v>
      </c>
      <c r="Y28" s="55">
        <f t="shared" si="4"/>
        <v>36.819502499999999</v>
      </c>
      <c r="Z28" s="55">
        <f t="shared" si="4"/>
        <v>35.714917424999996</v>
      </c>
      <c r="AA28" s="55">
        <f t="shared" si="4"/>
        <v>41.087683263717395</v>
      </c>
      <c r="AB28" s="55">
        <f t="shared" si="4"/>
        <v>38.774598872574785</v>
      </c>
      <c r="AC28" s="55">
        <f t="shared" si="4"/>
        <v>36.537602783772385</v>
      </c>
      <c r="AD28" s="55">
        <f t="shared" si="4"/>
        <v>32.816885046384037</v>
      </c>
      <c r="AE28" s="55">
        <f t="shared" si="4"/>
        <v>32.160547345456358</v>
      </c>
      <c r="AF28" s="55">
        <f t="shared" si="4"/>
        <v>34.518987484123159</v>
      </c>
      <c r="AG28" s="55">
        <f t="shared" si="4"/>
        <v>30.886989670576288</v>
      </c>
      <c r="AH28" s="55">
        <f t="shared" si="4"/>
        <v>33.152035579751882</v>
      </c>
      <c r="AI28" s="55">
        <f t="shared" si="4"/>
        <v>32.488994868156844</v>
      </c>
      <c r="AJ28" s="55">
        <f t="shared" si="4"/>
        <v>43.089214970793705</v>
      </c>
      <c r="AK28" s="55">
        <f t="shared" si="4"/>
        <v>42.227430671377832</v>
      </c>
      <c r="AL28" s="55">
        <f t="shared" si="4"/>
        <v>41.382882057950276</v>
      </c>
      <c r="AM28" s="55">
        <f t="shared" si="4"/>
        <v>40.555224416791276</v>
      </c>
      <c r="AN28" s="55">
        <f t="shared" si="4"/>
        <v>39.014125888953203</v>
      </c>
      <c r="AO28" s="55">
        <f t="shared" si="4"/>
        <v>37.531589105172984</v>
      </c>
      <c r="AP28" s="55">
        <f t="shared" si="4"/>
        <v>36.10538871917641</v>
      </c>
      <c r="AQ28" s="55">
        <f t="shared" si="4"/>
        <v>34.733383947847706</v>
      </c>
      <c r="AR28" s="55">
        <f t="shared" si="4"/>
        <v>33.413515357829496</v>
      </c>
      <c r="AS28" s="55">
        <f t="shared" si="4"/>
        <v>32.076974743516317</v>
      </c>
      <c r="AT28" s="55">
        <f t="shared" si="4"/>
        <v>35.793895753775658</v>
      </c>
      <c r="AU28" s="55">
        <f t="shared" si="4"/>
        <v>56.862139923624639</v>
      </c>
      <c r="AV28" s="55">
        <f t="shared" si="4"/>
        <v>49.587654326679655</v>
      </c>
      <c r="AW28" s="55">
        <f t="shared" si="4"/>
        <v>112.12888889401169</v>
      </c>
      <c r="AX28" s="55">
        <f t="shared" si="4"/>
        <v>90.916000004610524</v>
      </c>
      <c r="AY28" s="55">
        <f t="shared" si="4"/>
        <v>120.32440000414948</v>
      </c>
      <c r="AZ28" s="55">
        <f t="shared" si="4"/>
        <v>127.12534435221008</v>
      </c>
      <c r="BA28" s="55">
        <f t="shared" si="4"/>
        <v>111.28243956883013</v>
      </c>
      <c r="BB28" s="55">
        <f t="shared" si="4"/>
        <v>96.118061518958115</v>
      </c>
      <c r="BC28" s="55">
        <f t="shared" si="4"/>
        <v>98.545074751872718</v>
      </c>
      <c r="BD28" s="55">
        <f t="shared" si="4"/>
        <v>87.70511652916673</v>
      </c>
    </row>
    <row r="29" spans="3:56" x14ac:dyDescent="0.25">
      <c r="C29" s="48"/>
      <c r="D29" s="52" t="s">
        <v>45</v>
      </c>
      <c r="E29" s="56">
        <f t="shared" ref="E29:AJ29" si="5">E28-E7</f>
        <v>-5.9868081676492935</v>
      </c>
      <c r="F29" s="56">
        <f t="shared" si="5"/>
        <v>-1.3528039489390764</v>
      </c>
      <c r="G29" s="56">
        <f t="shared" si="5"/>
        <v>2.9849209296690162</v>
      </c>
      <c r="H29" s="56">
        <f t="shared" si="5"/>
        <v>9.1122050622381323</v>
      </c>
      <c r="I29" s="56">
        <f t="shared" si="5"/>
        <v>11.443875448001712</v>
      </c>
      <c r="J29" s="56">
        <f t="shared" si="5"/>
        <v>19.098263832559255</v>
      </c>
      <c r="K29" s="56">
        <f t="shared" si="5"/>
        <v>9.6722264338776256</v>
      </c>
      <c r="L29" s="56">
        <f t="shared" si="5"/>
        <v>13.225343503418994</v>
      </c>
      <c r="M29" s="56">
        <f t="shared" si="5"/>
        <v>15.098096250845291</v>
      </c>
      <c r="N29" s="56">
        <f t="shared" si="5"/>
        <v>11.101503559861847</v>
      </c>
      <c r="O29" s="56">
        <f t="shared" si="5"/>
        <v>6.0423972511965971</v>
      </c>
      <c r="P29" s="56">
        <f t="shared" si="5"/>
        <v>12.219808704496437</v>
      </c>
      <c r="Q29" s="56">
        <f t="shared" si="5"/>
        <v>15.303823176548459</v>
      </c>
      <c r="R29" s="56">
        <f t="shared" si="5"/>
        <v>14.779471393233873</v>
      </c>
      <c r="S29" s="56">
        <f t="shared" si="5"/>
        <v>12.212849388187806</v>
      </c>
      <c r="T29" s="56">
        <f t="shared" si="5"/>
        <v>6.3291524015258602</v>
      </c>
      <c r="U29" s="56">
        <f t="shared" si="5"/>
        <v>0.680330288996295</v>
      </c>
      <c r="V29" s="56">
        <f t="shared" si="5"/>
        <v>0.12485838506378855</v>
      </c>
      <c r="W29" s="56">
        <f t="shared" si="5"/>
        <v>0.58835522279434116</v>
      </c>
      <c r="X29" s="56">
        <f t="shared" si="5"/>
        <v>0.94761980535000134</v>
      </c>
      <c r="Y29" s="56">
        <f t="shared" si="5"/>
        <v>1.3411420213766974</v>
      </c>
      <c r="Z29" s="56">
        <f t="shared" si="5"/>
        <v>3.7482791420083181</v>
      </c>
      <c r="AA29" s="56">
        <f t="shared" si="5"/>
        <v>3.963019075844791</v>
      </c>
      <c r="AB29" s="56">
        <f t="shared" si="5"/>
        <v>3.1631735644312613</v>
      </c>
      <c r="AC29" s="56">
        <f t="shared" si="5"/>
        <v>2.67858379060484</v>
      </c>
      <c r="AD29" s="56">
        <f t="shared" si="5"/>
        <v>3.5714673676227164</v>
      </c>
      <c r="AE29" s="56">
        <f t="shared" si="5"/>
        <v>4.4854587454527923</v>
      </c>
      <c r="AF29" s="56">
        <f t="shared" si="5"/>
        <v>4.5907485023849475</v>
      </c>
      <c r="AG29" s="56">
        <f t="shared" si="5"/>
        <v>3.5388174980979628</v>
      </c>
      <c r="AH29" s="56">
        <f t="shared" si="5"/>
        <v>0.77892099889958644</v>
      </c>
      <c r="AI29" s="56">
        <f t="shared" si="5"/>
        <v>-4.793658931211553E-2</v>
      </c>
      <c r="AJ29" s="56">
        <f t="shared" si="5"/>
        <v>7.1722720964682907</v>
      </c>
      <c r="AK29" s="56">
        <f t="shared" ref="AK29:BD29" si="6">AK28-AK7</f>
        <v>5.8912404192367802</v>
      </c>
      <c r="AL29" s="56">
        <f t="shared" si="6"/>
        <v>5.3193277513140487</v>
      </c>
      <c r="AM29" s="56">
        <f t="shared" si="6"/>
        <v>7.7882434558608793</v>
      </c>
      <c r="AN29" s="56">
        <f t="shared" si="6"/>
        <v>9.5305530285632862</v>
      </c>
      <c r="AO29" s="56">
        <f t="shared" si="6"/>
        <v>7.5799773662741856</v>
      </c>
      <c r="AP29" s="56">
        <f t="shared" si="6"/>
        <v>4.8372104338777966</v>
      </c>
      <c r="AQ29" s="56">
        <f t="shared" si="6"/>
        <v>1.3225254874633379</v>
      </c>
      <c r="AR29" s="56">
        <f t="shared" si="6"/>
        <v>-4.557357967287011</v>
      </c>
      <c r="AS29" s="56">
        <f t="shared" si="6"/>
        <v>-7.4834411660827698</v>
      </c>
      <c r="AT29" s="56">
        <f t="shared" si="6"/>
        <v>-4.1736684401424213</v>
      </c>
      <c r="AU29" s="56">
        <f t="shared" si="6"/>
        <v>10.671463375308285</v>
      </c>
      <c r="AV29" s="56">
        <f t="shared" si="6"/>
        <v>-3.2165577215019709</v>
      </c>
      <c r="AW29" s="56">
        <f t="shared" si="6"/>
        <v>52.248774068547121</v>
      </c>
      <c r="AX29" s="56">
        <f t="shared" si="6"/>
        <v>31.753879626184883</v>
      </c>
      <c r="AY29" s="56">
        <f t="shared" si="6"/>
        <v>20.799043566904658</v>
      </c>
      <c r="AZ29" s="56">
        <f t="shared" si="6"/>
        <v>-3.3107202178238708</v>
      </c>
      <c r="BA29" s="56">
        <f t="shared" si="6"/>
        <v>-0.49958808265232335</v>
      </c>
      <c r="BB29" s="56">
        <f t="shared" si="6"/>
        <v>1.4608908080836045</v>
      </c>
      <c r="BC29" s="56">
        <f t="shared" si="6"/>
        <v>37.311869402418957</v>
      </c>
      <c r="BD29" s="56">
        <f t="shared" si="6"/>
        <v>31.779766864129755</v>
      </c>
    </row>
    <row r="30" spans="3:56" x14ac:dyDescent="0.25">
      <c r="C30" s="48"/>
      <c r="D30" s="52" t="s">
        <v>51</v>
      </c>
      <c r="E30" s="56">
        <f t="shared" ref="E30:AJ30" si="7">E135</f>
        <v>22.819852955876627</v>
      </c>
      <c r="F30" s="56">
        <f t="shared" si="7"/>
        <v>20.671297766377947</v>
      </c>
      <c r="G30" s="56">
        <f t="shared" si="7"/>
        <v>15.112117040240776</v>
      </c>
      <c r="H30" s="56">
        <f t="shared" si="7"/>
        <v>15.685128847836467</v>
      </c>
      <c r="I30" s="56">
        <f t="shared" si="7"/>
        <v>23.251665086904183</v>
      </c>
      <c r="J30" s="56">
        <f t="shared" si="7"/>
        <v>33.402812640049717</v>
      </c>
      <c r="K30" s="56">
        <f t="shared" si="7"/>
        <v>19.335486210532537</v>
      </c>
      <c r="L30" s="56">
        <f t="shared" si="7"/>
        <v>22.181533595619911</v>
      </c>
      <c r="M30" s="56">
        <f t="shared" si="7"/>
        <v>20.663966838680906</v>
      </c>
      <c r="N30" s="56">
        <f t="shared" si="7"/>
        <v>12.264066046076408</v>
      </c>
      <c r="O30" s="56">
        <f t="shared" si="7"/>
        <v>0.79432451052431929</v>
      </c>
      <c r="P30" s="56">
        <f t="shared" si="7"/>
        <v>4.9919795723403695</v>
      </c>
      <c r="Q30" s="56">
        <f t="shared" si="7"/>
        <v>16.094860107091975</v>
      </c>
      <c r="R30" s="56">
        <f t="shared" si="7"/>
        <v>18.76798643735269</v>
      </c>
      <c r="S30" s="56">
        <f t="shared" si="7"/>
        <v>13.834750977276897</v>
      </c>
      <c r="T30" s="56">
        <f t="shared" si="7"/>
        <v>2.8678211217019935</v>
      </c>
      <c r="U30" s="56">
        <f t="shared" si="7"/>
        <v>7.4549490353929144</v>
      </c>
      <c r="V30" s="56">
        <f t="shared" si="7"/>
        <v>1.052454079831648</v>
      </c>
      <c r="W30" s="56">
        <f t="shared" si="7"/>
        <v>0.97299798967235063</v>
      </c>
      <c r="X30" s="56">
        <f t="shared" si="7"/>
        <v>-4.1285465643456263</v>
      </c>
      <c r="Y30" s="56">
        <f t="shared" si="7"/>
        <v>0.63922351089247798</v>
      </c>
      <c r="Z30" s="56">
        <f t="shared" si="7"/>
        <v>2.8877049654574733</v>
      </c>
      <c r="AA30" s="56">
        <f t="shared" si="7"/>
        <v>1.4844307290945977</v>
      </c>
      <c r="AB30" s="56">
        <f t="shared" si="7"/>
        <v>3.0779956269559534</v>
      </c>
      <c r="AC30" s="56">
        <f t="shared" si="7"/>
        <v>4.0805155509398503</v>
      </c>
      <c r="AD30" s="56">
        <f t="shared" si="7"/>
        <v>5.9818400614650642</v>
      </c>
      <c r="AE30" s="56">
        <f t="shared" si="7"/>
        <v>9.6131543289103121</v>
      </c>
      <c r="AF30" s="56">
        <f t="shared" si="7"/>
        <v>7.089954845853697</v>
      </c>
      <c r="AG30" s="56">
        <f t="shared" si="7"/>
        <v>9.6105029357566707</v>
      </c>
      <c r="AH30" s="56">
        <f t="shared" si="7"/>
        <v>2.9435591283282605</v>
      </c>
      <c r="AI30" s="56">
        <f t="shared" si="7"/>
        <v>2.7501673072286366</v>
      </c>
      <c r="AJ30" s="56">
        <f t="shared" si="7"/>
        <v>8.7272843964958753</v>
      </c>
      <c r="AK30" s="56">
        <f t="shared" ref="AK30:BD30" si="8">AK135</f>
        <v>4.7941207171052298</v>
      </c>
      <c r="AL30" s="56">
        <f t="shared" si="8"/>
        <v>5.6361870213988681</v>
      </c>
      <c r="AM30" s="56">
        <f t="shared" si="8"/>
        <v>12.87508281687181</v>
      </c>
      <c r="AN30" s="56">
        <f t="shared" si="8"/>
        <v>19.041293267848545</v>
      </c>
      <c r="AO30" s="56">
        <f t="shared" si="8"/>
        <v>15.885974556104173</v>
      </c>
      <c r="AP30" s="56">
        <f t="shared" si="8"/>
        <v>10.810457166559118</v>
      </c>
      <c r="AQ30" s="56">
        <f t="shared" si="8"/>
        <v>3.311198381828163</v>
      </c>
      <c r="AR30" s="56">
        <f t="shared" si="8"/>
        <v>0.27306882995702608</v>
      </c>
      <c r="AS30" s="56">
        <f t="shared" si="8"/>
        <v>-5.5949707591117175</v>
      </c>
      <c r="AT30" s="56">
        <f t="shared" si="8"/>
        <v>5.8660241356077023</v>
      </c>
      <c r="AU30" s="56">
        <f t="shared" si="8"/>
        <v>39.58620678529752</v>
      </c>
      <c r="AV30" s="56">
        <f t="shared" si="8"/>
        <v>57.954559612205074</v>
      </c>
      <c r="AW30" s="56">
        <f t="shared" si="8"/>
        <v>116.85200299544037</v>
      </c>
      <c r="AX30" s="56">
        <f t="shared" si="8"/>
        <v>117.38854605346322</v>
      </c>
      <c r="AY30" s="56">
        <f t="shared" si="8"/>
        <v>46.726822093805708</v>
      </c>
      <c r="AZ30" s="56">
        <f t="shared" si="8"/>
        <v>13.214002377207123</v>
      </c>
      <c r="BA30" s="56">
        <f t="shared" si="8"/>
        <v>15.416196555144893</v>
      </c>
      <c r="BB30" s="56">
        <f t="shared" si="8"/>
        <v>16.819578237732344</v>
      </c>
      <c r="BC30" s="56">
        <f t="shared" si="8"/>
        <v>94.838461117822987</v>
      </c>
      <c r="BD30" s="56">
        <f t="shared" si="8"/>
        <v>91.984642406401321</v>
      </c>
    </row>
    <row r="31" spans="3:56" x14ac:dyDescent="0.25">
      <c r="C31" s="48"/>
      <c r="D31" s="49" t="s">
        <v>49</v>
      </c>
      <c r="E31" s="44">
        <f t="shared" ref="E31:AJ31" si="9">SUM(E10:E16)</f>
        <v>8.875</v>
      </c>
      <c r="F31" s="44">
        <f t="shared" si="9"/>
        <v>5</v>
      </c>
      <c r="G31" s="44">
        <f t="shared" si="9"/>
        <v>0</v>
      </c>
      <c r="H31" s="44">
        <f t="shared" si="9"/>
        <v>9</v>
      </c>
      <c r="I31" s="44">
        <f t="shared" si="9"/>
        <v>1.125</v>
      </c>
      <c r="J31" s="44">
        <f t="shared" si="9"/>
        <v>1.1249999999999991</v>
      </c>
      <c r="K31" s="44">
        <f t="shared" si="9"/>
        <v>1</v>
      </c>
      <c r="L31" s="44">
        <f t="shared" si="9"/>
        <v>0</v>
      </c>
      <c r="M31" s="44">
        <f t="shared" si="9"/>
        <v>0</v>
      </c>
      <c r="N31" s="44">
        <f t="shared" si="9"/>
        <v>-5</v>
      </c>
      <c r="O31" s="44">
        <f t="shared" si="9"/>
        <v>0</v>
      </c>
      <c r="P31" s="44">
        <f t="shared" si="9"/>
        <v>0</v>
      </c>
      <c r="Q31" s="44">
        <f t="shared" si="9"/>
        <v>1</v>
      </c>
      <c r="R31" s="44">
        <f t="shared" si="9"/>
        <v>0</v>
      </c>
      <c r="S31" s="44">
        <f t="shared" si="9"/>
        <v>1</v>
      </c>
      <c r="T31" s="44">
        <f t="shared" si="9"/>
        <v>2</v>
      </c>
      <c r="U31" s="44">
        <f t="shared" si="9"/>
        <v>-2</v>
      </c>
      <c r="V31" s="44">
        <f t="shared" si="9"/>
        <v>0</v>
      </c>
      <c r="W31" s="44">
        <f t="shared" si="9"/>
        <v>0</v>
      </c>
      <c r="X31" s="44">
        <f t="shared" si="9"/>
        <v>-5</v>
      </c>
      <c r="Y31" s="44">
        <f t="shared" si="9"/>
        <v>0</v>
      </c>
      <c r="Z31" s="44">
        <f t="shared" si="9"/>
        <v>-6</v>
      </c>
      <c r="AA31" s="44">
        <f t="shared" si="9"/>
        <v>0</v>
      </c>
      <c r="AB31" s="44">
        <f t="shared" si="9"/>
        <v>0</v>
      </c>
      <c r="AC31" s="44">
        <f t="shared" si="9"/>
        <v>3</v>
      </c>
      <c r="AD31" s="44">
        <f t="shared" si="9"/>
        <v>0</v>
      </c>
      <c r="AE31" s="44">
        <f t="shared" si="9"/>
        <v>1</v>
      </c>
      <c r="AF31" s="44">
        <f t="shared" si="9"/>
        <v>0</v>
      </c>
      <c r="AG31" s="44">
        <f t="shared" si="9"/>
        <v>0</v>
      </c>
      <c r="AH31" s="44">
        <f t="shared" si="9"/>
        <v>6</v>
      </c>
      <c r="AI31" s="44">
        <f t="shared" si="9"/>
        <v>0</v>
      </c>
      <c r="AJ31" s="44">
        <f t="shared" si="9"/>
        <v>0</v>
      </c>
      <c r="AK31" s="44">
        <f t="shared" ref="AK31:BD31" si="10">SUM(AK10:AK16)</f>
        <v>3</v>
      </c>
      <c r="AL31" s="44">
        <f t="shared" si="10"/>
        <v>0</v>
      </c>
      <c r="AM31" s="44">
        <f t="shared" si="10"/>
        <v>0</v>
      </c>
      <c r="AN31" s="44">
        <f t="shared" si="10"/>
        <v>0</v>
      </c>
      <c r="AO31" s="44">
        <f t="shared" si="10"/>
        <v>0</v>
      </c>
      <c r="AP31" s="44">
        <f t="shared" si="10"/>
        <v>0</v>
      </c>
      <c r="AQ31" s="44">
        <f t="shared" si="10"/>
        <v>0</v>
      </c>
      <c r="AR31" s="44">
        <f t="shared" si="10"/>
        <v>0</v>
      </c>
      <c r="AS31" s="44">
        <f t="shared" si="10"/>
        <v>-15</v>
      </c>
      <c r="AT31" s="44">
        <f t="shared" si="10"/>
        <v>0</v>
      </c>
      <c r="AU31" s="44">
        <f t="shared" si="10"/>
        <v>-15</v>
      </c>
      <c r="AV31" s="44">
        <f t="shared" si="10"/>
        <v>5</v>
      </c>
      <c r="AW31" s="44">
        <f t="shared" si="10"/>
        <v>0</v>
      </c>
      <c r="AX31" s="44">
        <f t="shared" si="10"/>
        <v>14</v>
      </c>
      <c r="AY31" s="44">
        <f t="shared" si="10"/>
        <v>-3</v>
      </c>
      <c r="AZ31" s="44">
        <f t="shared" si="10"/>
        <v>6</v>
      </c>
      <c r="BA31" s="44">
        <f t="shared" si="10"/>
        <v>0</v>
      </c>
      <c r="BB31" s="44">
        <f t="shared" si="10"/>
        <v>0</v>
      </c>
      <c r="BC31" s="44">
        <f t="shared" si="10"/>
        <v>0</v>
      </c>
      <c r="BD31" s="44">
        <f t="shared" si="10"/>
        <v>0</v>
      </c>
    </row>
    <row r="32" spans="3:56" x14ac:dyDescent="0.25">
      <c r="C32" s="48"/>
      <c r="E32" s="42"/>
      <c r="F32" s="42"/>
      <c r="G32" s="42"/>
      <c r="H32" s="42"/>
      <c r="I32" s="42"/>
      <c r="J32" s="42"/>
      <c r="K32" s="42"/>
      <c r="L32" s="42"/>
      <c r="M32" s="42"/>
    </row>
    <row r="33" spans="3:56" x14ac:dyDescent="0.25">
      <c r="D33" s="46" t="s">
        <v>20</v>
      </c>
      <c r="E33" s="82">
        <f t="shared" ref="E33:AJ33" si="11">E2</f>
        <v>44569</v>
      </c>
      <c r="F33" s="82">
        <f t="shared" si="11"/>
        <v>44576</v>
      </c>
      <c r="G33" s="82">
        <f t="shared" si="11"/>
        <v>44583</v>
      </c>
      <c r="H33" s="82">
        <f t="shared" si="11"/>
        <v>44590</v>
      </c>
      <c r="I33" s="82">
        <f t="shared" si="11"/>
        <v>44597</v>
      </c>
      <c r="J33" s="82">
        <f t="shared" si="11"/>
        <v>44604</v>
      </c>
      <c r="K33" s="82">
        <f t="shared" si="11"/>
        <v>44611</v>
      </c>
      <c r="L33" s="82">
        <f t="shared" si="11"/>
        <v>44618</v>
      </c>
      <c r="M33" s="82">
        <f t="shared" si="11"/>
        <v>44625</v>
      </c>
      <c r="N33" s="82">
        <f t="shared" si="11"/>
        <v>44632</v>
      </c>
      <c r="O33" s="82">
        <f t="shared" si="11"/>
        <v>44639</v>
      </c>
      <c r="P33" s="82">
        <f t="shared" si="11"/>
        <v>44646</v>
      </c>
      <c r="Q33" s="82">
        <f t="shared" si="11"/>
        <v>44653</v>
      </c>
      <c r="R33" s="82">
        <f t="shared" si="11"/>
        <v>44660</v>
      </c>
      <c r="S33" s="82">
        <f t="shared" si="11"/>
        <v>44667</v>
      </c>
      <c r="T33" s="82">
        <f t="shared" si="11"/>
        <v>44674</v>
      </c>
      <c r="U33" s="82">
        <f t="shared" si="11"/>
        <v>44681</v>
      </c>
      <c r="V33" s="82">
        <f t="shared" si="11"/>
        <v>44688</v>
      </c>
      <c r="W33" s="82">
        <f t="shared" si="11"/>
        <v>44695</v>
      </c>
      <c r="X33" s="82">
        <f t="shared" si="11"/>
        <v>44702</v>
      </c>
      <c r="Y33" s="82">
        <f t="shared" si="11"/>
        <v>44709</v>
      </c>
      <c r="Z33" s="82">
        <f t="shared" si="11"/>
        <v>44716</v>
      </c>
      <c r="AA33" s="82">
        <f t="shared" si="11"/>
        <v>44723</v>
      </c>
      <c r="AB33" s="82">
        <f t="shared" si="11"/>
        <v>44730</v>
      </c>
      <c r="AC33" s="82">
        <f t="shared" si="11"/>
        <v>44737</v>
      </c>
      <c r="AD33" s="82">
        <f t="shared" si="11"/>
        <v>44744</v>
      </c>
      <c r="AE33" s="82">
        <f t="shared" si="11"/>
        <v>44751</v>
      </c>
      <c r="AF33" s="82">
        <f t="shared" si="11"/>
        <v>44758</v>
      </c>
      <c r="AG33" s="82">
        <f t="shared" si="11"/>
        <v>44765</v>
      </c>
      <c r="AH33" s="82">
        <f t="shared" si="11"/>
        <v>44772</v>
      </c>
      <c r="AI33" s="82">
        <f t="shared" si="11"/>
        <v>44779</v>
      </c>
      <c r="AJ33" s="82">
        <f t="shared" si="11"/>
        <v>44786</v>
      </c>
      <c r="AK33" s="82">
        <f t="shared" ref="AK33:BD33" si="12">AK2</f>
        <v>44793</v>
      </c>
      <c r="AL33" s="82">
        <f t="shared" si="12"/>
        <v>44800</v>
      </c>
      <c r="AM33" s="82">
        <f t="shared" si="12"/>
        <v>44807</v>
      </c>
      <c r="AN33" s="82">
        <f t="shared" si="12"/>
        <v>44814</v>
      </c>
      <c r="AO33" s="82">
        <f t="shared" si="12"/>
        <v>44821</v>
      </c>
      <c r="AP33" s="82">
        <f t="shared" si="12"/>
        <v>44828</v>
      </c>
      <c r="AQ33" s="82">
        <f t="shared" si="12"/>
        <v>44835</v>
      </c>
      <c r="AR33" s="82">
        <f t="shared" si="12"/>
        <v>44842</v>
      </c>
      <c r="AS33" s="82">
        <f t="shared" si="12"/>
        <v>44849</v>
      </c>
      <c r="AT33" s="82">
        <f t="shared" si="12"/>
        <v>44856</v>
      </c>
      <c r="AU33" s="82">
        <f t="shared" si="12"/>
        <v>44863</v>
      </c>
      <c r="AV33" s="82">
        <f t="shared" si="12"/>
        <v>44870</v>
      </c>
      <c r="AW33" s="82">
        <f t="shared" si="12"/>
        <v>44877</v>
      </c>
      <c r="AX33" s="82">
        <f t="shared" si="12"/>
        <v>44884</v>
      </c>
      <c r="AY33" s="82">
        <f t="shared" si="12"/>
        <v>44891</v>
      </c>
      <c r="AZ33" s="82">
        <f t="shared" si="12"/>
        <v>44898</v>
      </c>
      <c r="BA33" s="82">
        <f t="shared" si="12"/>
        <v>44905</v>
      </c>
      <c r="BB33" s="82">
        <f t="shared" si="12"/>
        <v>44912</v>
      </c>
      <c r="BC33" s="82">
        <f t="shared" si="12"/>
        <v>44919</v>
      </c>
      <c r="BD33" s="82">
        <f t="shared" si="12"/>
        <v>44926</v>
      </c>
    </row>
    <row r="34" spans="3:56" x14ac:dyDescent="0.25">
      <c r="C34" s="107" t="s">
        <v>20</v>
      </c>
      <c r="D34" s="41" t="s">
        <v>21</v>
      </c>
      <c r="E34" s="70">
        <v>3473.8690035731479</v>
      </c>
      <c r="F34" s="70">
        <v>2653.3885671929247</v>
      </c>
      <c r="G34" s="70">
        <v>2184.0499999999997</v>
      </c>
      <c r="H34" s="70">
        <v>2071</v>
      </c>
      <c r="I34" s="70">
        <v>2009.0919200000003</v>
      </c>
      <c r="J34" s="70">
        <v>1725.9219999999998</v>
      </c>
      <c r="K34" s="70">
        <v>1487.2439999999999</v>
      </c>
      <c r="L34" s="70">
        <v>1455.4759999999999</v>
      </c>
      <c r="M34" s="70">
        <v>1495.6039999999998</v>
      </c>
      <c r="N34" s="70">
        <v>1616.4059999999999</v>
      </c>
      <c r="O34" s="70">
        <v>1860.1</v>
      </c>
      <c r="P34" s="70">
        <v>1861.3539999999998</v>
      </c>
      <c r="Q34" s="70">
        <v>1493.9319999999998</v>
      </c>
      <c r="R34" s="70">
        <v>1414.93</v>
      </c>
      <c r="S34" s="70">
        <v>1417.0199999999998</v>
      </c>
      <c r="T34" s="70">
        <v>1802.1442999999999</v>
      </c>
      <c r="U34" s="70">
        <v>1583.9999999999998</v>
      </c>
      <c r="V34" s="70">
        <v>1725.731543525</v>
      </c>
      <c r="W34" s="70">
        <v>1489.3340000000001</v>
      </c>
      <c r="X34" s="70">
        <v>1462.164</v>
      </c>
      <c r="Y34" s="70">
        <v>1449.7493999999999</v>
      </c>
      <c r="Z34" s="70">
        <v>1227.6659999999999</v>
      </c>
      <c r="AA34" s="70">
        <v>1521.1020000000001</v>
      </c>
      <c r="AB34" s="70">
        <v>1435.412</v>
      </c>
      <c r="AC34" s="70">
        <v>1356.828</v>
      </c>
      <c r="AD34" s="70">
        <v>1169.5640000000001</v>
      </c>
      <c r="AE34" s="70">
        <v>1019.9199999999998</v>
      </c>
      <c r="AF34" s="70">
        <v>1141.558</v>
      </c>
      <c r="AG34" s="70">
        <v>1025.3539999999998</v>
      </c>
      <c r="AH34" s="70">
        <v>1220.56</v>
      </c>
      <c r="AI34" s="70">
        <v>1260.2699999999998</v>
      </c>
      <c r="AJ34" s="70">
        <v>1417.4379999999999</v>
      </c>
      <c r="AK34" s="70">
        <v>1480.556</v>
      </c>
      <c r="AL34" s="70">
        <v>1464.2539999999999</v>
      </c>
      <c r="AM34" s="70">
        <v>1333.59059010794</v>
      </c>
      <c r="AN34" s="70">
        <v>1179.7535396435421</v>
      </c>
      <c r="AO34" s="70">
        <v>1201.0924087062967</v>
      </c>
      <c r="AP34" s="70">
        <v>1258.7598537567912</v>
      </c>
      <c r="AQ34" s="70">
        <v>1369.5188971169541</v>
      </c>
      <c r="AR34" s="70">
        <v>1275.1660942080823</v>
      </c>
      <c r="AS34" s="70">
        <v>1346.4189490218796</v>
      </c>
      <c r="AT34" s="70">
        <v>1387.9945666650324</v>
      </c>
      <c r="AU34" s="70">
        <v>1471.3306369972302</v>
      </c>
      <c r="AV34" s="70">
        <v>1702.1279972531593</v>
      </c>
      <c r="AW34" s="70">
        <v>1819.8505027576075</v>
      </c>
      <c r="AX34" s="70">
        <v>1784.6389947888897</v>
      </c>
      <c r="AY34" s="70">
        <v>4249.6464110947309</v>
      </c>
      <c r="AZ34" s="70">
        <v>5932.2916304049286</v>
      </c>
      <c r="BA34" s="70">
        <v>5150.3642042827014</v>
      </c>
      <c r="BB34" s="70">
        <v>4281.7410456843954</v>
      </c>
      <c r="BC34" s="70">
        <v>2412.9676791134589</v>
      </c>
      <c r="BD34" s="70">
        <v>2171.0779099880624</v>
      </c>
    </row>
    <row r="35" spans="3:56" x14ac:dyDescent="0.25">
      <c r="C35" s="108"/>
      <c r="D35" s="41" t="s">
        <v>22</v>
      </c>
      <c r="E35" s="70">
        <v>485</v>
      </c>
      <c r="F35" s="70">
        <v>485</v>
      </c>
      <c r="G35" s="70">
        <v>485</v>
      </c>
      <c r="H35" s="70">
        <v>470</v>
      </c>
      <c r="I35" s="70">
        <v>470</v>
      </c>
      <c r="J35" s="70">
        <v>470</v>
      </c>
      <c r="K35" s="70">
        <v>450</v>
      </c>
      <c r="L35" s="70">
        <v>450</v>
      </c>
      <c r="M35" s="70">
        <v>450</v>
      </c>
      <c r="N35" s="70">
        <v>425</v>
      </c>
      <c r="O35" s="70">
        <v>425</v>
      </c>
      <c r="P35" s="70">
        <v>425</v>
      </c>
      <c r="Q35" s="70">
        <v>425</v>
      </c>
      <c r="R35" s="70">
        <v>425</v>
      </c>
      <c r="S35" s="70">
        <v>425</v>
      </c>
      <c r="T35" s="70">
        <v>425</v>
      </c>
      <c r="U35" s="70">
        <v>425</v>
      </c>
      <c r="V35" s="70">
        <v>425</v>
      </c>
      <c r="W35" s="70">
        <v>425</v>
      </c>
      <c r="X35" s="70">
        <v>425</v>
      </c>
      <c r="Y35" s="70">
        <v>425</v>
      </c>
      <c r="Z35" s="70">
        <v>425</v>
      </c>
      <c r="AA35" s="70">
        <v>425</v>
      </c>
      <c r="AB35" s="70">
        <v>425</v>
      </c>
      <c r="AC35" s="70">
        <v>425</v>
      </c>
      <c r="AD35" s="70">
        <v>425</v>
      </c>
      <c r="AE35" s="70">
        <v>425</v>
      </c>
      <c r="AF35" s="70">
        <v>425</v>
      </c>
      <c r="AG35" s="70">
        <v>425</v>
      </c>
      <c r="AH35" s="70">
        <v>425</v>
      </c>
      <c r="AI35" s="70">
        <v>425</v>
      </c>
      <c r="AJ35" s="70">
        <v>425</v>
      </c>
      <c r="AK35" s="70">
        <v>425</v>
      </c>
      <c r="AL35" s="70">
        <v>425</v>
      </c>
      <c r="AM35" s="70">
        <v>425</v>
      </c>
      <c r="AN35" s="70">
        <v>425</v>
      </c>
      <c r="AO35" s="70">
        <v>425</v>
      </c>
      <c r="AP35" s="70">
        <v>425</v>
      </c>
      <c r="AQ35" s="70">
        <v>425</v>
      </c>
      <c r="AR35" s="70">
        <v>425</v>
      </c>
      <c r="AS35" s="70">
        <v>425</v>
      </c>
      <c r="AT35" s="70">
        <v>425</v>
      </c>
      <c r="AU35" s="70">
        <v>425</v>
      </c>
      <c r="AV35" s="70">
        <v>475</v>
      </c>
      <c r="AW35" s="70">
        <v>475</v>
      </c>
      <c r="AX35" s="70">
        <v>475</v>
      </c>
      <c r="AY35" s="70">
        <v>475</v>
      </c>
      <c r="AZ35" s="70">
        <v>475</v>
      </c>
      <c r="BA35" s="70">
        <v>475</v>
      </c>
      <c r="BB35" s="70">
        <v>475</v>
      </c>
      <c r="BC35" s="70">
        <v>475</v>
      </c>
      <c r="BD35" s="70">
        <v>475</v>
      </c>
    </row>
    <row r="36" spans="3:56" x14ac:dyDescent="0.25">
      <c r="C36" s="108"/>
      <c r="D36" s="41" t="s">
        <v>30</v>
      </c>
      <c r="E36" s="68">
        <v>0.95</v>
      </c>
      <c r="F36" s="68">
        <v>0.95</v>
      </c>
      <c r="G36" s="68">
        <v>0.95</v>
      </c>
      <c r="H36" s="68">
        <v>0.95</v>
      </c>
      <c r="I36" s="68">
        <v>0.95</v>
      </c>
      <c r="J36" s="68">
        <v>0.95</v>
      </c>
      <c r="K36" s="68">
        <v>0.95</v>
      </c>
      <c r="L36" s="68">
        <v>0.95</v>
      </c>
      <c r="M36" s="68">
        <v>0.95</v>
      </c>
      <c r="N36" s="68">
        <v>0.95</v>
      </c>
      <c r="O36" s="68">
        <v>0.95</v>
      </c>
      <c r="P36" s="68">
        <v>0.95</v>
      </c>
      <c r="Q36" s="68">
        <v>0.95</v>
      </c>
      <c r="R36" s="68">
        <v>0.95</v>
      </c>
      <c r="S36" s="68">
        <v>0.95</v>
      </c>
      <c r="T36" s="68">
        <v>0.95</v>
      </c>
      <c r="U36" s="68">
        <v>0.95</v>
      </c>
      <c r="V36" s="68">
        <v>0.95</v>
      </c>
      <c r="W36" s="68">
        <v>0.95</v>
      </c>
      <c r="X36" s="68">
        <v>0.95</v>
      </c>
      <c r="Y36" s="68">
        <v>0.95</v>
      </c>
      <c r="Z36" s="68">
        <v>0.95</v>
      </c>
      <c r="AA36" s="68">
        <v>0.95</v>
      </c>
      <c r="AB36" s="68">
        <v>0.95</v>
      </c>
      <c r="AC36" s="68">
        <v>0.95</v>
      </c>
      <c r="AD36" s="68">
        <v>0.95</v>
      </c>
      <c r="AE36" s="68">
        <v>0.95</v>
      </c>
      <c r="AF36" s="68">
        <v>0.95</v>
      </c>
      <c r="AG36" s="68">
        <v>0.95</v>
      </c>
      <c r="AH36" s="68">
        <v>0.95</v>
      </c>
      <c r="AI36" s="68">
        <v>0.95</v>
      </c>
      <c r="AJ36" s="68">
        <v>0.95</v>
      </c>
      <c r="AK36" s="68">
        <v>0.95</v>
      </c>
      <c r="AL36" s="68">
        <v>0.95</v>
      </c>
      <c r="AM36" s="68">
        <v>0.95</v>
      </c>
      <c r="AN36" s="68">
        <v>0.95</v>
      </c>
      <c r="AO36" s="68">
        <v>0.95</v>
      </c>
      <c r="AP36" s="68">
        <v>0.95</v>
      </c>
      <c r="AQ36" s="68">
        <v>0.95</v>
      </c>
      <c r="AR36" s="68">
        <v>0.95</v>
      </c>
      <c r="AS36" s="68">
        <v>0.95</v>
      </c>
      <c r="AT36" s="68">
        <v>0.95</v>
      </c>
      <c r="AU36" s="68">
        <v>0.95</v>
      </c>
      <c r="AV36" s="68">
        <v>0.95</v>
      </c>
      <c r="AW36" s="68">
        <v>0.95</v>
      </c>
      <c r="AX36" s="68">
        <v>0.95</v>
      </c>
      <c r="AY36" s="68">
        <v>0.95</v>
      </c>
      <c r="AZ36" s="68">
        <v>0.95</v>
      </c>
      <c r="BA36" s="68">
        <v>0.95</v>
      </c>
      <c r="BB36" s="68">
        <v>0.95</v>
      </c>
      <c r="BC36" s="68">
        <v>0.95</v>
      </c>
      <c r="BD36" s="68">
        <v>0.95</v>
      </c>
    </row>
    <row r="37" spans="3:56" x14ac:dyDescent="0.25">
      <c r="C37" s="108"/>
      <c r="D37" s="41" t="s">
        <v>31</v>
      </c>
      <c r="E37" s="94">
        <v>0.22</v>
      </c>
      <c r="F37" s="94">
        <v>0.22</v>
      </c>
      <c r="G37" s="94">
        <v>0.22</v>
      </c>
      <c r="H37" s="94">
        <v>0.22</v>
      </c>
      <c r="I37" s="94">
        <v>0.22</v>
      </c>
      <c r="J37" s="94">
        <v>0.22</v>
      </c>
      <c r="K37" s="94">
        <v>0.22</v>
      </c>
      <c r="L37" s="94">
        <v>0.22</v>
      </c>
      <c r="M37" s="94">
        <v>0.22</v>
      </c>
      <c r="N37" s="94">
        <v>0.22</v>
      </c>
      <c r="O37" s="94">
        <v>0.22</v>
      </c>
      <c r="P37" s="94">
        <v>0.23249999999999998</v>
      </c>
      <c r="Q37" s="94">
        <v>0.24249999999999999</v>
      </c>
      <c r="R37" s="94">
        <v>0.25</v>
      </c>
      <c r="S37" s="94">
        <v>0.25</v>
      </c>
      <c r="T37" s="94">
        <v>0.25</v>
      </c>
      <c r="U37" s="94">
        <v>0.25</v>
      </c>
      <c r="V37" s="94">
        <v>0.25</v>
      </c>
      <c r="W37" s="94">
        <v>0.27</v>
      </c>
      <c r="X37" s="94">
        <v>0.29000000000000004</v>
      </c>
      <c r="Y37" s="94">
        <v>0.29000000000000004</v>
      </c>
      <c r="Z37" s="94">
        <v>0.29000000000000004</v>
      </c>
      <c r="AA37" s="94">
        <v>0.29000000000000004</v>
      </c>
      <c r="AB37" s="94">
        <v>0.29000000000000004</v>
      </c>
      <c r="AC37" s="94">
        <v>0.29000000000000004</v>
      </c>
      <c r="AD37" s="94">
        <v>0.27</v>
      </c>
      <c r="AE37" s="94">
        <v>0.23</v>
      </c>
      <c r="AF37" s="94">
        <v>0.23</v>
      </c>
      <c r="AG37" s="94">
        <v>0.23</v>
      </c>
      <c r="AH37" s="94">
        <v>0.23</v>
      </c>
      <c r="AI37" s="94">
        <v>0.23</v>
      </c>
      <c r="AJ37" s="94">
        <v>0.23</v>
      </c>
      <c r="AK37" s="94">
        <v>0.23</v>
      </c>
      <c r="AL37" s="94">
        <v>0.23</v>
      </c>
      <c r="AM37" s="94">
        <v>0.23</v>
      </c>
      <c r="AN37" s="94">
        <v>0.23</v>
      </c>
      <c r="AO37" s="94">
        <v>0.23</v>
      </c>
      <c r="AP37" s="94">
        <v>0.23</v>
      </c>
      <c r="AQ37" s="94">
        <v>0.23</v>
      </c>
      <c r="AR37" s="94">
        <v>0.24</v>
      </c>
      <c r="AS37" s="94">
        <v>0.24</v>
      </c>
      <c r="AT37" s="94">
        <v>0.24</v>
      </c>
      <c r="AU37" s="94">
        <v>0.24</v>
      </c>
      <c r="AV37" s="94">
        <v>0.24</v>
      </c>
      <c r="AW37" s="94">
        <v>0.24</v>
      </c>
      <c r="AX37" s="94">
        <v>0.24</v>
      </c>
      <c r="AY37" s="94">
        <v>0.24</v>
      </c>
      <c r="AZ37" s="94">
        <v>0.24</v>
      </c>
      <c r="BA37" s="94">
        <v>0.24</v>
      </c>
      <c r="BB37" s="94">
        <v>0.24</v>
      </c>
      <c r="BC37" s="94">
        <v>0.24</v>
      </c>
      <c r="BD37" s="94">
        <v>0.24</v>
      </c>
    </row>
    <row r="38" spans="3:56" x14ac:dyDescent="0.25">
      <c r="C38" s="108"/>
      <c r="D38" s="41" t="s">
        <v>33</v>
      </c>
      <c r="E38" s="83">
        <f>(E34*E35)/3600/40/E36/(1-E37)</f>
        <v>15.789721723018598</v>
      </c>
      <c r="F38" s="83">
        <f t="shared" ref="F38:BD38" si="13">(F34*F35)/3600/40/F36/(1-F37)</f>
        <v>12.060404999705431</v>
      </c>
      <c r="G38" s="83">
        <f t="shared" si="13"/>
        <v>9.9271278490028454</v>
      </c>
      <c r="H38" s="83">
        <f t="shared" si="13"/>
        <v>9.122150997150996</v>
      </c>
      <c r="I38" s="83">
        <f t="shared" si="13"/>
        <v>8.8494639601139617</v>
      </c>
      <c r="J38" s="83">
        <f t="shared" si="13"/>
        <v>7.602183048433047</v>
      </c>
      <c r="K38" s="83">
        <f t="shared" si="13"/>
        <v>6.2721153846153852</v>
      </c>
      <c r="L38" s="83">
        <f t="shared" si="13"/>
        <v>6.1381410256410254</v>
      </c>
      <c r="M38" s="83">
        <f t="shared" si="13"/>
        <v>6.307371794871794</v>
      </c>
      <c r="N38" s="84">
        <f t="shared" si="13"/>
        <v>6.4381143162393162</v>
      </c>
      <c r="O38" s="83">
        <f t="shared" si="13"/>
        <v>7.4087428774928785</v>
      </c>
      <c r="P38" s="83">
        <f t="shared" si="13"/>
        <v>7.5344824466159954</v>
      </c>
      <c r="Q38" s="83">
        <f t="shared" si="13"/>
        <v>6.127044371103775</v>
      </c>
      <c r="R38" s="83">
        <f t="shared" si="13"/>
        <v>5.8610648148148146</v>
      </c>
      <c r="S38" s="83">
        <f t="shared" si="13"/>
        <v>5.8697222222222214</v>
      </c>
      <c r="T38" s="83">
        <f t="shared" si="13"/>
        <v>7.4650226851851853</v>
      </c>
      <c r="U38" s="83">
        <f t="shared" si="13"/>
        <v>6.5614035087719289</v>
      </c>
      <c r="V38" s="83">
        <f t="shared" si="13"/>
        <v>7.1484981091435182</v>
      </c>
      <c r="W38" s="83">
        <f t="shared" si="13"/>
        <v>6.3382895738203961</v>
      </c>
      <c r="X38" s="83">
        <f t="shared" si="13"/>
        <v>6.3979460093896714</v>
      </c>
      <c r="Y38" s="83">
        <f t="shared" si="13"/>
        <v>6.3436238262910791</v>
      </c>
      <c r="Z38" s="83">
        <f t="shared" si="13"/>
        <v>5.3718603286384985</v>
      </c>
      <c r="AA38" s="83">
        <f t="shared" si="13"/>
        <v>6.6558392018779369</v>
      </c>
      <c r="AB38" s="83">
        <f t="shared" si="13"/>
        <v>6.2808881064162767</v>
      </c>
      <c r="AC38" s="83">
        <f t="shared" si="13"/>
        <v>5.9370305164319257</v>
      </c>
      <c r="AD38" s="83">
        <f t="shared" si="13"/>
        <v>4.9774162861491629</v>
      </c>
      <c r="AE38" s="83">
        <f t="shared" si="13"/>
        <v>4.1150793650793647</v>
      </c>
      <c r="AF38" s="83">
        <f t="shared" si="13"/>
        <v>4.6058531746031743</v>
      </c>
      <c r="AG38" s="83">
        <f t="shared" si="13"/>
        <v>4.1370039682539677</v>
      </c>
      <c r="AH38" s="83">
        <f t="shared" si="13"/>
        <v>4.9246031746031749</v>
      </c>
      <c r="AI38" s="83">
        <f t="shared" si="13"/>
        <v>5.084821428571427</v>
      </c>
      <c r="AJ38" s="83">
        <f t="shared" si="13"/>
        <v>5.7189484126984116</v>
      </c>
      <c r="AK38" s="83">
        <f t="shared" si="13"/>
        <v>5.9736111111111123</v>
      </c>
      <c r="AL38" s="83">
        <f t="shared" si="13"/>
        <v>5.9078373015873016</v>
      </c>
      <c r="AM38" s="83">
        <f t="shared" si="13"/>
        <v>5.3806485987304855</v>
      </c>
      <c r="AN38" s="83">
        <f t="shared" si="13"/>
        <v>4.7599610232826901</v>
      </c>
      <c r="AO38" s="83">
        <f t="shared" si="13"/>
        <v>4.8460571286186687</v>
      </c>
      <c r="AP38" s="83">
        <f t="shared" si="13"/>
        <v>5.0787284294698507</v>
      </c>
      <c r="AQ38" s="83">
        <f t="shared" si="13"/>
        <v>5.5256088258022471</v>
      </c>
      <c r="AR38" s="83">
        <f t="shared" si="13"/>
        <v>5.2126191716531523</v>
      </c>
      <c r="AS38" s="83">
        <f t="shared" si="13"/>
        <v>5.5038863240064133</v>
      </c>
      <c r="AT38" s="83">
        <f t="shared" si="13"/>
        <v>5.6738389776915854</v>
      </c>
      <c r="AU38" s="83">
        <f t="shared" si="13"/>
        <v>6.0144998530684708</v>
      </c>
      <c r="AV38" s="83">
        <f t="shared" si="13"/>
        <v>7.7765350751697699</v>
      </c>
      <c r="AW38" s="83">
        <f t="shared" si="13"/>
        <v>8.3143754694700647</v>
      </c>
      <c r="AX38" s="83">
        <f t="shared" si="13"/>
        <v>8.153504179408305</v>
      </c>
      <c r="AY38" s="83">
        <f t="shared" si="13"/>
        <v>19.415416717355313</v>
      </c>
      <c r="AZ38" s="83">
        <f t="shared" si="13"/>
        <v>27.102940562888019</v>
      </c>
      <c r="BA38" s="83">
        <f t="shared" si="13"/>
        <v>23.530538214010882</v>
      </c>
      <c r="BB38" s="83">
        <f t="shared" si="13"/>
        <v>19.562047906087333</v>
      </c>
      <c r="BC38" s="83">
        <f t="shared" si="13"/>
        <v>11.024157890686491</v>
      </c>
      <c r="BD38" s="83">
        <f t="shared" si="13"/>
        <v>9.9190328489951689</v>
      </c>
    </row>
    <row r="39" spans="3:56" x14ac:dyDescent="0.25">
      <c r="C39" s="108"/>
      <c r="E39" s="42"/>
      <c r="F39" s="42"/>
      <c r="G39" s="42"/>
      <c r="H39" s="42"/>
      <c r="I39" s="42"/>
      <c r="J39" s="42"/>
      <c r="K39" s="42"/>
      <c r="L39" s="42"/>
      <c r="M39" s="42"/>
    </row>
    <row r="40" spans="3:56" x14ac:dyDescent="0.25">
      <c r="C40" s="108"/>
      <c r="D40" s="49" t="s">
        <v>34</v>
      </c>
      <c r="E40" s="65">
        <v>2</v>
      </c>
      <c r="F40" s="65">
        <v>3</v>
      </c>
      <c r="G40" s="65">
        <v>3</v>
      </c>
      <c r="H40" s="65">
        <v>3</v>
      </c>
      <c r="I40" s="65">
        <v>3</v>
      </c>
      <c r="J40" s="65">
        <v>3</v>
      </c>
      <c r="K40" s="65">
        <v>0</v>
      </c>
      <c r="L40" s="65">
        <v>0</v>
      </c>
      <c r="M40" s="65">
        <v>0</v>
      </c>
      <c r="N40" s="65">
        <v>0</v>
      </c>
      <c r="O40" s="65">
        <v>0</v>
      </c>
      <c r="P40" s="65">
        <v>0</v>
      </c>
      <c r="Q40" s="65">
        <v>0</v>
      </c>
      <c r="R40" s="65">
        <v>0</v>
      </c>
      <c r="S40" s="65">
        <v>0</v>
      </c>
      <c r="T40" s="65">
        <v>0</v>
      </c>
      <c r="U40" s="65">
        <v>0</v>
      </c>
      <c r="V40" s="65">
        <v>0</v>
      </c>
      <c r="W40" s="65">
        <v>0</v>
      </c>
      <c r="X40" s="65">
        <v>0</v>
      </c>
      <c r="Y40" s="65">
        <v>0</v>
      </c>
      <c r="Z40" s="65">
        <v>0</v>
      </c>
      <c r="AA40" s="65">
        <v>0</v>
      </c>
      <c r="AB40" s="65">
        <v>0</v>
      </c>
      <c r="AC40" s="65">
        <v>0</v>
      </c>
      <c r="AD40" s="65">
        <v>0</v>
      </c>
      <c r="AE40" s="65">
        <v>0</v>
      </c>
      <c r="AF40" s="65">
        <v>0</v>
      </c>
      <c r="AG40" s="65">
        <v>0</v>
      </c>
      <c r="AH40" s="65">
        <v>0</v>
      </c>
      <c r="AI40" s="65">
        <v>0</v>
      </c>
      <c r="AJ40" s="65">
        <v>0</v>
      </c>
      <c r="AK40" s="65">
        <v>0</v>
      </c>
      <c r="AL40" s="65">
        <v>0</v>
      </c>
      <c r="AM40" s="65">
        <v>0</v>
      </c>
      <c r="AN40" s="65">
        <v>0</v>
      </c>
      <c r="AO40" s="65">
        <v>0</v>
      </c>
      <c r="AP40" s="65">
        <v>0</v>
      </c>
      <c r="AQ40" s="65">
        <v>0</v>
      </c>
      <c r="AR40" s="65">
        <v>0</v>
      </c>
      <c r="AS40" s="65">
        <v>0</v>
      </c>
      <c r="AT40" s="65">
        <v>0</v>
      </c>
      <c r="AU40" s="65">
        <v>0</v>
      </c>
      <c r="AV40" s="65">
        <v>0</v>
      </c>
      <c r="AW40" s="65">
        <v>0</v>
      </c>
      <c r="AX40" s="65">
        <v>0</v>
      </c>
      <c r="AY40" s="65">
        <v>0</v>
      </c>
      <c r="AZ40" s="65">
        <v>0</v>
      </c>
      <c r="BA40" s="65">
        <v>0</v>
      </c>
      <c r="BB40" s="65">
        <v>0</v>
      </c>
      <c r="BC40" s="65">
        <v>0</v>
      </c>
      <c r="BD40" s="65">
        <v>0</v>
      </c>
    </row>
    <row r="41" spans="3:56" x14ac:dyDescent="0.25">
      <c r="C41" s="108"/>
      <c r="D41" s="49" t="s">
        <v>35</v>
      </c>
      <c r="E41" s="65">
        <v>1</v>
      </c>
      <c r="F41" s="65">
        <v>1</v>
      </c>
      <c r="G41" s="65">
        <v>1</v>
      </c>
      <c r="H41" s="65">
        <v>1</v>
      </c>
      <c r="I41" s="65">
        <v>1</v>
      </c>
      <c r="J41" s="65">
        <v>1</v>
      </c>
      <c r="K41" s="65">
        <v>1</v>
      </c>
      <c r="L41" s="65">
        <v>1</v>
      </c>
      <c r="M41" s="65">
        <v>1</v>
      </c>
      <c r="N41" s="65">
        <v>1</v>
      </c>
      <c r="O41" s="65">
        <v>1</v>
      </c>
      <c r="P41" s="65">
        <v>1</v>
      </c>
      <c r="Q41" s="65">
        <v>1</v>
      </c>
      <c r="R41" s="65">
        <v>1</v>
      </c>
      <c r="S41" s="65">
        <v>1</v>
      </c>
      <c r="T41" s="65">
        <v>1</v>
      </c>
      <c r="U41" s="65">
        <v>1</v>
      </c>
      <c r="V41" s="65">
        <v>1</v>
      </c>
      <c r="W41" s="65">
        <v>1</v>
      </c>
      <c r="X41" s="65">
        <v>1</v>
      </c>
      <c r="Y41" s="65">
        <v>0.995</v>
      </c>
      <c r="Z41" s="65">
        <v>0.99002500000000004</v>
      </c>
      <c r="AA41" s="65">
        <v>0.98507487500000002</v>
      </c>
      <c r="AB41" s="65">
        <v>0.98014950062500006</v>
      </c>
      <c r="AC41" s="65">
        <v>0.97524875312187509</v>
      </c>
      <c r="AD41" s="65">
        <v>0.97037250935626573</v>
      </c>
      <c r="AE41" s="65">
        <v>0.96552064680948435</v>
      </c>
      <c r="AF41" s="65">
        <v>0.96069304357543694</v>
      </c>
      <c r="AG41" s="65">
        <v>0.95588957835755972</v>
      </c>
      <c r="AH41" s="65">
        <v>0.95111013046577197</v>
      </c>
      <c r="AI41" s="65">
        <v>0.94635457981344306</v>
      </c>
      <c r="AJ41" s="65">
        <v>0.94162280691437583</v>
      </c>
      <c r="AK41" s="65">
        <v>0.936914692879804</v>
      </c>
      <c r="AL41" s="65">
        <v>0.93223011941540501</v>
      </c>
      <c r="AM41" s="65">
        <v>0.92756896881832795</v>
      </c>
      <c r="AN41" s="65">
        <v>0.92293112397423627</v>
      </c>
      <c r="AO41" s="65">
        <v>0.91831646835436509</v>
      </c>
      <c r="AP41" s="65">
        <v>0.91372488601259327</v>
      </c>
      <c r="AQ41" s="65">
        <v>0.90915626158253027</v>
      </c>
      <c r="AR41" s="65">
        <v>0.90461048027461766</v>
      </c>
      <c r="AS41" s="65">
        <v>0.87294911346500603</v>
      </c>
      <c r="AT41" s="65">
        <v>0.84239589449373087</v>
      </c>
      <c r="AU41" s="65">
        <v>0.8129120381864503</v>
      </c>
      <c r="AV41" s="65">
        <v>0.78446011684992456</v>
      </c>
      <c r="AW41" s="65">
        <v>0.75700401276017715</v>
      </c>
      <c r="AX41" s="65">
        <v>0.73050887231357098</v>
      </c>
      <c r="AY41" s="65">
        <v>0.70494106178259597</v>
      </c>
      <c r="AZ41" s="65">
        <v>0.68026812462020514</v>
      </c>
      <c r="BA41" s="65">
        <v>0.67006410275090211</v>
      </c>
      <c r="BB41" s="65">
        <v>0.66001314120963861</v>
      </c>
      <c r="BC41" s="65">
        <v>0.650112944091494</v>
      </c>
      <c r="BD41" s="65">
        <v>0.64036124993012156</v>
      </c>
    </row>
    <row r="42" spans="3:56" x14ac:dyDescent="0.25">
      <c r="C42" s="108"/>
      <c r="D42" s="49" t="s">
        <v>36</v>
      </c>
      <c r="E42" s="65">
        <v>0</v>
      </c>
      <c r="F42" s="65">
        <v>0</v>
      </c>
      <c r="G42" s="65">
        <v>0</v>
      </c>
      <c r="H42" s="65">
        <v>0</v>
      </c>
      <c r="I42" s="65">
        <v>0</v>
      </c>
      <c r="J42" s="65">
        <v>0</v>
      </c>
      <c r="K42" s="65">
        <v>0</v>
      </c>
      <c r="L42" s="65">
        <v>0</v>
      </c>
      <c r="M42" s="65">
        <v>0</v>
      </c>
      <c r="N42" s="65">
        <v>0</v>
      </c>
      <c r="O42" s="65">
        <v>0</v>
      </c>
      <c r="P42" s="65">
        <v>0</v>
      </c>
      <c r="Q42" s="65">
        <v>0</v>
      </c>
      <c r="R42" s="65">
        <v>0</v>
      </c>
      <c r="S42" s="65">
        <v>0</v>
      </c>
      <c r="T42" s="65">
        <v>0</v>
      </c>
      <c r="U42" s="65">
        <v>0</v>
      </c>
      <c r="V42" s="65">
        <v>0</v>
      </c>
      <c r="W42" s="65">
        <v>0</v>
      </c>
      <c r="X42" s="65">
        <v>0</v>
      </c>
      <c r="Y42" s="65">
        <v>0</v>
      </c>
      <c r="Z42" s="65">
        <v>0</v>
      </c>
      <c r="AA42" s="65">
        <v>0</v>
      </c>
      <c r="AB42" s="65">
        <v>0</v>
      </c>
      <c r="AC42" s="65">
        <v>0</v>
      </c>
      <c r="AD42" s="65">
        <v>0</v>
      </c>
      <c r="AE42" s="65">
        <v>0</v>
      </c>
      <c r="AF42" s="65">
        <v>0</v>
      </c>
      <c r="AG42" s="65">
        <v>0</v>
      </c>
      <c r="AH42" s="65">
        <v>0</v>
      </c>
      <c r="AI42" s="65">
        <v>0</v>
      </c>
      <c r="AJ42" s="65">
        <v>0</v>
      </c>
      <c r="AK42" s="65">
        <v>0</v>
      </c>
      <c r="AL42" s="65">
        <v>0</v>
      </c>
      <c r="AM42" s="65">
        <v>0</v>
      </c>
      <c r="AN42" s="65">
        <v>0</v>
      </c>
      <c r="AO42" s="65">
        <v>0</v>
      </c>
      <c r="AP42" s="65">
        <v>0</v>
      </c>
      <c r="AQ42" s="65">
        <v>0</v>
      </c>
      <c r="AR42" s="65">
        <v>0</v>
      </c>
      <c r="AS42" s="65">
        <v>0</v>
      </c>
      <c r="AT42" s="65">
        <v>0</v>
      </c>
      <c r="AU42" s="65">
        <v>0</v>
      </c>
      <c r="AV42" s="65">
        <v>0</v>
      </c>
      <c r="AW42" s="65">
        <v>0</v>
      </c>
      <c r="AX42" s="65">
        <v>0</v>
      </c>
      <c r="AY42" s="65">
        <v>0</v>
      </c>
      <c r="AZ42" s="65">
        <v>0</v>
      </c>
      <c r="BA42" s="65">
        <v>0</v>
      </c>
      <c r="BB42" s="65">
        <v>0</v>
      </c>
      <c r="BC42" s="65">
        <v>0</v>
      </c>
      <c r="BD42" s="65">
        <v>0</v>
      </c>
    </row>
    <row r="43" spans="3:56" x14ac:dyDescent="0.25">
      <c r="C43" s="108"/>
      <c r="D43" s="49" t="s">
        <v>37</v>
      </c>
      <c r="E43" s="65">
        <v>0</v>
      </c>
      <c r="F43" s="65">
        <v>0</v>
      </c>
      <c r="G43" s="65">
        <v>0</v>
      </c>
      <c r="H43" s="65">
        <v>0</v>
      </c>
      <c r="I43" s="65">
        <v>0</v>
      </c>
      <c r="J43" s="65">
        <v>0</v>
      </c>
      <c r="K43" s="65">
        <v>0</v>
      </c>
      <c r="L43" s="65">
        <v>0</v>
      </c>
      <c r="M43" s="65">
        <v>0</v>
      </c>
      <c r="N43" s="65">
        <v>0</v>
      </c>
      <c r="O43" s="65">
        <v>0</v>
      </c>
      <c r="P43" s="65">
        <v>0</v>
      </c>
      <c r="Q43" s="65">
        <v>0</v>
      </c>
      <c r="R43" s="65">
        <v>0</v>
      </c>
      <c r="S43" s="65">
        <v>0</v>
      </c>
      <c r="T43" s="65">
        <v>0</v>
      </c>
      <c r="U43" s="65">
        <v>0</v>
      </c>
      <c r="V43" s="65">
        <v>0</v>
      </c>
      <c r="W43" s="65">
        <v>0</v>
      </c>
      <c r="X43" s="65">
        <v>0</v>
      </c>
      <c r="Y43" s="65">
        <v>0</v>
      </c>
      <c r="Z43" s="65">
        <v>0</v>
      </c>
      <c r="AA43" s="65">
        <v>0</v>
      </c>
      <c r="AB43" s="65">
        <v>0</v>
      </c>
      <c r="AC43" s="65">
        <v>0</v>
      </c>
      <c r="AD43" s="65">
        <v>0</v>
      </c>
      <c r="AE43" s="65">
        <v>0</v>
      </c>
      <c r="AF43" s="65">
        <v>0</v>
      </c>
      <c r="AG43" s="65">
        <v>0</v>
      </c>
      <c r="AH43" s="65">
        <v>0</v>
      </c>
      <c r="AI43" s="65">
        <v>0</v>
      </c>
      <c r="AJ43" s="65">
        <v>0</v>
      </c>
      <c r="AK43" s="65">
        <v>0</v>
      </c>
      <c r="AL43" s="65">
        <v>0</v>
      </c>
      <c r="AM43" s="65">
        <v>0</v>
      </c>
      <c r="AN43" s="65">
        <v>0</v>
      </c>
      <c r="AO43" s="65">
        <v>0</v>
      </c>
      <c r="AP43" s="65">
        <v>0</v>
      </c>
      <c r="AQ43" s="65">
        <v>0</v>
      </c>
      <c r="AR43" s="65">
        <v>0</v>
      </c>
      <c r="AS43" s="65">
        <v>0</v>
      </c>
      <c r="AT43" s="65">
        <v>0</v>
      </c>
      <c r="AU43" s="65">
        <v>0</v>
      </c>
      <c r="AV43" s="65">
        <v>0</v>
      </c>
      <c r="AW43" s="65">
        <v>0</v>
      </c>
      <c r="AX43" s="65">
        <v>0</v>
      </c>
      <c r="AY43" s="65">
        <v>0</v>
      </c>
      <c r="AZ43" s="65">
        <v>0</v>
      </c>
      <c r="BA43" s="65">
        <v>0</v>
      </c>
      <c r="BB43" s="65">
        <v>0</v>
      </c>
      <c r="BC43" s="65">
        <v>0</v>
      </c>
      <c r="BD43" s="65">
        <v>0</v>
      </c>
    </row>
    <row r="44" spans="3:56" x14ac:dyDescent="0.25">
      <c r="C44" s="108"/>
      <c r="D44" s="49" t="s">
        <v>38</v>
      </c>
      <c r="E44" s="65">
        <v>0</v>
      </c>
      <c r="F44" s="65">
        <v>0</v>
      </c>
      <c r="G44" s="65">
        <v>0</v>
      </c>
      <c r="H44" s="65">
        <v>0</v>
      </c>
      <c r="I44" s="65">
        <v>0</v>
      </c>
      <c r="J44" s="65">
        <v>0</v>
      </c>
      <c r="K44" s="65">
        <v>0</v>
      </c>
      <c r="L44" s="65">
        <v>0</v>
      </c>
      <c r="M44" s="65">
        <v>0</v>
      </c>
      <c r="N44" s="65">
        <v>0</v>
      </c>
      <c r="O44" s="65">
        <v>0</v>
      </c>
      <c r="P44" s="65">
        <v>0</v>
      </c>
      <c r="Q44" s="65">
        <v>0</v>
      </c>
      <c r="R44" s="65">
        <v>0</v>
      </c>
      <c r="S44" s="65">
        <v>0</v>
      </c>
      <c r="T44" s="65">
        <v>0</v>
      </c>
      <c r="U44" s="65">
        <v>0</v>
      </c>
      <c r="V44" s="65">
        <v>0</v>
      </c>
      <c r="W44" s="65">
        <v>0</v>
      </c>
      <c r="X44" s="65">
        <v>0</v>
      </c>
      <c r="Y44" s="65">
        <v>0</v>
      </c>
      <c r="Z44" s="65">
        <v>0</v>
      </c>
      <c r="AA44" s="65">
        <v>0</v>
      </c>
      <c r="AB44" s="65">
        <v>0</v>
      </c>
      <c r="AC44" s="65">
        <v>0</v>
      </c>
      <c r="AD44" s="65">
        <v>0</v>
      </c>
      <c r="AE44" s="65">
        <v>0</v>
      </c>
      <c r="AF44" s="65">
        <v>0</v>
      </c>
      <c r="AG44" s="65">
        <v>0</v>
      </c>
      <c r="AH44" s="65">
        <v>0</v>
      </c>
      <c r="AI44" s="65">
        <v>0</v>
      </c>
      <c r="AJ44" s="65">
        <v>0</v>
      </c>
      <c r="AK44" s="65">
        <v>0</v>
      </c>
      <c r="AL44" s="65">
        <v>0</v>
      </c>
      <c r="AM44" s="65">
        <v>0</v>
      </c>
      <c r="AN44" s="65">
        <v>0</v>
      </c>
      <c r="AO44" s="65">
        <v>0</v>
      </c>
      <c r="AP44" s="65">
        <v>0</v>
      </c>
      <c r="AQ44" s="65">
        <v>0</v>
      </c>
      <c r="AR44" s="65">
        <v>0</v>
      </c>
      <c r="AS44" s="65">
        <v>0</v>
      </c>
      <c r="AT44" s="65">
        <v>0</v>
      </c>
      <c r="AU44" s="65">
        <v>0</v>
      </c>
      <c r="AV44" s="65">
        <v>0</v>
      </c>
      <c r="AW44" s="65">
        <v>0</v>
      </c>
      <c r="AX44" s="65">
        <v>0</v>
      </c>
      <c r="AY44" s="65">
        <v>0</v>
      </c>
      <c r="AZ44" s="65">
        <v>0</v>
      </c>
      <c r="BA44" s="65">
        <v>0</v>
      </c>
      <c r="BB44" s="65">
        <v>0</v>
      </c>
      <c r="BC44" s="65">
        <v>0</v>
      </c>
      <c r="BD44" s="65">
        <v>0</v>
      </c>
    </row>
    <row r="45" spans="3:56" x14ac:dyDescent="0.25">
      <c r="C45" s="108"/>
      <c r="D45" s="49" t="s">
        <v>39</v>
      </c>
      <c r="E45" s="65">
        <v>17</v>
      </c>
      <c r="F45" s="65">
        <v>18</v>
      </c>
      <c r="G45" s="65">
        <v>4</v>
      </c>
      <c r="H45" s="65">
        <v>3</v>
      </c>
      <c r="I45" s="65">
        <v>3</v>
      </c>
      <c r="J45" s="65">
        <v>3</v>
      </c>
      <c r="K45" s="65">
        <v>3</v>
      </c>
      <c r="L45" s="65">
        <v>3</v>
      </c>
      <c r="M45" s="65">
        <v>3</v>
      </c>
      <c r="N45" s="65">
        <v>3</v>
      </c>
      <c r="O45" s="65">
        <v>3</v>
      </c>
      <c r="P45" s="65">
        <v>3</v>
      </c>
      <c r="Q45" s="65">
        <v>3</v>
      </c>
      <c r="R45" s="65">
        <v>4</v>
      </c>
      <c r="S45" s="65">
        <v>4</v>
      </c>
      <c r="T45" s="65">
        <v>4</v>
      </c>
      <c r="U45" s="65">
        <v>4</v>
      </c>
      <c r="V45" s="65">
        <v>3</v>
      </c>
      <c r="W45" s="65">
        <v>3</v>
      </c>
      <c r="X45" s="65">
        <v>3</v>
      </c>
      <c r="Y45" s="65">
        <v>2.9849999999999999</v>
      </c>
      <c r="Z45" s="65">
        <v>2.970075</v>
      </c>
      <c r="AA45" s="65">
        <v>2.955224625</v>
      </c>
      <c r="AB45" s="65">
        <v>2.9404485018750002</v>
      </c>
      <c r="AC45" s="65">
        <v>2.9257462593656252</v>
      </c>
      <c r="AD45" s="65">
        <v>3.9111175280687971</v>
      </c>
      <c r="AE45" s="65">
        <v>3.8915619404284532</v>
      </c>
      <c r="AF45" s="65">
        <v>3.8721041307263109</v>
      </c>
      <c r="AG45" s="65">
        <v>3.8527436100726793</v>
      </c>
      <c r="AH45" s="65">
        <v>3.8334798920223161</v>
      </c>
      <c r="AI45" s="65">
        <v>3.8143124925622045</v>
      </c>
      <c r="AJ45" s="65">
        <v>3.7952409300993937</v>
      </c>
      <c r="AK45" s="65">
        <v>3.7762647254488968</v>
      </c>
      <c r="AL45" s="65">
        <v>3.7573834018216523</v>
      </c>
      <c r="AM45" s="65">
        <v>3.7385964848125441</v>
      </c>
      <c r="AN45" s="65">
        <v>3.7199035023884814</v>
      </c>
      <c r="AO45" s="65">
        <v>3.7013039848765392</v>
      </c>
      <c r="AP45" s="65">
        <v>3.6827974649521567</v>
      </c>
      <c r="AQ45" s="65">
        <v>3.6643834776273958</v>
      </c>
      <c r="AR45" s="65">
        <v>3.646061560239259</v>
      </c>
      <c r="AS45" s="65">
        <v>3.5184494056308848</v>
      </c>
      <c r="AT45" s="65">
        <v>13.395303676433803</v>
      </c>
      <c r="AU45" s="65">
        <v>12.92646804775862</v>
      </c>
      <c r="AV45" s="65">
        <v>12.474041666087068</v>
      </c>
      <c r="AW45" s="65">
        <v>12.03745020777402</v>
      </c>
      <c r="AX45" s="65">
        <v>11.61613945050193</v>
      </c>
      <c r="AY45" s="65">
        <v>11.209574569734363</v>
      </c>
      <c r="AZ45" s="65">
        <v>10.81723945979366</v>
      </c>
      <c r="BA45" s="65">
        <v>10.654980867896755</v>
      </c>
      <c r="BB45" s="65">
        <v>10.495156154878304</v>
      </c>
      <c r="BC45" s="65">
        <v>10.337728812555129</v>
      </c>
      <c r="BD45" s="65">
        <v>10.182662880366802</v>
      </c>
    </row>
    <row r="46" spans="3:56" x14ac:dyDescent="0.25">
      <c r="C46" s="108"/>
      <c r="D46" s="49" t="s">
        <v>40</v>
      </c>
      <c r="E46" s="65">
        <v>7.875</v>
      </c>
      <c r="F46" s="65">
        <v>7.875</v>
      </c>
      <c r="G46" s="65">
        <v>4.5</v>
      </c>
      <c r="H46" s="65">
        <v>4.5</v>
      </c>
      <c r="I46" s="65">
        <v>4.5</v>
      </c>
      <c r="J46" s="65">
        <v>3.375</v>
      </c>
      <c r="K46" s="65">
        <v>4.5</v>
      </c>
      <c r="L46" s="65">
        <v>2.25</v>
      </c>
      <c r="M46" s="65">
        <v>3.375</v>
      </c>
      <c r="N46" s="65">
        <v>3.375</v>
      </c>
      <c r="O46" s="65">
        <v>3.375</v>
      </c>
      <c r="P46" s="65">
        <v>3.38</v>
      </c>
      <c r="Q46" s="65">
        <v>3.375</v>
      </c>
      <c r="R46" s="65">
        <v>3.375</v>
      </c>
      <c r="S46" s="65">
        <v>3.375</v>
      </c>
      <c r="T46" s="65">
        <v>3.375</v>
      </c>
      <c r="U46" s="65">
        <v>3.375</v>
      </c>
      <c r="V46" s="65">
        <v>3.375</v>
      </c>
      <c r="W46" s="65">
        <v>3.375</v>
      </c>
      <c r="X46" s="65">
        <v>3.375</v>
      </c>
      <c r="Y46" s="65">
        <v>3.3581249999999998</v>
      </c>
      <c r="Z46" s="65">
        <v>3.3413343749999997</v>
      </c>
      <c r="AA46" s="65">
        <v>3.3246277031249996</v>
      </c>
      <c r="AB46" s="65">
        <v>3.3080045646093748</v>
      </c>
      <c r="AC46" s="65">
        <v>3.2914645417863277</v>
      </c>
      <c r="AD46" s="65">
        <v>3.2750072190773962</v>
      </c>
      <c r="AE46" s="65">
        <v>3.2586321829820091</v>
      </c>
      <c r="AF46" s="65">
        <v>3.2423390220670991</v>
      </c>
      <c r="AG46" s="65">
        <v>3.2261273269567634</v>
      </c>
      <c r="AH46" s="65">
        <v>3.2099966903219794</v>
      </c>
      <c r="AI46" s="65">
        <v>3.1939467068703697</v>
      </c>
      <c r="AJ46" s="65">
        <v>3.1779769733360177</v>
      </c>
      <c r="AK46" s="65">
        <v>3.1620870884693377</v>
      </c>
      <c r="AL46" s="65">
        <v>3.146276653026991</v>
      </c>
      <c r="AM46" s="65">
        <v>3.1305452697618561</v>
      </c>
      <c r="AN46" s="65">
        <v>3.1148925434130468</v>
      </c>
      <c r="AO46" s="65">
        <v>3.0993180806959817</v>
      </c>
      <c r="AP46" s="65">
        <v>3.0838214902925016</v>
      </c>
      <c r="AQ46" s="65">
        <v>3.0684023828410392</v>
      </c>
      <c r="AR46" s="65">
        <v>3.053060370926834</v>
      </c>
      <c r="AS46" s="65">
        <v>2.9462032579443949</v>
      </c>
      <c r="AT46" s="65">
        <v>2.8430861439163411</v>
      </c>
      <c r="AU46" s="65">
        <v>2.7435781288792693</v>
      </c>
      <c r="AV46" s="65">
        <v>10.647552894368495</v>
      </c>
      <c r="AW46" s="65">
        <v>10.274888543065597</v>
      </c>
      <c r="AX46" s="65">
        <v>22.571517444058301</v>
      </c>
      <c r="AY46" s="65">
        <v>21.78151433351626</v>
      </c>
      <c r="AZ46" s="65">
        <v>21.01916133184319</v>
      </c>
      <c r="BA46" s="65">
        <v>20.703873911865543</v>
      </c>
      <c r="BB46" s="65">
        <v>20.393315803187559</v>
      </c>
      <c r="BC46" s="65">
        <v>20.087416066139745</v>
      </c>
      <c r="BD46" s="65">
        <v>19.78610482514765</v>
      </c>
    </row>
    <row r="47" spans="3:56" x14ac:dyDescent="0.25">
      <c r="C47" s="108"/>
      <c r="D47" s="50" t="s">
        <v>41</v>
      </c>
      <c r="E47" s="54">
        <f t="shared" ref="E47:BD47" si="14">(SUM(E40:E46)*E49)/((40*(1-E48)+40))</f>
        <v>0</v>
      </c>
      <c r="F47" s="54">
        <f t="shared" si="14"/>
        <v>0</v>
      </c>
      <c r="G47" s="54">
        <f t="shared" si="14"/>
        <v>0</v>
      </c>
      <c r="H47" s="54">
        <f t="shared" si="14"/>
        <v>0</v>
      </c>
      <c r="I47" s="54">
        <f t="shared" si="14"/>
        <v>0</v>
      </c>
      <c r="J47" s="54">
        <f t="shared" si="14"/>
        <v>0</v>
      </c>
      <c r="K47" s="54">
        <f t="shared" si="14"/>
        <v>0</v>
      </c>
      <c r="L47" s="54">
        <f t="shared" si="14"/>
        <v>0</v>
      </c>
      <c r="M47" s="54">
        <f t="shared" si="14"/>
        <v>0</v>
      </c>
      <c r="N47" s="54">
        <f t="shared" si="14"/>
        <v>0</v>
      </c>
      <c r="O47" s="54">
        <f t="shared" si="14"/>
        <v>0.64130434782608692</v>
      </c>
      <c r="P47" s="54">
        <f t="shared" si="14"/>
        <v>0</v>
      </c>
      <c r="Q47" s="54">
        <f t="shared" si="14"/>
        <v>0</v>
      </c>
      <c r="R47" s="54">
        <f t="shared" si="14"/>
        <v>0</v>
      </c>
      <c r="S47" s="54">
        <f t="shared" si="14"/>
        <v>0</v>
      </c>
      <c r="T47" s="54">
        <f t="shared" si="14"/>
        <v>0</v>
      </c>
      <c r="U47" s="54">
        <f t="shared" si="14"/>
        <v>1.4565217391304348</v>
      </c>
      <c r="V47" s="54">
        <f t="shared" si="14"/>
        <v>1.2826086956521738</v>
      </c>
      <c r="W47" s="54">
        <f t="shared" si="14"/>
        <v>1.2826086956521738</v>
      </c>
      <c r="X47" s="54">
        <f t="shared" si="14"/>
        <v>0.96195652173913049</v>
      </c>
      <c r="Y47" s="54">
        <f t="shared" si="14"/>
        <v>0</v>
      </c>
      <c r="Z47" s="54">
        <f t="shared" si="14"/>
        <v>-0.63490733695652168</v>
      </c>
      <c r="AA47" s="54">
        <f t="shared" si="14"/>
        <v>0</v>
      </c>
      <c r="AB47" s="54">
        <f t="shared" si="14"/>
        <v>0</v>
      </c>
      <c r="AC47" s="54">
        <f t="shared" si="14"/>
        <v>0</v>
      </c>
      <c r="AD47" s="54">
        <f t="shared" si="14"/>
        <v>-0.17731515775005344</v>
      </c>
      <c r="AE47" s="54">
        <f t="shared" si="14"/>
        <v>-0.70571432784521282</v>
      </c>
      <c r="AF47" s="54">
        <f t="shared" si="14"/>
        <v>0</v>
      </c>
      <c r="AG47" s="54">
        <f t="shared" si="14"/>
        <v>0</v>
      </c>
      <c r="AH47" s="54">
        <f t="shared" si="14"/>
        <v>0</v>
      </c>
      <c r="AI47" s="54">
        <f t="shared" si="14"/>
        <v>0</v>
      </c>
      <c r="AJ47" s="54">
        <f t="shared" si="14"/>
        <v>0</v>
      </c>
      <c r="AK47" s="54">
        <f t="shared" si="14"/>
        <v>0</v>
      </c>
      <c r="AL47" s="54">
        <f t="shared" si="14"/>
        <v>0</v>
      </c>
      <c r="AM47" s="54">
        <f t="shared" si="14"/>
        <v>0</v>
      </c>
      <c r="AN47" s="54">
        <f t="shared" si="14"/>
        <v>0</v>
      </c>
      <c r="AO47" s="54">
        <f t="shared" si="14"/>
        <v>0</v>
      </c>
      <c r="AP47" s="54">
        <f t="shared" si="14"/>
        <v>0</v>
      </c>
      <c r="AQ47" s="54">
        <f t="shared" si="14"/>
        <v>0</v>
      </c>
      <c r="AR47" s="54">
        <f t="shared" si="14"/>
        <v>0</v>
      </c>
      <c r="AS47" s="54">
        <f t="shared" si="14"/>
        <v>0</v>
      </c>
      <c r="AT47" s="54">
        <f t="shared" si="14"/>
        <v>0</v>
      </c>
      <c r="AU47" s="54">
        <f t="shared" si="14"/>
        <v>0</v>
      </c>
      <c r="AV47" s="54">
        <f t="shared" si="14"/>
        <v>0</v>
      </c>
      <c r="AW47" s="54">
        <f t="shared" si="14"/>
        <v>0</v>
      </c>
      <c r="AX47" s="54">
        <f t="shared" si="14"/>
        <v>0</v>
      </c>
      <c r="AY47" s="54">
        <f t="shared" si="14"/>
        <v>0</v>
      </c>
      <c r="AZ47" s="54">
        <f t="shared" si="14"/>
        <v>5.6550728550012268</v>
      </c>
      <c r="BA47" s="54">
        <f t="shared" si="14"/>
        <v>0</v>
      </c>
      <c r="BB47" s="54">
        <f t="shared" si="14"/>
        <v>0</v>
      </c>
      <c r="BC47" s="54">
        <f t="shared" si="14"/>
        <v>0</v>
      </c>
      <c r="BD47" s="54">
        <f t="shared" si="14"/>
        <v>0</v>
      </c>
    </row>
    <row r="48" spans="3:56" x14ac:dyDescent="0.25">
      <c r="C48" s="108"/>
      <c r="D48" s="50" t="s">
        <v>42</v>
      </c>
      <c r="E48" s="67">
        <v>0.85</v>
      </c>
      <c r="F48" s="67">
        <v>0.85</v>
      </c>
      <c r="G48" s="67">
        <v>0.85</v>
      </c>
      <c r="H48" s="67">
        <v>0.85</v>
      </c>
      <c r="I48" s="67">
        <v>0.85</v>
      </c>
      <c r="J48" s="67">
        <v>0.85</v>
      </c>
      <c r="K48" s="67">
        <v>0.85</v>
      </c>
      <c r="L48" s="67">
        <v>0.85</v>
      </c>
      <c r="M48" s="67">
        <v>0.85</v>
      </c>
      <c r="N48" s="67">
        <v>0.85</v>
      </c>
      <c r="O48" s="67">
        <v>0.85</v>
      </c>
      <c r="P48" s="67">
        <v>0.85</v>
      </c>
      <c r="Q48" s="67">
        <v>0.85</v>
      </c>
      <c r="R48" s="67">
        <v>0.85</v>
      </c>
      <c r="S48" s="67">
        <v>0.85</v>
      </c>
      <c r="T48" s="67">
        <v>0.85</v>
      </c>
      <c r="U48" s="67">
        <v>0.85</v>
      </c>
      <c r="V48" s="67">
        <v>0.85</v>
      </c>
      <c r="W48" s="67">
        <v>0.85</v>
      </c>
      <c r="X48" s="67">
        <v>0.85</v>
      </c>
      <c r="Y48" s="67">
        <v>0.85</v>
      </c>
      <c r="Z48" s="67">
        <v>0.85</v>
      </c>
      <c r="AA48" s="67">
        <v>0.85</v>
      </c>
      <c r="AB48" s="67">
        <v>0.85</v>
      </c>
      <c r="AC48" s="67">
        <v>0.85</v>
      </c>
      <c r="AD48" s="67">
        <v>0.85</v>
      </c>
      <c r="AE48" s="67">
        <v>0.85</v>
      </c>
      <c r="AF48" s="67">
        <v>0.85</v>
      </c>
      <c r="AG48" s="67">
        <v>0.85</v>
      </c>
      <c r="AH48" s="67">
        <v>0.85</v>
      </c>
      <c r="AI48" s="67">
        <v>0.85</v>
      </c>
      <c r="AJ48" s="67">
        <v>0.85</v>
      </c>
      <c r="AK48" s="67">
        <v>0.85</v>
      </c>
      <c r="AL48" s="67">
        <v>0.85</v>
      </c>
      <c r="AM48" s="67">
        <v>0.85</v>
      </c>
      <c r="AN48" s="67">
        <v>0.85</v>
      </c>
      <c r="AO48" s="67">
        <v>0.85</v>
      </c>
      <c r="AP48" s="67">
        <v>0.85</v>
      </c>
      <c r="AQ48" s="67">
        <v>0.85</v>
      </c>
      <c r="AR48" s="67">
        <v>0.85</v>
      </c>
      <c r="AS48" s="67">
        <v>0.85</v>
      </c>
      <c r="AT48" s="67">
        <v>0.85</v>
      </c>
      <c r="AU48" s="67">
        <v>0.85</v>
      </c>
      <c r="AV48" s="67">
        <v>0.85</v>
      </c>
      <c r="AW48" s="67">
        <v>0.85</v>
      </c>
      <c r="AX48" s="67">
        <v>0.85</v>
      </c>
      <c r="AY48" s="67">
        <v>0.85</v>
      </c>
      <c r="AZ48" s="67">
        <v>0.85</v>
      </c>
      <c r="BA48" s="67">
        <v>0.85</v>
      </c>
      <c r="BB48" s="67">
        <v>0.85</v>
      </c>
      <c r="BC48" s="67">
        <v>0.85</v>
      </c>
      <c r="BD48" s="67">
        <v>0.85</v>
      </c>
    </row>
    <row r="49" spans="3:56" x14ac:dyDescent="0.25">
      <c r="C49" s="108"/>
      <c r="D49" s="50" t="s">
        <v>43</v>
      </c>
      <c r="E49" s="65">
        <v>0</v>
      </c>
      <c r="F49" s="65">
        <v>0</v>
      </c>
      <c r="G49" s="65">
        <v>0</v>
      </c>
      <c r="H49" s="65">
        <v>0</v>
      </c>
      <c r="I49" s="65">
        <v>0</v>
      </c>
      <c r="J49" s="65">
        <v>0</v>
      </c>
      <c r="K49" s="65">
        <v>0</v>
      </c>
      <c r="L49" s="65">
        <v>0</v>
      </c>
      <c r="M49" s="65">
        <v>0</v>
      </c>
      <c r="N49" s="65">
        <v>0</v>
      </c>
      <c r="O49" s="65">
        <v>4</v>
      </c>
      <c r="P49" s="65">
        <v>0</v>
      </c>
      <c r="Q49" s="65">
        <v>0</v>
      </c>
      <c r="R49" s="65">
        <v>0</v>
      </c>
      <c r="S49" s="65">
        <v>0</v>
      </c>
      <c r="T49" s="65">
        <v>0</v>
      </c>
      <c r="U49" s="65">
        <v>8</v>
      </c>
      <c r="V49" s="65">
        <v>8</v>
      </c>
      <c r="W49" s="65">
        <v>8</v>
      </c>
      <c r="X49" s="65">
        <v>6</v>
      </c>
      <c r="Y49" s="65">
        <v>0</v>
      </c>
      <c r="Z49" s="65">
        <v>-4</v>
      </c>
      <c r="AA49" s="65">
        <v>0</v>
      </c>
      <c r="AB49" s="65">
        <v>0</v>
      </c>
      <c r="AC49" s="65">
        <v>0</v>
      </c>
      <c r="AD49" s="65">
        <v>-1</v>
      </c>
      <c r="AE49" s="65">
        <v>-4</v>
      </c>
      <c r="AF49" s="65">
        <v>0</v>
      </c>
      <c r="AG49" s="65">
        <v>0</v>
      </c>
      <c r="AH49" s="65">
        <v>0</v>
      </c>
      <c r="AI49" s="65">
        <v>0</v>
      </c>
      <c r="AJ49" s="65">
        <v>0</v>
      </c>
      <c r="AK49" s="65">
        <v>0</v>
      </c>
      <c r="AL49" s="65">
        <v>0</v>
      </c>
      <c r="AM49" s="65">
        <v>0</v>
      </c>
      <c r="AN49" s="65">
        <v>0</v>
      </c>
      <c r="AO49" s="65">
        <v>0</v>
      </c>
      <c r="AP49" s="65">
        <v>0</v>
      </c>
      <c r="AQ49" s="65">
        <v>0</v>
      </c>
      <c r="AR49" s="65">
        <v>0</v>
      </c>
      <c r="AS49" s="65">
        <v>0</v>
      </c>
      <c r="AT49" s="65">
        <v>0</v>
      </c>
      <c r="AU49" s="65">
        <v>0</v>
      </c>
      <c r="AV49" s="65">
        <v>0</v>
      </c>
      <c r="AW49" s="65">
        <v>0</v>
      </c>
      <c r="AX49" s="65">
        <v>0</v>
      </c>
      <c r="AY49" s="65">
        <v>0</v>
      </c>
      <c r="AZ49" s="65">
        <v>8</v>
      </c>
      <c r="BA49" s="65">
        <v>0</v>
      </c>
      <c r="BB49" s="65">
        <v>0</v>
      </c>
      <c r="BC49" s="65">
        <v>0</v>
      </c>
      <c r="BD49" s="65">
        <v>0</v>
      </c>
    </row>
    <row r="50" spans="3:56" x14ac:dyDescent="0.25">
      <c r="C50" s="108"/>
      <c r="D50" s="51" t="s">
        <v>44</v>
      </c>
      <c r="E50" s="61">
        <f t="shared" ref="E50:L50" si="15">SUM(E40:E47)</f>
        <v>27.875</v>
      </c>
      <c r="F50" s="61">
        <f t="shared" si="15"/>
        <v>29.875</v>
      </c>
      <c r="G50" s="61">
        <f t="shared" si="15"/>
        <v>12.5</v>
      </c>
      <c r="H50" s="61">
        <f t="shared" si="15"/>
        <v>11.5</v>
      </c>
      <c r="I50" s="61">
        <f t="shared" si="15"/>
        <v>11.5</v>
      </c>
      <c r="J50" s="61">
        <f t="shared" si="15"/>
        <v>10.375</v>
      </c>
      <c r="K50" s="61">
        <f t="shared" si="15"/>
        <v>8.5</v>
      </c>
      <c r="L50" s="61">
        <f t="shared" si="15"/>
        <v>6.25</v>
      </c>
      <c r="M50" s="61">
        <f t="shared" ref="M50:BD50" si="16">SUM(M40:M47)</f>
        <v>7.375</v>
      </c>
      <c r="N50" s="61">
        <f t="shared" si="16"/>
        <v>7.375</v>
      </c>
      <c r="O50" s="61">
        <f t="shared" si="16"/>
        <v>8.016304347826086</v>
      </c>
      <c r="P50" s="61">
        <f t="shared" si="16"/>
        <v>7.38</v>
      </c>
      <c r="Q50" s="61">
        <f t="shared" si="16"/>
        <v>7.375</v>
      </c>
      <c r="R50" s="61">
        <f t="shared" si="16"/>
        <v>8.375</v>
      </c>
      <c r="S50" s="61">
        <f t="shared" si="16"/>
        <v>8.375</v>
      </c>
      <c r="T50" s="61">
        <f t="shared" si="16"/>
        <v>8.375</v>
      </c>
      <c r="U50" s="61">
        <f t="shared" si="16"/>
        <v>9.8315217391304355</v>
      </c>
      <c r="V50" s="61">
        <f t="shared" si="16"/>
        <v>8.6576086956521738</v>
      </c>
      <c r="W50" s="61">
        <f t="shared" si="16"/>
        <v>8.6576086956521738</v>
      </c>
      <c r="X50" s="61">
        <f t="shared" si="16"/>
        <v>8.3369565217391308</v>
      </c>
      <c r="Y50" s="61">
        <f t="shared" si="16"/>
        <v>7.3381249999999998</v>
      </c>
      <c r="Z50" s="61">
        <f t="shared" si="16"/>
        <v>6.666527038043478</v>
      </c>
      <c r="AA50" s="61">
        <f t="shared" si="16"/>
        <v>7.2649272031249996</v>
      </c>
      <c r="AB50" s="61">
        <f t="shared" si="16"/>
        <v>7.228602567109375</v>
      </c>
      <c r="AC50" s="61">
        <f t="shared" si="16"/>
        <v>7.1924595542738281</v>
      </c>
      <c r="AD50" s="61">
        <f t="shared" si="16"/>
        <v>7.9791820987524051</v>
      </c>
      <c r="AE50" s="61">
        <f t="shared" si="16"/>
        <v>7.4100004423747343</v>
      </c>
      <c r="AF50" s="61">
        <f t="shared" si="16"/>
        <v>8.0751361963688471</v>
      </c>
      <c r="AG50" s="61">
        <f t="shared" si="16"/>
        <v>8.0347605153870028</v>
      </c>
      <c r="AH50" s="61">
        <f t="shared" si="16"/>
        <v>7.9945867128100678</v>
      </c>
      <c r="AI50" s="61">
        <f t="shared" si="16"/>
        <v>7.9546137792460172</v>
      </c>
      <c r="AJ50" s="61">
        <f t="shared" si="16"/>
        <v>7.9148407103497878</v>
      </c>
      <c r="AK50" s="61">
        <f t="shared" si="16"/>
        <v>7.8752665067980381</v>
      </c>
      <c r="AL50" s="61">
        <f t="shared" si="16"/>
        <v>7.8358901742640485</v>
      </c>
      <c r="AM50" s="61">
        <f t="shared" si="16"/>
        <v>7.796710723392728</v>
      </c>
      <c r="AN50" s="61">
        <f t="shared" si="16"/>
        <v>7.7577271697757642</v>
      </c>
      <c r="AO50" s="61">
        <f t="shared" si="16"/>
        <v>7.7189385339268863</v>
      </c>
      <c r="AP50" s="61">
        <f t="shared" si="16"/>
        <v>7.6803438412572511</v>
      </c>
      <c r="AQ50" s="61">
        <f t="shared" si="16"/>
        <v>7.6419421220509651</v>
      </c>
      <c r="AR50" s="61">
        <f t="shared" si="16"/>
        <v>7.6037324114407099</v>
      </c>
      <c r="AS50" s="61">
        <f t="shared" si="16"/>
        <v>7.3376017770402857</v>
      </c>
      <c r="AT50" s="61">
        <f t="shared" si="16"/>
        <v>17.080785714843874</v>
      </c>
      <c r="AU50" s="61">
        <f t="shared" si="16"/>
        <v>16.48295821482434</v>
      </c>
      <c r="AV50" s="61">
        <f t="shared" si="16"/>
        <v>23.906054677305487</v>
      </c>
      <c r="AW50" s="61">
        <f t="shared" si="16"/>
        <v>23.069342763599792</v>
      </c>
      <c r="AX50" s="61">
        <f t="shared" si="16"/>
        <v>34.918165766873798</v>
      </c>
      <c r="AY50" s="61">
        <f t="shared" si="16"/>
        <v>33.696029965033219</v>
      </c>
      <c r="AZ50" s="61">
        <f t="shared" si="16"/>
        <v>38.171741771258283</v>
      </c>
      <c r="BA50" s="61">
        <f t="shared" si="16"/>
        <v>32.028918882513203</v>
      </c>
      <c r="BB50" s="61">
        <f t="shared" si="16"/>
        <v>31.548485099275503</v>
      </c>
      <c r="BC50" s="61">
        <f t="shared" si="16"/>
        <v>31.075257822786369</v>
      </c>
      <c r="BD50" s="61">
        <f t="shared" si="16"/>
        <v>30.609128955444575</v>
      </c>
    </row>
    <row r="51" spans="3:56" x14ac:dyDescent="0.25">
      <c r="C51" s="108"/>
      <c r="D51" s="52" t="s">
        <v>45</v>
      </c>
      <c r="E51" s="56">
        <f>E50-E38</f>
        <v>12.085278276981402</v>
      </c>
      <c r="F51" s="56">
        <f t="shared" ref="F51:BD51" si="17">F50-F38</f>
        <v>17.814595000294567</v>
      </c>
      <c r="G51" s="56">
        <f t="shared" si="17"/>
        <v>2.5728721509971546</v>
      </c>
      <c r="H51" s="56">
        <f t="shared" si="17"/>
        <v>2.377849002849004</v>
      </c>
      <c r="I51" s="56">
        <f t="shared" si="17"/>
        <v>2.6505360398860383</v>
      </c>
      <c r="J51" s="56">
        <f t="shared" si="17"/>
        <v>2.772816951566953</v>
      </c>
      <c r="K51" s="56">
        <f t="shared" si="17"/>
        <v>2.2278846153846148</v>
      </c>
      <c r="L51" s="56">
        <f t="shared" si="17"/>
        <v>0.11185897435897463</v>
      </c>
      <c r="M51" s="56">
        <f t="shared" si="17"/>
        <v>1.067628205128206</v>
      </c>
      <c r="N51" s="56">
        <f t="shared" si="17"/>
        <v>0.93688568376068382</v>
      </c>
      <c r="O51" s="56">
        <f t="shared" si="17"/>
        <v>0.60756147033320751</v>
      </c>
      <c r="P51" s="56">
        <f t="shared" si="17"/>
        <v>-0.15448244661599553</v>
      </c>
      <c r="Q51" s="56">
        <f t="shared" si="17"/>
        <v>1.247955628896225</v>
      </c>
      <c r="R51" s="56">
        <f t="shared" si="17"/>
        <v>2.5139351851851854</v>
      </c>
      <c r="S51" s="56">
        <f t="shared" si="17"/>
        <v>2.5052777777777786</v>
      </c>
      <c r="T51" s="56">
        <f t="shared" si="17"/>
        <v>0.9099773148148147</v>
      </c>
      <c r="U51" s="56">
        <f t="shared" si="17"/>
        <v>3.2701182303585066</v>
      </c>
      <c r="V51" s="56">
        <f t="shared" si="17"/>
        <v>1.5091105865086556</v>
      </c>
      <c r="W51" s="56">
        <f t="shared" si="17"/>
        <v>2.3193191218317777</v>
      </c>
      <c r="X51" s="56">
        <f t="shared" si="17"/>
        <v>1.9390105123494594</v>
      </c>
      <c r="Y51" s="56">
        <f t="shared" si="17"/>
        <v>0.99450117370892066</v>
      </c>
      <c r="Z51" s="56">
        <f t="shared" si="17"/>
        <v>1.2946667094049795</v>
      </c>
      <c r="AA51" s="56">
        <f t="shared" si="17"/>
        <v>0.60908800124706275</v>
      </c>
      <c r="AB51" s="56">
        <f t="shared" si="17"/>
        <v>0.94771446069309828</v>
      </c>
      <c r="AC51" s="56">
        <f t="shared" si="17"/>
        <v>1.2554290378419024</v>
      </c>
      <c r="AD51" s="56">
        <f t="shared" si="17"/>
        <v>3.0017658126032423</v>
      </c>
      <c r="AE51" s="56">
        <f t="shared" si="17"/>
        <v>3.2949210772953696</v>
      </c>
      <c r="AF51" s="56">
        <f t="shared" si="17"/>
        <v>3.4692830217656727</v>
      </c>
      <c r="AG51" s="56">
        <f t="shared" si="17"/>
        <v>3.8977565471330351</v>
      </c>
      <c r="AH51" s="56">
        <f t="shared" si="17"/>
        <v>3.069983538206893</v>
      </c>
      <c r="AI51" s="56">
        <f t="shared" si="17"/>
        <v>2.8697923506745902</v>
      </c>
      <c r="AJ51" s="56">
        <f t="shared" si="17"/>
        <v>2.1958922976513762</v>
      </c>
      <c r="AK51" s="56">
        <f t="shared" si="17"/>
        <v>1.9016553956869258</v>
      </c>
      <c r="AL51" s="56">
        <f t="shared" si="17"/>
        <v>1.928052872676747</v>
      </c>
      <c r="AM51" s="56">
        <f t="shared" si="17"/>
        <v>2.4160621246622425</v>
      </c>
      <c r="AN51" s="56">
        <f t="shared" si="17"/>
        <v>2.997766146493074</v>
      </c>
      <c r="AO51" s="56">
        <f t="shared" si="17"/>
        <v>2.8728814053082177</v>
      </c>
      <c r="AP51" s="56">
        <f t="shared" si="17"/>
        <v>2.6016154117874004</v>
      </c>
      <c r="AQ51" s="56">
        <f t="shared" si="17"/>
        <v>2.116333296248718</v>
      </c>
      <c r="AR51" s="56">
        <f t="shared" si="17"/>
        <v>2.3911132397875576</v>
      </c>
      <c r="AS51" s="56">
        <f t="shared" si="17"/>
        <v>1.8337154530338724</v>
      </c>
      <c r="AT51" s="56">
        <f t="shared" si="17"/>
        <v>11.406946737152289</v>
      </c>
      <c r="AU51" s="56">
        <f t="shared" si="17"/>
        <v>10.468458361755868</v>
      </c>
      <c r="AV51" s="56">
        <f t="shared" si="17"/>
        <v>16.129519602135716</v>
      </c>
      <c r="AW51" s="56">
        <f t="shared" si="17"/>
        <v>14.754967294129727</v>
      </c>
      <c r="AX51" s="56">
        <f t="shared" si="17"/>
        <v>26.764661587465493</v>
      </c>
      <c r="AY51" s="56">
        <f t="shared" si="17"/>
        <v>14.280613247677906</v>
      </c>
      <c r="AZ51" s="56">
        <f t="shared" si="17"/>
        <v>11.068801208370264</v>
      </c>
      <c r="BA51" s="56">
        <f t="shared" si="17"/>
        <v>8.4983806685023211</v>
      </c>
      <c r="BB51" s="56">
        <f t="shared" si="17"/>
        <v>11.98643719318817</v>
      </c>
      <c r="BC51" s="56">
        <f t="shared" si="17"/>
        <v>20.051099932099881</v>
      </c>
      <c r="BD51" s="56">
        <f t="shared" si="17"/>
        <v>20.690096106449406</v>
      </c>
    </row>
    <row r="52" spans="3:56" x14ac:dyDescent="0.25">
      <c r="C52" s="48"/>
      <c r="E52" s="42"/>
      <c r="F52" s="42"/>
      <c r="G52" s="42"/>
      <c r="H52" s="42"/>
      <c r="I52" s="42"/>
      <c r="J52" s="42"/>
      <c r="K52" s="42"/>
      <c r="L52" s="42"/>
      <c r="M52" s="42"/>
    </row>
    <row r="53" spans="3:56" x14ac:dyDescent="0.25">
      <c r="D53" s="46" t="s">
        <v>19</v>
      </c>
      <c r="E53" s="82">
        <f t="shared" ref="E53:AJ53" si="18">E2</f>
        <v>44569</v>
      </c>
      <c r="F53" s="82">
        <f t="shared" si="18"/>
        <v>44576</v>
      </c>
      <c r="G53" s="82">
        <f t="shared" si="18"/>
        <v>44583</v>
      </c>
      <c r="H53" s="82">
        <f t="shared" si="18"/>
        <v>44590</v>
      </c>
      <c r="I53" s="82">
        <f t="shared" si="18"/>
        <v>44597</v>
      </c>
      <c r="J53" s="82">
        <f t="shared" si="18"/>
        <v>44604</v>
      </c>
      <c r="K53" s="82">
        <f t="shared" si="18"/>
        <v>44611</v>
      </c>
      <c r="L53" s="82">
        <f t="shared" si="18"/>
        <v>44618</v>
      </c>
      <c r="M53" s="82">
        <f t="shared" si="18"/>
        <v>44625</v>
      </c>
      <c r="N53" s="82">
        <f t="shared" si="18"/>
        <v>44632</v>
      </c>
      <c r="O53" s="82">
        <f t="shared" si="18"/>
        <v>44639</v>
      </c>
      <c r="P53" s="82">
        <f t="shared" si="18"/>
        <v>44646</v>
      </c>
      <c r="Q53" s="82">
        <f t="shared" si="18"/>
        <v>44653</v>
      </c>
      <c r="R53" s="82">
        <f t="shared" si="18"/>
        <v>44660</v>
      </c>
      <c r="S53" s="82">
        <f t="shared" si="18"/>
        <v>44667</v>
      </c>
      <c r="T53" s="82">
        <f t="shared" si="18"/>
        <v>44674</v>
      </c>
      <c r="U53" s="82">
        <f t="shared" si="18"/>
        <v>44681</v>
      </c>
      <c r="V53" s="82">
        <f t="shared" si="18"/>
        <v>44688</v>
      </c>
      <c r="W53" s="82">
        <f t="shared" si="18"/>
        <v>44695</v>
      </c>
      <c r="X53" s="82">
        <f t="shared" si="18"/>
        <v>44702</v>
      </c>
      <c r="Y53" s="82">
        <f t="shared" si="18"/>
        <v>44709</v>
      </c>
      <c r="Z53" s="82">
        <f t="shared" si="18"/>
        <v>44716</v>
      </c>
      <c r="AA53" s="82">
        <f t="shared" si="18"/>
        <v>44723</v>
      </c>
      <c r="AB53" s="82">
        <f t="shared" si="18"/>
        <v>44730</v>
      </c>
      <c r="AC53" s="82">
        <f t="shared" si="18"/>
        <v>44737</v>
      </c>
      <c r="AD53" s="82">
        <f t="shared" si="18"/>
        <v>44744</v>
      </c>
      <c r="AE53" s="82">
        <f t="shared" si="18"/>
        <v>44751</v>
      </c>
      <c r="AF53" s="82">
        <f t="shared" si="18"/>
        <v>44758</v>
      </c>
      <c r="AG53" s="82">
        <f t="shared" si="18"/>
        <v>44765</v>
      </c>
      <c r="AH53" s="82">
        <f t="shared" si="18"/>
        <v>44772</v>
      </c>
      <c r="AI53" s="82">
        <f t="shared" si="18"/>
        <v>44779</v>
      </c>
      <c r="AJ53" s="82">
        <f t="shared" si="18"/>
        <v>44786</v>
      </c>
      <c r="AK53" s="82">
        <f t="shared" ref="AK53:BD53" si="19">AK2</f>
        <v>44793</v>
      </c>
      <c r="AL53" s="82">
        <f t="shared" si="19"/>
        <v>44800</v>
      </c>
      <c r="AM53" s="82">
        <f t="shared" si="19"/>
        <v>44807</v>
      </c>
      <c r="AN53" s="82">
        <f t="shared" si="19"/>
        <v>44814</v>
      </c>
      <c r="AO53" s="82">
        <f t="shared" si="19"/>
        <v>44821</v>
      </c>
      <c r="AP53" s="82">
        <f t="shared" si="19"/>
        <v>44828</v>
      </c>
      <c r="AQ53" s="82">
        <f t="shared" si="19"/>
        <v>44835</v>
      </c>
      <c r="AR53" s="82">
        <f t="shared" si="19"/>
        <v>44842</v>
      </c>
      <c r="AS53" s="82">
        <f t="shared" si="19"/>
        <v>44849</v>
      </c>
      <c r="AT53" s="82">
        <f t="shared" si="19"/>
        <v>44856</v>
      </c>
      <c r="AU53" s="82">
        <f t="shared" si="19"/>
        <v>44863</v>
      </c>
      <c r="AV53" s="82">
        <f t="shared" si="19"/>
        <v>44870</v>
      </c>
      <c r="AW53" s="82">
        <f t="shared" si="19"/>
        <v>44877</v>
      </c>
      <c r="AX53" s="82">
        <f t="shared" si="19"/>
        <v>44884</v>
      </c>
      <c r="AY53" s="82">
        <f t="shared" si="19"/>
        <v>44891</v>
      </c>
      <c r="AZ53" s="82">
        <f t="shared" si="19"/>
        <v>44898</v>
      </c>
      <c r="BA53" s="82">
        <f t="shared" si="19"/>
        <v>44905</v>
      </c>
      <c r="BB53" s="82">
        <f t="shared" si="19"/>
        <v>44912</v>
      </c>
      <c r="BC53" s="82">
        <f t="shared" si="19"/>
        <v>44919</v>
      </c>
      <c r="BD53" s="82">
        <f t="shared" si="19"/>
        <v>44926</v>
      </c>
    </row>
    <row r="54" spans="3:56" x14ac:dyDescent="0.25">
      <c r="C54" s="107" t="s">
        <v>19</v>
      </c>
      <c r="D54" s="41" t="s">
        <v>21</v>
      </c>
      <c r="E54" s="70">
        <v>11879.524800000001</v>
      </c>
      <c r="F54" s="70">
        <v>9073.2927999999993</v>
      </c>
      <c r="G54" s="70">
        <v>7471</v>
      </c>
      <c r="H54" s="70">
        <v>7084</v>
      </c>
      <c r="I54" s="70">
        <v>6873.2092000000011</v>
      </c>
      <c r="J54" s="70">
        <v>6540</v>
      </c>
      <c r="K54" s="70">
        <v>5635</v>
      </c>
      <c r="L54" s="70">
        <v>5515.84</v>
      </c>
      <c r="M54" s="70">
        <v>5668.08</v>
      </c>
      <c r="N54" s="70">
        <v>6563.48</v>
      </c>
      <c r="O54" s="70">
        <v>7860.16</v>
      </c>
      <c r="P54" s="70">
        <v>7837.72</v>
      </c>
      <c r="Q54" s="70">
        <v>6402</v>
      </c>
      <c r="R54" s="70">
        <v>6064.96</v>
      </c>
      <c r="S54" s="70">
        <v>6072.88</v>
      </c>
      <c r="T54" s="70">
        <v>6716.16</v>
      </c>
      <c r="U54" s="70">
        <v>6547.6399999999994</v>
      </c>
      <c r="V54" s="70">
        <v>7571.52</v>
      </c>
      <c r="W54" s="70">
        <v>7446.5599999999995</v>
      </c>
      <c r="X54" s="70">
        <v>7309.7199999999993</v>
      </c>
      <c r="Y54" s="70">
        <v>6589</v>
      </c>
      <c r="Z54" s="70">
        <v>6138.88</v>
      </c>
      <c r="AA54" s="70">
        <v>7605.4</v>
      </c>
      <c r="AB54" s="70">
        <v>7176.4</v>
      </c>
      <c r="AC54" s="70">
        <v>6784.8</v>
      </c>
      <c r="AD54" s="70">
        <v>5848.04</v>
      </c>
      <c r="AE54" s="70">
        <v>5099.16</v>
      </c>
      <c r="AF54" s="70">
        <v>5706.7999999999993</v>
      </c>
      <c r="AG54" s="70">
        <v>5126.4399999999987</v>
      </c>
      <c r="AH54" s="70">
        <v>6102.8</v>
      </c>
      <c r="AI54" s="70">
        <v>6301.24</v>
      </c>
      <c r="AJ54" s="70">
        <v>7087.5199999999995</v>
      </c>
      <c r="AK54" s="70">
        <v>7403</v>
      </c>
      <c r="AL54" s="70">
        <v>7322.0399999999991</v>
      </c>
      <c r="AM54" s="70">
        <v>6668.6016471979874</v>
      </c>
      <c r="AN54" s="70">
        <v>5899.3415641286183</v>
      </c>
      <c r="AO54" s="70">
        <v>6006.0462892794676</v>
      </c>
      <c r="AP54" s="70">
        <v>6294.4115656288614</v>
      </c>
      <c r="AQ54" s="70">
        <v>6848.2606588006074</v>
      </c>
      <c r="AR54" s="70">
        <v>6376.4507483505622</v>
      </c>
      <c r="AS54" s="70">
        <v>6732.7496818488771</v>
      </c>
      <c r="AT54" s="70">
        <v>6940.6479936358264</v>
      </c>
      <c r="AU54" s="70">
        <v>7357.3688823482462</v>
      </c>
      <c r="AV54" s="70">
        <v>8511.4679500741695</v>
      </c>
      <c r="AW54" s="70">
        <v>9100.1377411947688</v>
      </c>
      <c r="AX54" s="70">
        <v>8924.0630734652132</v>
      </c>
      <c r="AY54" s="70">
        <v>21250.299205201787</v>
      </c>
      <c r="AZ54" s="70">
        <v>29664.34378857995</v>
      </c>
      <c r="BA54" s="70">
        <v>25754.326306073628</v>
      </c>
      <c r="BB54" s="70">
        <v>21410.787989899589</v>
      </c>
      <c r="BC54" s="70">
        <v>12066.012132156022</v>
      </c>
      <c r="BD54" s="70">
        <v>10856.445624417394</v>
      </c>
    </row>
    <row r="55" spans="3:56" x14ac:dyDescent="0.25">
      <c r="C55" s="108"/>
      <c r="D55" s="41" t="s">
        <v>22</v>
      </c>
      <c r="E55" s="70">
        <v>700</v>
      </c>
      <c r="F55" s="70">
        <v>700</v>
      </c>
      <c r="G55" s="70">
        <v>620</v>
      </c>
      <c r="H55" s="70">
        <v>620</v>
      </c>
      <c r="I55" s="70">
        <v>620</v>
      </c>
      <c r="J55" s="70">
        <v>620</v>
      </c>
      <c r="K55" s="70">
        <v>620</v>
      </c>
      <c r="L55" s="70">
        <v>620</v>
      </c>
      <c r="M55" s="70">
        <v>620</v>
      </c>
      <c r="N55" s="70">
        <v>620</v>
      </c>
      <c r="O55" s="70">
        <v>620</v>
      </c>
      <c r="P55" s="70">
        <v>600</v>
      </c>
      <c r="Q55" s="70">
        <v>600</v>
      </c>
      <c r="R55" s="70">
        <v>600</v>
      </c>
      <c r="S55" s="70">
        <v>600</v>
      </c>
      <c r="T55" s="70">
        <v>600</v>
      </c>
      <c r="U55" s="70">
        <v>600</v>
      </c>
      <c r="V55" s="70">
        <v>600</v>
      </c>
      <c r="W55" s="70">
        <v>600</v>
      </c>
      <c r="X55" s="70">
        <v>600</v>
      </c>
      <c r="Y55" s="70">
        <v>600</v>
      </c>
      <c r="Z55" s="70">
        <v>600</v>
      </c>
      <c r="AA55" s="70">
        <v>600</v>
      </c>
      <c r="AB55" s="70">
        <v>600</v>
      </c>
      <c r="AC55" s="70">
        <v>600</v>
      </c>
      <c r="AD55" s="70">
        <v>600</v>
      </c>
      <c r="AE55" s="70">
        <v>600</v>
      </c>
      <c r="AF55" s="70">
        <v>600</v>
      </c>
      <c r="AG55" s="70">
        <v>600</v>
      </c>
      <c r="AH55" s="70">
        <v>600</v>
      </c>
      <c r="AI55" s="70">
        <v>600</v>
      </c>
      <c r="AJ55" s="70">
        <v>600</v>
      </c>
      <c r="AK55" s="70">
        <v>600</v>
      </c>
      <c r="AL55" s="70">
        <v>600</v>
      </c>
      <c r="AM55" s="70">
        <v>600</v>
      </c>
      <c r="AN55" s="70">
        <v>600</v>
      </c>
      <c r="AO55" s="70">
        <v>600</v>
      </c>
      <c r="AP55" s="70">
        <v>600</v>
      </c>
      <c r="AQ55" s="70">
        <v>600</v>
      </c>
      <c r="AR55" s="70">
        <v>600</v>
      </c>
      <c r="AS55" s="70">
        <v>600</v>
      </c>
      <c r="AT55" s="70">
        <v>600</v>
      </c>
      <c r="AU55" s="70">
        <v>600</v>
      </c>
      <c r="AV55" s="70">
        <v>700</v>
      </c>
      <c r="AW55" s="70">
        <v>700</v>
      </c>
      <c r="AX55" s="70">
        <v>700</v>
      </c>
      <c r="AY55" s="70">
        <v>700</v>
      </c>
      <c r="AZ55" s="70">
        <v>700</v>
      </c>
      <c r="BA55" s="70">
        <v>700</v>
      </c>
      <c r="BB55" s="70">
        <v>700</v>
      </c>
      <c r="BC55" s="70">
        <v>700</v>
      </c>
      <c r="BD55" s="70">
        <v>700</v>
      </c>
    </row>
    <row r="56" spans="3:56" x14ac:dyDescent="0.25">
      <c r="C56" s="108"/>
      <c r="D56" s="41" t="s">
        <v>30</v>
      </c>
      <c r="E56" s="68">
        <v>0.75</v>
      </c>
      <c r="F56" s="68">
        <v>0.75</v>
      </c>
      <c r="G56" s="68">
        <v>0.75</v>
      </c>
      <c r="H56" s="68">
        <v>0.75</v>
      </c>
      <c r="I56" s="68">
        <v>0.75</v>
      </c>
      <c r="J56" s="68">
        <v>0.75</v>
      </c>
      <c r="K56" s="68">
        <v>0.75</v>
      </c>
      <c r="L56" s="68">
        <v>0.75</v>
      </c>
      <c r="M56" s="68">
        <v>0.75</v>
      </c>
      <c r="N56" s="68">
        <v>0.75</v>
      </c>
      <c r="O56" s="68">
        <v>0.75</v>
      </c>
      <c r="P56" s="68">
        <v>0.75</v>
      </c>
      <c r="Q56" s="68">
        <v>0.75</v>
      </c>
      <c r="R56" s="68">
        <v>0.75</v>
      </c>
      <c r="S56" s="68">
        <v>0.75</v>
      </c>
      <c r="T56" s="68">
        <v>0.75</v>
      </c>
      <c r="U56" s="68">
        <v>0.75</v>
      </c>
      <c r="V56" s="68">
        <v>0.75</v>
      </c>
      <c r="W56" s="68">
        <v>0.75</v>
      </c>
      <c r="X56" s="68">
        <v>0.75</v>
      </c>
      <c r="Y56" s="68">
        <v>0.75</v>
      </c>
      <c r="Z56" s="68">
        <v>0.75</v>
      </c>
      <c r="AA56" s="68">
        <v>0.75</v>
      </c>
      <c r="AB56" s="68">
        <v>0.75</v>
      </c>
      <c r="AC56" s="68">
        <v>0.75</v>
      </c>
      <c r="AD56" s="68">
        <v>0.75</v>
      </c>
      <c r="AE56" s="68">
        <v>0.75</v>
      </c>
      <c r="AF56" s="68">
        <v>0.75</v>
      </c>
      <c r="AG56" s="68">
        <v>0.75</v>
      </c>
      <c r="AH56" s="68">
        <v>0.75</v>
      </c>
      <c r="AI56" s="68">
        <v>0.75</v>
      </c>
      <c r="AJ56" s="68">
        <v>0.75</v>
      </c>
      <c r="AK56" s="68">
        <v>0.75</v>
      </c>
      <c r="AL56" s="68">
        <v>0.75</v>
      </c>
      <c r="AM56" s="68">
        <v>0.75</v>
      </c>
      <c r="AN56" s="68">
        <v>0.75</v>
      </c>
      <c r="AO56" s="68">
        <v>0.75</v>
      </c>
      <c r="AP56" s="68">
        <v>0.75</v>
      </c>
      <c r="AQ56" s="68">
        <v>0.75</v>
      </c>
      <c r="AR56" s="68">
        <v>0.75</v>
      </c>
      <c r="AS56" s="68">
        <v>0.75</v>
      </c>
      <c r="AT56" s="68">
        <v>0.75</v>
      </c>
      <c r="AU56" s="68">
        <v>0.75</v>
      </c>
      <c r="AV56" s="68">
        <v>0.75</v>
      </c>
      <c r="AW56" s="68">
        <v>0.75</v>
      </c>
      <c r="AX56" s="68">
        <v>0.75</v>
      </c>
      <c r="AY56" s="68">
        <v>0.78</v>
      </c>
      <c r="AZ56" s="68">
        <v>0.79</v>
      </c>
      <c r="BA56" s="68">
        <v>0.76</v>
      </c>
      <c r="BB56" s="68">
        <v>0.76</v>
      </c>
      <c r="BC56" s="68">
        <v>0.75</v>
      </c>
      <c r="BD56" s="68">
        <v>0.75</v>
      </c>
    </row>
    <row r="57" spans="3:56" x14ac:dyDescent="0.25">
      <c r="C57" s="108"/>
      <c r="D57" s="41" t="s">
        <v>31</v>
      </c>
      <c r="E57" s="68">
        <v>0.22</v>
      </c>
      <c r="F57" s="68">
        <v>0.22</v>
      </c>
      <c r="G57" s="68">
        <v>0.22</v>
      </c>
      <c r="H57" s="68">
        <v>0.22</v>
      </c>
      <c r="I57" s="68">
        <v>0.22</v>
      </c>
      <c r="J57" s="68">
        <v>0.22</v>
      </c>
      <c r="K57" s="68">
        <v>0.22</v>
      </c>
      <c r="L57" s="68">
        <v>0.22</v>
      </c>
      <c r="M57" s="68">
        <v>0.22</v>
      </c>
      <c r="N57" s="68">
        <v>0.22</v>
      </c>
      <c r="O57" s="68">
        <v>0.22</v>
      </c>
      <c r="P57" s="68">
        <v>0.22</v>
      </c>
      <c r="Q57" s="68">
        <v>0.23250000000000001</v>
      </c>
      <c r="R57" s="68">
        <v>0.26</v>
      </c>
      <c r="S57" s="68">
        <v>0.26</v>
      </c>
      <c r="T57" s="68">
        <v>0.26</v>
      </c>
      <c r="U57" s="68">
        <v>0.26</v>
      </c>
      <c r="V57" s="68">
        <v>0.26</v>
      </c>
      <c r="W57" s="68">
        <v>0.28000000000000003</v>
      </c>
      <c r="X57" s="68">
        <v>0.30000000000000004</v>
      </c>
      <c r="Y57" s="68">
        <v>0.30000000000000004</v>
      </c>
      <c r="Z57" s="68">
        <v>0.30000000000000004</v>
      </c>
      <c r="AA57" s="68">
        <v>0.30000000000000004</v>
      </c>
      <c r="AB57" s="68">
        <v>0.30000000000000004</v>
      </c>
      <c r="AC57" s="68">
        <v>0.30000000000000004</v>
      </c>
      <c r="AD57" s="68">
        <v>0.28000000000000003</v>
      </c>
      <c r="AE57" s="68">
        <v>0.27</v>
      </c>
      <c r="AF57" s="68">
        <v>0.27</v>
      </c>
      <c r="AG57" s="68">
        <v>0.27</v>
      </c>
      <c r="AH57" s="68">
        <v>0.27</v>
      </c>
      <c r="AI57" s="68">
        <v>0.27</v>
      </c>
      <c r="AJ57" s="68">
        <v>0.27</v>
      </c>
      <c r="AK57" s="68">
        <v>0.27</v>
      </c>
      <c r="AL57" s="68">
        <v>0.27</v>
      </c>
      <c r="AM57" s="68">
        <v>0.27</v>
      </c>
      <c r="AN57" s="68">
        <v>0.27</v>
      </c>
      <c r="AO57" s="68">
        <v>0.27</v>
      </c>
      <c r="AP57" s="68">
        <v>0.27</v>
      </c>
      <c r="AQ57" s="68">
        <v>0.27</v>
      </c>
      <c r="AR57" s="68">
        <v>0.26</v>
      </c>
      <c r="AS57" s="68">
        <v>0.26</v>
      </c>
      <c r="AT57" s="68">
        <v>0.26</v>
      </c>
      <c r="AU57" s="68">
        <v>0.26</v>
      </c>
      <c r="AV57" s="68">
        <v>0.26</v>
      </c>
      <c r="AW57" s="68">
        <v>0.26</v>
      </c>
      <c r="AX57" s="68">
        <v>0.26</v>
      </c>
      <c r="AY57" s="68">
        <v>0.26</v>
      </c>
      <c r="AZ57" s="68">
        <v>0.26</v>
      </c>
      <c r="BA57" s="68">
        <v>0.26</v>
      </c>
      <c r="BB57" s="68">
        <v>0.26</v>
      </c>
      <c r="BC57" s="68">
        <v>0.26</v>
      </c>
      <c r="BD57" s="68">
        <v>0.26</v>
      </c>
    </row>
    <row r="58" spans="3:56" x14ac:dyDescent="0.25">
      <c r="C58" s="108"/>
      <c r="D58" s="41" t="s">
        <v>24</v>
      </c>
      <c r="E58" s="69">
        <v>2</v>
      </c>
      <c r="F58" s="69">
        <v>2</v>
      </c>
      <c r="G58" s="69">
        <v>2</v>
      </c>
      <c r="H58" s="69">
        <v>2</v>
      </c>
      <c r="I58" s="69">
        <v>2</v>
      </c>
      <c r="J58" s="69">
        <v>2</v>
      </c>
      <c r="K58" s="69">
        <v>2</v>
      </c>
      <c r="L58" s="69">
        <v>2</v>
      </c>
      <c r="M58" s="69">
        <v>2</v>
      </c>
      <c r="N58" s="69">
        <v>2</v>
      </c>
      <c r="O58" s="69">
        <v>2</v>
      </c>
      <c r="P58" s="69">
        <v>2</v>
      </c>
      <c r="Q58" s="69">
        <v>2</v>
      </c>
      <c r="R58" s="69">
        <v>2</v>
      </c>
      <c r="S58" s="69">
        <v>2</v>
      </c>
      <c r="T58" s="69">
        <v>2</v>
      </c>
      <c r="U58" s="69">
        <v>2</v>
      </c>
      <c r="V58" s="69">
        <v>2</v>
      </c>
      <c r="W58" s="69">
        <v>2</v>
      </c>
      <c r="X58" s="69">
        <v>2</v>
      </c>
      <c r="Y58" s="69">
        <v>2</v>
      </c>
      <c r="Z58" s="69">
        <v>2</v>
      </c>
      <c r="AA58" s="69">
        <v>2</v>
      </c>
      <c r="AB58" s="69">
        <v>2</v>
      </c>
      <c r="AC58" s="69">
        <v>2</v>
      </c>
      <c r="AD58" s="69">
        <v>2</v>
      </c>
      <c r="AE58" s="69">
        <v>2</v>
      </c>
      <c r="AF58" s="69">
        <v>2</v>
      </c>
      <c r="AG58" s="69">
        <v>2</v>
      </c>
      <c r="AH58" s="69">
        <v>2</v>
      </c>
      <c r="AI58" s="69">
        <v>2</v>
      </c>
      <c r="AJ58" s="69">
        <v>2</v>
      </c>
      <c r="AK58" s="69">
        <v>2</v>
      </c>
      <c r="AL58" s="69">
        <v>2</v>
      </c>
      <c r="AM58" s="69">
        <v>2</v>
      </c>
      <c r="AN58" s="69">
        <v>2</v>
      </c>
      <c r="AO58" s="69">
        <v>2</v>
      </c>
      <c r="AP58" s="69">
        <v>2</v>
      </c>
      <c r="AQ58" s="69">
        <v>2</v>
      </c>
      <c r="AR58" s="69">
        <v>2</v>
      </c>
      <c r="AS58" s="69">
        <v>2</v>
      </c>
      <c r="AT58" s="69">
        <v>2</v>
      </c>
      <c r="AU58" s="69">
        <v>2</v>
      </c>
      <c r="AV58" s="69">
        <v>2</v>
      </c>
      <c r="AW58" s="69">
        <v>2</v>
      </c>
      <c r="AX58" s="69">
        <v>2</v>
      </c>
      <c r="AY58" s="69">
        <v>2</v>
      </c>
      <c r="AZ58" s="69">
        <v>2</v>
      </c>
      <c r="BA58" s="69">
        <v>2</v>
      </c>
      <c r="BB58" s="69">
        <v>2</v>
      </c>
      <c r="BC58" s="69">
        <v>2</v>
      </c>
      <c r="BD58" s="69">
        <v>2</v>
      </c>
    </row>
    <row r="59" spans="3:56" x14ac:dyDescent="0.25">
      <c r="C59" s="108"/>
      <c r="D59" s="41" t="s">
        <v>33</v>
      </c>
      <c r="E59" s="83">
        <f>(E54*E55)/3600/40/E56/(1-E57)/E58</f>
        <v>49.356999999999999</v>
      </c>
      <c r="F59" s="83">
        <f t="shared" ref="F59:BD59" si="20">(F54*F55)/3600/40/F56/(1-F57)/F58</f>
        <v>37.697679012345667</v>
      </c>
      <c r="G59" s="83">
        <f t="shared" si="20"/>
        <v>27.492996201329532</v>
      </c>
      <c r="H59" s="83">
        <f t="shared" si="20"/>
        <v>26.068850902184231</v>
      </c>
      <c r="I59" s="83">
        <f t="shared" si="20"/>
        <v>25.293148765432097</v>
      </c>
      <c r="J59" s="83">
        <f t="shared" si="20"/>
        <v>24.066951566951566</v>
      </c>
      <c r="K59" s="83">
        <f t="shared" si="20"/>
        <v>20.736585944919277</v>
      </c>
      <c r="L59" s="83">
        <f t="shared" si="20"/>
        <v>20.298081671415005</v>
      </c>
      <c r="M59" s="83">
        <f t="shared" si="20"/>
        <v>20.858319088319089</v>
      </c>
      <c r="N59" s="84">
        <f t="shared" si="20"/>
        <v>24.153357075023738</v>
      </c>
      <c r="O59" s="83">
        <f t="shared" si="20"/>
        <v>28.925090218423552</v>
      </c>
      <c r="P59" s="83">
        <f t="shared" si="20"/>
        <v>27.912108262108262</v>
      </c>
      <c r="Q59" s="83">
        <f t="shared" si="20"/>
        <v>23.170466883821938</v>
      </c>
      <c r="R59" s="83">
        <f t="shared" si="20"/>
        <v>22.766366366366366</v>
      </c>
      <c r="S59" s="83">
        <f t="shared" si="20"/>
        <v>22.796096096096093</v>
      </c>
      <c r="T59" s="83">
        <f t="shared" si="20"/>
        <v>25.210810810810809</v>
      </c>
      <c r="U59" s="83">
        <f t="shared" si="20"/>
        <v>24.578228228228227</v>
      </c>
      <c r="V59" s="83">
        <f t="shared" si="20"/>
        <v>28.421621621621622</v>
      </c>
      <c r="W59" s="83">
        <f t="shared" si="20"/>
        <v>28.729012345679013</v>
      </c>
      <c r="X59" s="83">
        <f t="shared" si="20"/>
        <v>29.006825396825395</v>
      </c>
      <c r="Y59" s="83">
        <f t="shared" si="20"/>
        <v>26.146825396825403</v>
      </c>
      <c r="Z59" s="83">
        <f t="shared" si="20"/>
        <v>24.360634920634922</v>
      </c>
      <c r="AA59" s="83">
        <f t="shared" si="20"/>
        <v>30.180158730158734</v>
      </c>
      <c r="AB59" s="83">
        <f t="shared" si="20"/>
        <v>28.477777777777774</v>
      </c>
      <c r="AC59" s="83">
        <f t="shared" si="20"/>
        <v>26.923809523809528</v>
      </c>
      <c r="AD59" s="83">
        <f t="shared" si="20"/>
        <v>22.561882716049382</v>
      </c>
      <c r="AE59" s="83">
        <f t="shared" si="20"/>
        <v>19.403196347031965</v>
      </c>
      <c r="AF59" s="83">
        <f t="shared" si="20"/>
        <v>21.715372907153725</v>
      </c>
      <c r="AG59" s="83">
        <f t="shared" si="20"/>
        <v>19.507001522070009</v>
      </c>
      <c r="AH59" s="83">
        <f t="shared" si="20"/>
        <v>23.222222222222221</v>
      </c>
      <c r="AI59" s="83">
        <f t="shared" si="20"/>
        <v>23.977321156773211</v>
      </c>
      <c r="AJ59" s="83">
        <f t="shared" si="20"/>
        <v>26.969254185692542</v>
      </c>
      <c r="AK59" s="83">
        <f t="shared" si="20"/>
        <v>28.169710806697104</v>
      </c>
      <c r="AL59" s="83">
        <f t="shared" si="20"/>
        <v>27.861643835616434</v>
      </c>
      <c r="AM59" s="83">
        <f t="shared" si="20"/>
        <v>25.375196526628567</v>
      </c>
      <c r="AN59" s="83">
        <f t="shared" si="20"/>
        <v>22.448027260763386</v>
      </c>
      <c r="AO59" s="83">
        <f t="shared" si="20"/>
        <v>22.854057417349573</v>
      </c>
      <c r="AP59" s="83">
        <f t="shared" si="20"/>
        <v>23.951337768755184</v>
      </c>
      <c r="AQ59" s="83">
        <f t="shared" si="20"/>
        <v>26.058830512939906</v>
      </c>
      <c r="AR59" s="83">
        <f t="shared" si="20"/>
        <v>23.935625932246857</v>
      </c>
      <c r="AS59" s="83">
        <f t="shared" si="20"/>
        <v>25.273084391324613</v>
      </c>
      <c r="AT59" s="83">
        <f t="shared" si="20"/>
        <v>26.053483459593942</v>
      </c>
      <c r="AU59" s="83">
        <f t="shared" si="20"/>
        <v>27.617751059865789</v>
      </c>
      <c r="AV59" s="83">
        <f t="shared" si="20"/>
        <v>37.274947228803299</v>
      </c>
      <c r="AW59" s="83">
        <f t="shared" si="20"/>
        <v>39.852955573300413</v>
      </c>
      <c r="AX59" s="83">
        <f t="shared" si="20"/>
        <v>39.081857804214522</v>
      </c>
      <c r="AY59" s="83">
        <f t="shared" si="20"/>
        <v>89.483771293175678</v>
      </c>
      <c r="AZ59" s="83">
        <f t="shared" si="20"/>
        <v>123.333622301134</v>
      </c>
      <c r="BA59" s="83">
        <f t="shared" si="20"/>
        <v>111.3039133762764</v>
      </c>
      <c r="BB59" s="83">
        <f t="shared" si="20"/>
        <v>92.532200742661104</v>
      </c>
      <c r="BC59" s="83">
        <f t="shared" si="20"/>
        <v>52.841644722905507</v>
      </c>
      <c r="BD59" s="83">
        <f t="shared" si="20"/>
        <v>47.544494100927018</v>
      </c>
    </row>
    <row r="60" spans="3:56" x14ac:dyDescent="0.25">
      <c r="C60" s="108"/>
      <c r="E60" s="41"/>
      <c r="F60" s="41"/>
      <c r="G60" s="41"/>
    </row>
    <row r="61" spans="3:56" x14ac:dyDescent="0.25">
      <c r="C61" s="108"/>
      <c r="D61" s="49" t="s">
        <v>34</v>
      </c>
      <c r="E61" s="65">
        <v>0</v>
      </c>
      <c r="F61" s="65">
        <v>0</v>
      </c>
      <c r="G61" s="65">
        <v>0</v>
      </c>
      <c r="H61" s="65">
        <v>0</v>
      </c>
      <c r="I61" s="65">
        <v>0</v>
      </c>
      <c r="J61" s="65">
        <v>0</v>
      </c>
      <c r="K61" s="65">
        <v>0</v>
      </c>
      <c r="L61" s="65">
        <v>0</v>
      </c>
      <c r="M61" s="65">
        <v>0</v>
      </c>
      <c r="N61" s="65">
        <v>0</v>
      </c>
      <c r="O61" s="65">
        <v>0</v>
      </c>
      <c r="P61" s="65">
        <v>0</v>
      </c>
      <c r="Q61" s="65">
        <v>0</v>
      </c>
      <c r="R61" s="65">
        <v>0</v>
      </c>
      <c r="S61" s="65">
        <v>0</v>
      </c>
      <c r="T61" s="65">
        <v>0</v>
      </c>
      <c r="U61" s="65">
        <v>0</v>
      </c>
      <c r="V61" s="65">
        <v>0</v>
      </c>
      <c r="W61" s="65">
        <v>0</v>
      </c>
      <c r="X61" s="65">
        <v>0</v>
      </c>
      <c r="Y61" s="65">
        <v>0</v>
      </c>
      <c r="Z61" s="65">
        <v>0</v>
      </c>
      <c r="AA61" s="65">
        <v>0</v>
      </c>
      <c r="AB61" s="65">
        <v>0</v>
      </c>
      <c r="AC61" s="65">
        <v>0</v>
      </c>
      <c r="AD61" s="65">
        <v>0</v>
      </c>
      <c r="AE61" s="65">
        <v>0</v>
      </c>
      <c r="AF61" s="65">
        <v>0</v>
      </c>
      <c r="AG61" s="65">
        <v>0</v>
      </c>
      <c r="AH61" s="65">
        <v>0</v>
      </c>
      <c r="AI61" s="65">
        <v>0</v>
      </c>
      <c r="AJ61" s="65">
        <v>0</v>
      </c>
      <c r="AK61" s="65">
        <v>0</v>
      </c>
      <c r="AL61" s="65">
        <v>0</v>
      </c>
      <c r="AM61" s="65">
        <v>0</v>
      </c>
      <c r="AN61" s="65">
        <v>0</v>
      </c>
      <c r="AO61" s="65">
        <v>0</v>
      </c>
      <c r="AP61" s="65">
        <v>0</v>
      </c>
      <c r="AQ61" s="65">
        <v>0</v>
      </c>
      <c r="AR61" s="65">
        <v>0</v>
      </c>
      <c r="AS61" s="65">
        <v>0</v>
      </c>
      <c r="AT61" s="65">
        <v>0</v>
      </c>
      <c r="AU61" s="65">
        <v>0</v>
      </c>
      <c r="AV61" s="65">
        <v>0</v>
      </c>
      <c r="AW61" s="65">
        <v>0</v>
      </c>
      <c r="AX61" s="65">
        <v>0</v>
      </c>
      <c r="AY61" s="65">
        <v>0</v>
      </c>
      <c r="AZ61" s="65">
        <v>0</v>
      </c>
      <c r="BA61" s="65">
        <v>0</v>
      </c>
      <c r="BB61" s="65">
        <v>0</v>
      </c>
      <c r="BC61" s="65">
        <v>0</v>
      </c>
      <c r="BD61" s="65">
        <v>0</v>
      </c>
    </row>
    <row r="62" spans="3:56" x14ac:dyDescent="0.25">
      <c r="C62" s="108"/>
      <c r="D62" s="49" t="s">
        <v>35</v>
      </c>
      <c r="E62" s="65">
        <v>0</v>
      </c>
      <c r="F62" s="65">
        <v>0</v>
      </c>
      <c r="G62" s="65">
        <v>0</v>
      </c>
      <c r="H62" s="65">
        <v>0</v>
      </c>
      <c r="I62" s="65">
        <v>0</v>
      </c>
      <c r="J62" s="65">
        <v>0</v>
      </c>
      <c r="K62" s="65">
        <v>0</v>
      </c>
      <c r="L62" s="65">
        <v>0</v>
      </c>
      <c r="M62" s="65">
        <v>0</v>
      </c>
      <c r="N62" s="65">
        <v>0</v>
      </c>
      <c r="O62" s="65">
        <v>0</v>
      </c>
      <c r="P62" s="65">
        <v>0</v>
      </c>
      <c r="Q62" s="65">
        <v>0</v>
      </c>
      <c r="R62" s="65">
        <v>0</v>
      </c>
      <c r="S62" s="65">
        <v>0</v>
      </c>
      <c r="T62" s="65">
        <v>0</v>
      </c>
      <c r="U62" s="65">
        <v>0</v>
      </c>
      <c r="V62" s="65">
        <v>0</v>
      </c>
      <c r="W62" s="65">
        <v>0</v>
      </c>
      <c r="X62" s="65">
        <v>0</v>
      </c>
      <c r="Y62" s="65">
        <v>0</v>
      </c>
      <c r="Z62" s="65">
        <v>0</v>
      </c>
      <c r="AA62" s="65">
        <v>0</v>
      </c>
      <c r="AB62" s="65">
        <v>0</v>
      </c>
      <c r="AC62" s="65">
        <v>0</v>
      </c>
      <c r="AD62" s="65">
        <v>0</v>
      </c>
      <c r="AE62" s="65">
        <v>0</v>
      </c>
      <c r="AF62" s="65">
        <v>0</v>
      </c>
      <c r="AG62" s="65">
        <v>0</v>
      </c>
      <c r="AH62" s="65">
        <v>0</v>
      </c>
      <c r="AI62" s="65">
        <v>0</v>
      </c>
      <c r="AJ62" s="65">
        <v>0</v>
      </c>
      <c r="AK62" s="65">
        <v>0</v>
      </c>
      <c r="AL62" s="65">
        <v>0</v>
      </c>
      <c r="AM62" s="65">
        <v>0</v>
      </c>
      <c r="AN62" s="65">
        <v>0</v>
      </c>
      <c r="AO62" s="65">
        <v>0</v>
      </c>
      <c r="AP62" s="65">
        <v>0</v>
      </c>
      <c r="AQ62" s="65">
        <v>0</v>
      </c>
      <c r="AR62" s="65">
        <v>0</v>
      </c>
      <c r="AS62" s="65">
        <v>0</v>
      </c>
      <c r="AT62" s="65">
        <v>0</v>
      </c>
      <c r="AU62" s="65">
        <v>0</v>
      </c>
      <c r="AV62" s="65">
        <v>0</v>
      </c>
      <c r="AW62" s="65">
        <v>0</v>
      </c>
      <c r="AX62" s="65">
        <v>0</v>
      </c>
      <c r="AY62" s="65">
        <v>0</v>
      </c>
      <c r="AZ62" s="65">
        <v>0</v>
      </c>
      <c r="BA62" s="65">
        <v>0</v>
      </c>
      <c r="BB62" s="65">
        <v>0</v>
      </c>
      <c r="BC62" s="65">
        <v>0</v>
      </c>
      <c r="BD62" s="65">
        <v>0</v>
      </c>
    </row>
    <row r="63" spans="3:56" x14ac:dyDescent="0.25">
      <c r="C63" s="108"/>
      <c r="D63" s="49" t="s">
        <v>36</v>
      </c>
      <c r="E63" s="65">
        <v>0</v>
      </c>
      <c r="F63" s="65">
        <v>0</v>
      </c>
      <c r="G63" s="65">
        <v>0</v>
      </c>
      <c r="H63" s="65">
        <v>0</v>
      </c>
      <c r="I63" s="65">
        <v>0</v>
      </c>
      <c r="J63" s="65">
        <v>0</v>
      </c>
      <c r="K63" s="65">
        <v>0</v>
      </c>
      <c r="L63" s="65">
        <v>0</v>
      </c>
      <c r="M63" s="65">
        <v>0</v>
      </c>
      <c r="N63" s="65">
        <v>0</v>
      </c>
      <c r="O63" s="65">
        <v>0</v>
      </c>
      <c r="P63" s="65">
        <v>0</v>
      </c>
      <c r="Q63" s="65">
        <v>0</v>
      </c>
      <c r="R63" s="65">
        <v>0</v>
      </c>
      <c r="S63" s="65">
        <v>0</v>
      </c>
      <c r="T63" s="65">
        <v>0</v>
      </c>
      <c r="U63" s="65">
        <v>0</v>
      </c>
      <c r="V63" s="65">
        <v>0</v>
      </c>
      <c r="W63" s="65">
        <v>0</v>
      </c>
      <c r="X63" s="65">
        <v>0</v>
      </c>
      <c r="Y63" s="65">
        <v>0</v>
      </c>
      <c r="Z63" s="65">
        <v>0</v>
      </c>
      <c r="AA63" s="65">
        <v>0</v>
      </c>
      <c r="AB63" s="65">
        <v>0</v>
      </c>
      <c r="AC63" s="65">
        <v>0</v>
      </c>
      <c r="AD63" s="65">
        <v>0</v>
      </c>
      <c r="AE63" s="65">
        <v>0</v>
      </c>
      <c r="AF63" s="65">
        <v>0</v>
      </c>
      <c r="AG63" s="65">
        <v>0</v>
      </c>
      <c r="AH63" s="65">
        <v>0</v>
      </c>
      <c r="AI63" s="65">
        <v>0</v>
      </c>
      <c r="AJ63" s="65">
        <v>0</v>
      </c>
      <c r="AK63" s="65">
        <v>0</v>
      </c>
      <c r="AL63" s="65">
        <v>0</v>
      </c>
      <c r="AM63" s="65">
        <v>0</v>
      </c>
      <c r="AN63" s="65">
        <v>0</v>
      </c>
      <c r="AO63" s="65">
        <v>0</v>
      </c>
      <c r="AP63" s="65">
        <v>0</v>
      </c>
      <c r="AQ63" s="65">
        <v>0</v>
      </c>
      <c r="AR63" s="65">
        <v>0</v>
      </c>
      <c r="AS63" s="65">
        <v>0</v>
      </c>
      <c r="AT63" s="65">
        <v>0</v>
      </c>
      <c r="AU63" s="65">
        <v>0</v>
      </c>
      <c r="AV63" s="65">
        <v>0</v>
      </c>
      <c r="AW63" s="65">
        <v>0</v>
      </c>
      <c r="AX63" s="65">
        <v>0</v>
      </c>
      <c r="AY63" s="65">
        <v>0</v>
      </c>
      <c r="AZ63" s="65">
        <v>0</v>
      </c>
      <c r="BA63" s="65">
        <v>0</v>
      </c>
      <c r="BB63" s="65">
        <v>0</v>
      </c>
      <c r="BC63" s="65">
        <v>0</v>
      </c>
      <c r="BD63" s="65">
        <v>0</v>
      </c>
    </row>
    <row r="64" spans="3:56" x14ac:dyDescent="0.25">
      <c r="C64" s="108"/>
      <c r="D64" s="49" t="s">
        <v>37</v>
      </c>
      <c r="E64" s="65">
        <v>0</v>
      </c>
      <c r="F64" s="65">
        <v>0</v>
      </c>
      <c r="G64" s="65">
        <v>0</v>
      </c>
      <c r="H64" s="65">
        <v>0</v>
      </c>
      <c r="I64" s="65">
        <v>0</v>
      </c>
      <c r="J64" s="65">
        <v>0</v>
      </c>
      <c r="K64" s="65">
        <v>0</v>
      </c>
      <c r="L64" s="65">
        <v>0</v>
      </c>
      <c r="M64" s="65">
        <v>0</v>
      </c>
      <c r="N64" s="65">
        <v>0</v>
      </c>
      <c r="O64" s="65">
        <v>0</v>
      </c>
      <c r="P64" s="65">
        <v>0</v>
      </c>
      <c r="Q64" s="65">
        <v>0</v>
      </c>
      <c r="R64" s="65">
        <v>0</v>
      </c>
      <c r="S64" s="65">
        <v>0</v>
      </c>
      <c r="T64" s="65">
        <v>0</v>
      </c>
      <c r="U64" s="65">
        <v>0</v>
      </c>
      <c r="V64" s="65">
        <v>0</v>
      </c>
      <c r="W64" s="65">
        <v>0</v>
      </c>
      <c r="X64" s="65">
        <v>0</v>
      </c>
      <c r="Y64" s="65">
        <v>0</v>
      </c>
      <c r="Z64" s="65">
        <v>0</v>
      </c>
      <c r="AA64" s="65">
        <v>0</v>
      </c>
      <c r="AB64" s="65">
        <v>0</v>
      </c>
      <c r="AC64" s="65">
        <v>0</v>
      </c>
      <c r="AD64" s="65">
        <v>0</v>
      </c>
      <c r="AE64" s="65">
        <v>0</v>
      </c>
      <c r="AF64" s="65">
        <v>0</v>
      </c>
      <c r="AG64" s="65">
        <v>0</v>
      </c>
      <c r="AH64" s="65">
        <v>0</v>
      </c>
      <c r="AI64" s="65">
        <v>0</v>
      </c>
      <c r="AJ64" s="65">
        <v>0</v>
      </c>
      <c r="AK64" s="65">
        <v>0</v>
      </c>
      <c r="AL64" s="65">
        <v>0</v>
      </c>
      <c r="AM64" s="65">
        <v>0</v>
      </c>
      <c r="AN64" s="65">
        <v>0</v>
      </c>
      <c r="AO64" s="65">
        <v>0</v>
      </c>
      <c r="AP64" s="65">
        <v>0</v>
      </c>
      <c r="AQ64" s="65">
        <v>0</v>
      </c>
      <c r="AR64" s="65">
        <v>0</v>
      </c>
      <c r="AS64" s="65">
        <v>0</v>
      </c>
      <c r="AT64" s="65">
        <v>0</v>
      </c>
      <c r="AU64" s="65">
        <v>0</v>
      </c>
      <c r="AV64" s="65">
        <v>0</v>
      </c>
      <c r="AW64" s="65">
        <v>0</v>
      </c>
      <c r="AX64" s="65">
        <v>0</v>
      </c>
      <c r="AY64" s="65">
        <v>0</v>
      </c>
      <c r="AZ64" s="65">
        <v>0</v>
      </c>
      <c r="BA64" s="65">
        <v>0</v>
      </c>
      <c r="BB64" s="65">
        <v>0</v>
      </c>
      <c r="BC64" s="65">
        <v>0</v>
      </c>
      <c r="BD64" s="65">
        <v>0</v>
      </c>
    </row>
    <row r="65" spans="3:56" x14ac:dyDescent="0.25">
      <c r="C65" s="108"/>
      <c r="D65" s="49" t="s">
        <v>38</v>
      </c>
      <c r="E65" s="65">
        <v>0</v>
      </c>
      <c r="F65" s="65">
        <v>0</v>
      </c>
      <c r="G65" s="65">
        <v>0</v>
      </c>
      <c r="H65" s="65">
        <v>0</v>
      </c>
      <c r="I65" s="65">
        <v>0</v>
      </c>
      <c r="J65" s="65">
        <v>0</v>
      </c>
      <c r="K65" s="65">
        <v>0</v>
      </c>
      <c r="L65" s="65">
        <v>0</v>
      </c>
      <c r="M65" s="65">
        <v>0</v>
      </c>
      <c r="N65" s="65">
        <v>0</v>
      </c>
      <c r="O65" s="65">
        <v>0</v>
      </c>
      <c r="P65" s="65">
        <v>0</v>
      </c>
      <c r="Q65" s="65">
        <v>0</v>
      </c>
      <c r="R65" s="65">
        <v>0</v>
      </c>
      <c r="S65" s="65">
        <v>0</v>
      </c>
      <c r="T65" s="65">
        <v>0</v>
      </c>
      <c r="U65" s="65">
        <v>0</v>
      </c>
      <c r="V65" s="65">
        <v>0</v>
      </c>
      <c r="W65" s="65">
        <v>0</v>
      </c>
      <c r="X65" s="65">
        <v>0</v>
      </c>
      <c r="Y65" s="65">
        <v>0</v>
      </c>
      <c r="Z65" s="65">
        <v>0</v>
      </c>
      <c r="AA65" s="65">
        <v>0</v>
      </c>
      <c r="AB65" s="65">
        <v>0</v>
      </c>
      <c r="AC65" s="65">
        <v>0</v>
      </c>
      <c r="AD65" s="65">
        <v>0</v>
      </c>
      <c r="AE65" s="65">
        <v>0</v>
      </c>
      <c r="AF65" s="65">
        <v>0</v>
      </c>
      <c r="AG65" s="65">
        <v>0</v>
      </c>
      <c r="AH65" s="65">
        <v>0</v>
      </c>
      <c r="AI65" s="65">
        <v>0</v>
      </c>
      <c r="AJ65" s="65">
        <v>0</v>
      </c>
      <c r="AK65" s="65">
        <v>0</v>
      </c>
      <c r="AL65" s="65">
        <v>0</v>
      </c>
      <c r="AM65" s="65">
        <v>0</v>
      </c>
      <c r="AN65" s="65">
        <v>0</v>
      </c>
      <c r="AO65" s="65">
        <v>0</v>
      </c>
      <c r="AP65" s="65">
        <v>0</v>
      </c>
      <c r="AQ65" s="65">
        <v>0</v>
      </c>
      <c r="AR65" s="65">
        <v>0</v>
      </c>
      <c r="AS65" s="65">
        <v>0</v>
      </c>
      <c r="AT65" s="65">
        <v>0</v>
      </c>
      <c r="AU65" s="65">
        <v>0</v>
      </c>
      <c r="AV65" s="65">
        <v>0</v>
      </c>
      <c r="AW65" s="65">
        <v>0</v>
      </c>
      <c r="AX65" s="65">
        <v>0</v>
      </c>
      <c r="AY65" s="65">
        <v>0</v>
      </c>
      <c r="AZ65" s="65">
        <v>0</v>
      </c>
      <c r="BA65" s="65">
        <v>0</v>
      </c>
      <c r="BB65" s="65">
        <v>0</v>
      </c>
      <c r="BC65" s="65">
        <v>0</v>
      </c>
      <c r="BD65" s="65">
        <v>0</v>
      </c>
    </row>
    <row r="66" spans="3:56" x14ac:dyDescent="0.25">
      <c r="C66" s="108"/>
      <c r="D66" s="49" t="s">
        <v>39</v>
      </c>
      <c r="E66" s="65">
        <v>29</v>
      </c>
      <c r="F66" s="65">
        <v>21</v>
      </c>
      <c r="G66" s="65">
        <v>17</v>
      </c>
      <c r="H66" s="65">
        <v>17</v>
      </c>
      <c r="I66" s="65">
        <v>17</v>
      </c>
      <c r="J66" s="65">
        <v>17</v>
      </c>
      <c r="K66" s="65">
        <v>17</v>
      </c>
      <c r="L66" s="65">
        <v>17</v>
      </c>
      <c r="M66" s="65">
        <v>17</v>
      </c>
      <c r="N66" s="65">
        <v>17</v>
      </c>
      <c r="O66" s="65">
        <v>20</v>
      </c>
      <c r="P66" s="65">
        <v>20</v>
      </c>
      <c r="Q66" s="65">
        <v>20</v>
      </c>
      <c r="R66" s="65">
        <v>21</v>
      </c>
      <c r="S66" s="65">
        <v>19</v>
      </c>
      <c r="T66" s="65">
        <v>19</v>
      </c>
      <c r="U66" s="65">
        <v>19</v>
      </c>
      <c r="V66" s="65">
        <v>19</v>
      </c>
      <c r="W66" s="65">
        <v>18</v>
      </c>
      <c r="X66" s="65">
        <v>18</v>
      </c>
      <c r="Y66" s="65">
        <v>22.28</v>
      </c>
      <c r="Z66" s="65">
        <v>21.3888</v>
      </c>
      <c r="AA66" s="65">
        <v>27.067968</v>
      </c>
      <c r="AB66" s="65">
        <v>26.66194848</v>
      </c>
      <c r="AC66" s="65">
        <v>26.262019252799998</v>
      </c>
      <c r="AD66" s="65">
        <v>21.868088964007999</v>
      </c>
      <c r="AE66" s="65">
        <v>21.540067629547877</v>
      </c>
      <c r="AF66" s="65">
        <v>20.21696661510466</v>
      </c>
      <c r="AG66" s="65">
        <v>19.913712115878091</v>
      </c>
      <c r="AH66" s="65">
        <v>19.615006434139922</v>
      </c>
      <c r="AI66" s="65">
        <v>24.570781337627821</v>
      </c>
      <c r="AJ66" s="65">
        <v>22.202219617563404</v>
      </c>
      <c r="AK66" s="65">
        <v>21.869186323299953</v>
      </c>
      <c r="AL66" s="65">
        <v>26.041148528450453</v>
      </c>
      <c r="AM66" s="65">
        <v>25.650531300523696</v>
      </c>
      <c r="AN66" s="65">
        <v>25.26577333101584</v>
      </c>
      <c r="AO66" s="65">
        <v>24.886786731050602</v>
      </c>
      <c r="AP66" s="65">
        <v>24.513484930084843</v>
      </c>
      <c r="AQ66" s="65">
        <v>24.145782656133569</v>
      </c>
      <c r="AR66" s="65">
        <v>23.783595916291567</v>
      </c>
      <c r="AS66" s="65">
        <v>23.426841977547195</v>
      </c>
      <c r="AT66" s="65">
        <v>23.075439347883986</v>
      </c>
      <c r="AU66" s="65">
        <v>45.229307757665723</v>
      </c>
      <c r="AV66" s="65">
        <v>44.550868141300739</v>
      </c>
      <c r="AW66" s="65">
        <v>53.437096437768218</v>
      </c>
      <c r="AX66" s="65">
        <v>52.10116902682401</v>
      </c>
      <c r="AY66" s="65">
        <v>73.298639801153413</v>
      </c>
      <c r="AZ66" s="65">
        <v>74.466173806124573</v>
      </c>
      <c r="BA66" s="65">
        <v>64.742865115818347</v>
      </c>
      <c r="BB66" s="65">
        <v>61.505721860027428</v>
      </c>
      <c r="BC66" s="65">
        <v>58.430435767026054</v>
      </c>
      <c r="BD66" s="65">
        <v>55.508913978674755</v>
      </c>
    </row>
    <row r="67" spans="3:56" x14ac:dyDescent="0.25">
      <c r="C67" s="108"/>
      <c r="D67" s="49" t="s">
        <v>40</v>
      </c>
      <c r="E67" s="65">
        <v>26.95</v>
      </c>
      <c r="F67" s="65">
        <v>15.7</v>
      </c>
      <c r="G67" s="65">
        <v>10.074999999999999</v>
      </c>
      <c r="H67" s="65">
        <v>10.074999999999999</v>
      </c>
      <c r="I67" s="65">
        <v>10.074999999999999</v>
      </c>
      <c r="J67" s="65">
        <v>10.074999999999999</v>
      </c>
      <c r="K67" s="65">
        <v>6.7</v>
      </c>
      <c r="L67" s="65">
        <v>7.875</v>
      </c>
      <c r="M67" s="65">
        <v>6.75</v>
      </c>
      <c r="N67" s="65">
        <v>5.625</v>
      </c>
      <c r="O67" s="65">
        <v>4.5</v>
      </c>
      <c r="P67" s="65">
        <v>4.5</v>
      </c>
      <c r="Q67" s="65">
        <v>4.5</v>
      </c>
      <c r="R67" s="65">
        <v>4.5</v>
      </c>
      <c r="S67" s="65">
        <v>4.5</v>
      </c>
      <c r="T67" s="65">
        <v>4.5</v>
      </c>
      <c r="U67" s="65">
        <v>4.5</v>
      </c>
      <c r="V67" s="65">
        <v>4.5</v>
      </c>
      <c r="W67" s="65">
        <v>4.5</v>
      </c>
      <c r="X67" s="65">
        <v>4.5</v>
      </c>
      <c r="Y67" s="65">
        <v>4.32</v>
      </c>
      <c r="Z67" s="65">
        <v>4.1472000000000007</v>
      </c>
      <c r="AA67" s="65">
        <v>4.0849920000000006</v>
      </c>
      <c r="AB67" s="65">
        <v>4.0237171200000006</v>
      </c>
      <c r="AC67" s="65">
        <v>3.9633613632000007</v>
      </c>
      <c r="AD67" s="65">
        <v>3.9039109427520007</v>
      </c>
      <c r="AE67" s="65">
        <v>3.8453522786107208</v>
      </c>
      <c r="AF67" s="65">
        <v>3.7876719944315602</v>
      </c>
      <c r="AG67" s="65">
        <v>3.7308569145150869</v>
      </c>
      <c r="AH67" s="65">
        <v>3.6748940607973606</v>
      </c>
      <c r="AI67" s="65">
        <v>3.6197706498854001</v>
      </c>
      <c r="AJ67" s="65">
        <v>3.5654740901371191</v>
      </c>
      <c r="AK67" s="65">
        <v>3.5119919787850624</v>
      </c>
      <c r="AL67" s="65">
        <v>3.4593120991032866</v>
      </c>
      <c r="AM67" s="65">
        <v>3.4074224176167371</v>
      </c>
      <c r="AN67" s="65">
        <v>3.3563110813524859</v>
      </c>
      <c r="AO67" s="65">
        <v>3.3059664151321986</v>
      </c>
      <c r="AP67" s="65">
        <v>3.2563769189052154</v>
      </c>
      <c r="AQ67" s="65">
        <v>3.207531265121637</v>
      </c>
      <c r="AR67" s="65">
        <v>3.1594182961448123</v>
      </c>
      <c r="AS67" s="65">
        <v>3.11202702170264</v>
      </c>
      <c r="AT67" s="65">
        <v>3.0653466163771004</v>
      </c>
      <c r="AU67" s="65">
        <v>3.0193664171314438</v>
      </c>
      <c r="AV67" s="65">
        <v>20.286575920874473</v>
      </c>
      <c r="AW67" s="65">
        <v>19.779411522852612</v>
      </c>
      <c r="AX67" s="65">
        <v>19.284926234781295</v>
      </c>
      <c r="AY67" s="65">
        <v>18.802803078911762</v>
      </c>
      <c r="AZ67" s="65">
        <v>41.113983001938969</v>
      </c>
      <c r="BA67" s="65">
        <v>39.05828385184202</v>
      </c>
      <c r="BB67" s="65">
        <v>37.105369659249916</v>
      </c>
      <c r="BC67" s="65">
        <v>35.250101176287423</v>
      </c>
      <c r="BD67" s="65">
        <v>33.487596117473053</v>
      </c>
    </row>
    <row r="68" spans="3:56" x14ac:dyDescent="0.25">
      <c r="C68" s="108"/>
      <c r="D68" s="50" t="s">
        <v>41</v>
      </c>
      <c r="E68" s="54">
        <f t="shared" ref="E68:BD68" si="21">(SUM(E61:E67)*E70)/((40*(1-E69)+40))</f>
        <v>0</v>
      </c>
      <c r="F68" s="54">
        <f t="shared" si="21"/>
        <v>0</v>
      </c>
      <c r="G68" s="54">
        <f t="shared" si="21"/>
        <v>0</v>
      </c>
      <c r="H68" s="54">
        <f t="shared" si="21"/>
        <v>-3.5315217391304343</v>
      </c>
      <c r="I68" s="54">
        <f t="shared" si="21"/>
        <v>0</v>
      </c>
      <c r="J68" s="54">
        <f t="shared" si="21"/>
        <v>0</v>
      </c>
      <c r="K68" s="54">
        <f t="shared" si="21"/>
        <v>-4.1217391304347828</v>
      </c>
      <c r="L68" s="54">
        <f t="shared" si="21"/>
        <v>-3.2445652173913042</v>
      </c>
      <c r="M68" s="54">
        <f t="shared" si="21"/>
        <v>-2.0652173913043477</v>
      </c>
      <c r="N68" s="54">
        <f t="shared" si="21"/>
        <v>0</v>
      </c>
      <c r="O68" s="54">
        <f t="shared" si="21"/>
        <v>2.1304347826086958</v>
      </c>
      <c r="P68" s="54">
        <f t="shared" si="21"/>
        <v>0</v>
      </c>
      <c r="Q68" s="54">
        <f t="shared" si="21"/>
        <v>0</v>
      </c>
      <c r="R68" s="54">
        <f t="shared" si="21"/>
        <v>0</v>
      </c>
      <c r="S68" s="54">
        <f t="shared" si="21"/>
        <v>0</v>
      </c>
      <c r="T68" s="54">
        <f t="shared" si="21"/>
        <v>0</v>
      </c>
      <c r="U68" s="54">
        <f t="shared" si="21"/>
        <v>4.0869565217391308</v>
      </c>
      <c r="V68" s="54">
        <f t="shared" si="21"/>
        <v>4.0869565217391308</v>
      </c>
      <c r="W68" s="54">
        <f t="shared" si="21"/>
        <v>3.9130434782608696</v>
      </c>
      <c r="X68" s="54">
        <f t="shared" si="21"/>
        <v>2.9347826086956523</v>
      </c>
      <c r="Y68" s="54">
        <f t="shared" si="21"/>
        <v>0</v>
      </c>
      <c r="Z68" s="54">
        <f t="shared" si="21"/>
        <v>-2.2205217391304348</v>
      </c>
      <c r="AA68" s="54">
        <f t="shared" si="21"/>
        <v>0</v>
      </c>
      <c r="AB68" s="54">
        <f t="shared" si="21"/>
        <v>0</v>
      </c>
      <c r="AC68" s="54">
        <f t="shared" si="21"/>
        <v>-0.65707349165217388</v>
      </c>
      <c r="AD68" s="54">
        <f t="shared" si="21"/>
        <v>-0.56026086753826088</v>
      </c>
      <c r="AE68" s="54">
        <f t="shared" si="21"/>
        <v>-2.2074278181007476</v>
      </c>
      <c r="AF68" s="54">
        <f t="shared" si="21"/>
        <v>0</v>
      </c>
      <c r="AG68" s="54">
        <f t="shared" si="21"/>
        <v>0</v>
      </c>
      <c r="AH68" s="54">
        <f t="shared" si="21"/>
        <v>3.0378131080352975</v>
      </c>
      <c r="AI68" s="54">
        <f t="shared" si="21"/>
        <v>0</v>
      </c>
      <c r="AJ68" s="54">
        <f t="shared" si="21"/>
        <v>4.48133803612183</v>
      </c>
      <c r="AK68" s="54">
        <f t="shared" si="21"/>
        <v>4.4141179655800027</v>
      </c>
      <c r="AL68" s="54">
        <f t="shared" si="21"/>
        <v>1.2826287229371192</v>
      </c>
      <c r="AM68" s="54">
        <f t="shared" si="21"/>
        <v>0</v>
      </c>
      <c r="AN68" s="54">
        <f t="shared" si="21"/>
        <v>0</v>
      </c>
      <c r="AO68" s="54">
        <f t="shared" si="21"/>
        <v>0</v>
      </c>
      <c r="AP68" s="54">
        <f t="shared" si="21"/>
        <v>0</v>
      </c>
      <c r="AQ68" s="54">
        <f t="shared" si="21"/>
        <v>0</v>
      </c>
      <c r="AR68" s="54">
        <f t="shared" si="21"/>
        <v>0</v>
      </c>
      <c r="AS68" s="54">
        <f t="shared" si="21"/>
        <v>0</v>
      </c>
      <c r="AT68" s="54">
        <f t="shared" si="21"/>
        <v>0</v>
      </c>
      <c r="AU68" s="54">
        <f t="shared" si="21"/>
        <v>0</v>
      </c>
      <c r="AV68" s="54">
        <f t="shared" si="21"/>
        <v>0</v>
      </c>
      <c r="AW68" s="54">
        <f t="shared" si="21"/>
        <v>0</v>
      </c>
      <c r="AX68" s="54">
        <f t="shared" si="21"/>
        <v>0</v>
      </c>
      <c r="AY68" s="54">
        <f t="shared" si="21"/>
        <v>0</v>
      </c>
      <c r="AZ68" s="54">
        <f t="shared" si="21"/>
        <v>15.075672627138726</v>
      </c>
      <c r="BA68" s="54">
        <f t="shared" si="21"/>
        <v>18.052373733506151</v>
      </c>
      <c r="BB68" s="54">
        <f t="shared" si="21"/>
        <v>0</v>
      </c>
      <c r="BC68" s="54">
        <f t="shared" si="21"/>
        <v>0</v>
      </c>
      <c r="BD68" s="54">
        <f t="shared" si="21"/>
        <v>0</v>
      </c>
    </row>
    <row r="69" spans="3:56" x14ac:dyDescent="0.25">
      <c r="C69" s="108"/>
      <c r="D69" s="50" t="s">
        <v>42</v>
      </c>
      <c r="E69" s="67">
        <v>0.85</v>
      </c>
      <c r="F69" s="67">
        <v>0.85</v>
      </c>
      <c r="G69" s="67">
        <v>0.85</v>
      </c>
      <c r="H69" s="67">
        <v>0.85</v>
      </c>
      <c r="I69" s="67">
        <v>0.85</v>
      </c>
      <c r="J69" s="67">
        <v>0.85</v>
      </c>
      <c r="K69" s="67">
        <v>0.85</v>
      </c>
      <c r="L69" s="67">
        <v>0.85</v>
      </c>
      <c r="M69" s="67">
        <v>0.85</v>
      </c>
      <c r="N69" s="67">
        <v>0.85</v>
      </c>
      <c r="O69" s="67">
        <v>0.85</v>
      </c>
      <c r="P69" s="67">
        <v>0.85</v>
      </c>
      <c r="Q69" s="67">
        <v>0.85</v>
      </c>
      <c r="R69" s="67">
        <v>0.85</v>
      </c>
      <c r="S69" s="67">
        <v>0.85</v>
      </c>
      <c r="T69" s="67">
        <v>0.85</v>
      </c>
      <c r="U69" s="67">
        <v>0.85</v>
      </c>
      <c r="V69" s="67">
        <v>0.85</v>
      </c>
      <c r="W69" s="67">
        <v>0.85</v>
      </c>
      <c r="X69" s="67">
        <v>0.85</v>
      </c>
      <c r="Y69" s="67">
        <v>0.85</v>
      </c>
      <c r="Z69" s="67">
        <v>0.85</v>
      </c>
      <c r="AA69" s="67">
        <v>0.85</v>
      </c>
      <c r="AB69" s="67">
        <v>0.85</v>
      </c>
      <c r="AC69" s="67">
        <v>0.85</v>
      </c>
      <c r="AD69" s="67">
        <v>0.85</v>
      </c>
      <c r="AE69" s="67">
        <v>0.85</v>
      </c>
      <c r="AF69" s="67">
        <v>0.85</v>
      </c>
      <c r="AG69" s="67">
        <v>0.85</v>
      </c>
      <c r="AH69" s="67">
        <v>0.85</v>
      </c>
      <c r="AI69" s="67">
        <v>0.85</v>
      </c>
      <c r="AJ69" s="67">
        <v>0.85</v>
      </c>
      <c r="AK69" s="67">
        <v>0.85</v>
      </c>
      <c r="AL69" s="67">
        <v>0.85</v>
      </c>
      <c r="AM69" s="67">
        <v>0.85</v>
      </c>
      <c r="AN69" s="67">
        <v>0.85</v>
      </c>
      <c r="AO69" s="67">
        <v>0.85</v>
      </c>
      <c r="AP69" s="67">
        <v>0.85</v>
      </c>
      <c r="AQ69" s="67">
        <v>0.85</v>
      </c>
      <c r="AR69" s="67">
        <v>0.85</v>
      </c>
      <c r="AS69" s="67">
        <v>0.85</v>
      </c>
      <c r="AT69" s="67">
        <v>0.85</v>
      </c>
      <c r="AU69" s="67">
        <v>0.85</v>
      </c>
      <c r="AV69" s="67">
        <v>0.85</v>
      </c>
      <c r="AW69" s="67">
        <v>0.85</v>
      </c>
      <c r="AX69" s="67">
        <v>0.85</v>
      </c>
      <c r="AY69" s="67">
        <v>0.85</v>
      </c>
      <c r="AZ69" s="67">
        <v>0.85</v>
      </c>
      <c r="BA69" s="67">
        <v>0.85</v>
      </c>
      <c r="BB69" s="67">
        <v>0.85</v>
      </c>
      <c r="BC69" s="67">
        <v>0.85</v>
      </c>
      <c r="BD69" s="67">
        <v>0.85</v>
      </c>
    </row>
    <row r="70" spans="3:56" x14ac:dyDescent="0.25">
      <c r="C70" s="108"/>
      <c r="D70" s="50" t="s">
        <v>43</v>
      </c>
      <c r="E70" s="65">
        <v>0</v>
      </c>
      <c r="F70" s="65">
        <v>0</v>
      </c>
      <c r="G70" s="65">
        <v>0</v>
      </c>
      <c r="H70" s="65">
        <v>-6</v>
      </c>
      <c r="I70" s="65">
        <v>0</v>
      </c>
      <c r="J70" s="65">
        <v>0</v>
      </c>
      <c r="K70" s="65">
        <v>-8</v>
      </c>
      <c r="L70" s="65">
        <v>-6</v>
      </c>
      <c r="M70" s="65">
        <v>-4</v>
      </c>
      <c r="N70" s="65">
        <v>0</v>
      </c>
      <c r="O70" s="65">
        <v>4</v>
      </c>
      <c r="P70" s="65">
        <v>0</v>
      </c>
      <c r="Q70" s="65">
        <v>0</v>
      </c>
      <c r="R70" s="65">
        <v>0</v>
      </c>
      <c r="S70" s="65">
        <v>0</v>
      </c>
      <c r="T70" s="65">
        <v>0</v>
      </c>
      <c r="U70" s="65">
        <v>8</v>
      </c>
      <c r="V70" s="65">
        <v>8</v>
      </c>
      <c r="W70" s="65">
        <v>8</v>
      </c>
      <c r="X70" s="65">
        <v>6</v>
      </c>
      <c r="Y70" s="65">
        <v>0</v>
      </c>
      <c r="Z70" s="65">
        <v>-4</v>
      </c>
      <c r="AA70" s="65">
        <v>0</v>
      </c>
      <c r="AB70" s="65">
        <v>0</v>
      </c>
      <c r="AC70" s="65">
        <v>-1</v>
      </c>
      <c r="AD70" s="65">
        <v>-1</v>
      </c>
      <c r="AE70" s="65">
        <v>-4</v>
      </c>
      <c r="AF70" s="65">
        <v>0</v>
      </c>
      <c r="AG70" s="65">
        <v>0</v>
      </c>
      <c r="AH70" s="65">
        <v>6</v>
      </c>
      <c r="AI70" s="65">
        <v>0</v>
      </c>
      <c r="AJ70" s="65">
        <v>8</v>
      </c>
      <c r="AK70" s="65">
        <v>8</v>
      </c>
      <c r="AL70" s="65">
        <v>2</v>
      </c>
      <c r="AM70" s="65">
        <v>0</v>
      </c>
      <c r="AN70" s="65">
        <v>0</v>
      </c>
      <c r="AO70" s="65">
        <v>0</v>
      </c>
      <c r="AP70" s="65">
        <v>0</v>
      </c>
      <c r="AQ70" s="65">
        <v>0</v>
      </c>
      <c r="AR70" s="65">
        <v>0</v>
      </c>
      <c r="AS70" s="65">
        <v>0</v>
      </c>
      <c r="AT70" s="65">
        <v>0</v>
      </c>
      <c r="AU70" s="65">
        <v>0</v>
      </c>
      <c r="AV70" s="65">
        <v>0</v>
      </c>
      <c r="AW70" s="65">
        <v>0</v>
      </c>
      <c r="AX70" s="65">
        <v>0</v>
      </c>
      <c r="AY70" s="65">
        <v>0</v>
      </c>
      <c r="AZ70" s="65">
        <v>6</v>
      </c>
      <c r="BA70" s="65">
        <v>8</v>
      </c>
      <c r="BB70" s="65">
        <v>0</v>
      </c>
      <c r="BC70" s="65">
        <v>0</v>
      </c>
      <c r="BD70" s="65">
        <v>0</v>
      </c>
    </row>
    <row r="71" spans="3:56" x14ac:dyDescent="0.25">
      <c r="C71" s="108"/>
      <c r="D71" s="51" t="s">
        <v>44</v>
      </c>
      <c r="E71" s="61">
        <f t="shared" ref="E71:L71" si="22">SUM(E61:E68)</f>
        <v>55.95</v>
      </c>
      <c r="F71" s="61">
        <f t="shared" si="22"/>
        <v>36.700000000000003</v>
      </c>
      <c r="G71" s="61">
        <f t="shared" si="22"/>
        <v>27.074999999999999</v>
      </c>
      <c r="H71" s="61">
        <f t="shared" si="22"/>
        <v>23.543478260869566</v>
      </c>
      <c r="I71" s="61">
        <f t="shared" si="22"/>
        <v>27.074999999999999</v>
      </c>
      <c r="J71" s="61">
        <f t="shared" si="22"/>
        <v>27.074999999999999</v>
      </c>
      <c r="K71" s="61">
        <f t="shared" si="22"/>
        <v>19.578260869565216</v>
      </c>
      <c r="L71" s="61">
        <f t="shared" si="22"/>
        <v>21.630434782608695</v>
      </c>
      <c r="M71" s="61">
        <f t="shared" ref="M71:BD71" si="23">SUM(M61:M68)</f>
        <v>21.684782608695652</v>
      </c>
      <c r="N71" s="61">
        <f t="shared" si="23"/>
        <v>22.625</v>
      </c>
      <c r="O71" s="61">
        <f t="shared" si="23"/>
        <v>26.630434782608695</v>
      </c>
      <c r="P71" s="61">
        <f t="shared" si="23"/>
        <v>24.5</v>
      </c>
      <c r="Q71" s="61">
        <f t="shared" si="23"/>
        <v>24.5</v>
      </c>
      <c r="R71" s="61">
        <f t="shared" si="23"/>
        <v>25.5</v>
      </c>
      <c r="S71" s="61">
        <f t="shared" si="23"/>
        <v>23.5</v>
      </c>
      <c r="T71" s="61">
        <f t="shared" si="23"/>
        <v>23.5</v>
      </c>
      <c r="U71" s="61">
        <f t="shared" si="23"/>
        <v>27.586956521739133</v>
      </c>
      <c r="V71" s="61">
        <f t="shared" si="23"/>
        <v>27.586956521739133</v>
      </c>
      <c r="W71" s="61">
        <f t="shared" si="23"/>
        <v>26.413043478260871</v>
      </c>
      <c r="X71" s="61">
        <f t="shared" si="23"/>
        <v>25.434782608695652</v>
      </c>
      <c r="Y71" s="61">
        <f t="shared" si="23"/>
        <v>26.6</v>
      </c>
      <c r="Z71" s="61">
        <f t="shared" si="23"/>
        <v>23.315478260869568</v>
      </c>
      <c r="AA71" s="61">
        <f t="shared" si="23"/>
        <v>31.15296</v>
      </c>
      <c r="AB71" s="61">
        <f t="shared" si="23"/>
        <v>30.6856656</v>
      </c>
      <c r="AC71" s="61">
        <f t="shared" si="23"/>
        <v>29.568307124347825</v>
      </c>
      <c r="AD71" s="61">
        <f t="shared" si="23"/>
        <v>25.21173903922174</v>
      </c>
      <c r="AE71" s="61">
        <f t="shared" si="23"/>
        <v>23.177992090057852</v>
      </c>
      <c r="AF71" s="61">
        <f t="shared" si="23"/>
        <v>24.004638609536219</v>
      </c>
      <c r="AG71" s="61">
        <f t="shared" si="23"/>
        <v>23.644569030393178</v>
      </c>
      <c r="AH71" s="61">
        <f t="shared" si="23"/>
        <v>26.32771360297258</v>
      </c>
      <c r="AI71" s="61">
        <f t="shared" si="23"/>
        <v>28.190551987513221</v>
      </c>
      <c r="AJ71" s="61">
        <f t="shared" si="23"/>
        <v>30.249031743822353</v>
      </c>
      <c r="AK71" s="61">
        <f t="shared" si="23"/>
        <v>29.795296267665016</v>
      </c>
      <c r="AL71" s="61">
        <f t="shared" si="23"/>
        <v>30.783089350490858</v>
      </c>
      <c r="AM71" s="61">
        <f t="shared" si="23"/>
        <v>29.057953718140432</v>
      </c>
      <c r="AN71" s="61">
        <f t="shared" si="23"/>
        <v>28.622084412368327</v>
      </c>
      <c r="AO71" s="61">
        <f t="shared" si="23"/>
        <v>28.192753146182802</v>
      </c>
      <c r="AP71" s="61">
        <f t="shared" si="23"/>
        <v>27.769861848990057</v>
      </c>
      <c r="AQ71" s="61">
        <f t="shared" si="23"/>
        <v>27.353313921255207</v>
      </c>
      <c r="AR71" s="61">
        <f t="shared" si="23"/>
        <v>26.943014212436381</v>
      </c>
      <c r="AS71" s="61">
        <f t="shared" si="23"/>
        <v>26.538868999249836</v>
      </c>
      <c r="AT71" s="61">
        <f t="shared" si="23"/>
        <v>26.140785964261084</v>
      </c>
      <c r="AU71" s="61">
        <f t="shared" si="23"/>
        <v>48.248674174797166</v>
      </c>
      <c r="AV71" s="61">
        <f t="shared" si="23"/>
        <v>64.837444062175209</v>
      </c>
      <c r="AW71" s="61">
        <f t="shared" si="23"/>
        <v>73.216507960620831</v>
      </c>
      <c r="AX71" s="61">
        <f t="shared" si="23"/>
        <v>71.386095261605305</v>
      </c>
      <c r="AY71" s="61">
        <f t="shared" si="23"/>
        <v>92.101442880065179</v>
      </c>
      <c r="AZ71" s="61">
        <f t="shared" si="23"/>
        <v>130.65582943520226</v>
      </c>
      <c r="BA71" s="61">
        <f t="shared" si="23"/>
        <v>121.85352270116653</v>
      </c>
      <c r="BB71" s="61">
        <f t="shared" si="23"/>
        <v>98.611091519277352</v>
      </c>
      <c r="BC71" s="61">
        <f t="shared" si="23"/>
        <v>93.680536943313484</v>
      </c>
      <c r="BD71" s="61">
        <f t="shared" si="23"/>
        <v>88.996510096147802</v>
      </c>
    </row>
    <row r="72" spans="3:56" x14ac:dyDescent="0.25">
      <c r="C72" s="108"/>
      <c r="D72" s="52" t="s">
        <v>45</v>
      </c>
      <c r="E72" s="56">
        <f>E71-E59</f>
        <v>6.5930000000000035</v>
      </c>
      <c r="F72" s="56">
        <f t="shared" ref="F72:BD72" si="24">F71-F59</f>
        <v>-0.99767901234566381</v>
      </c>
      <c r="G72" s="56">
        <f t="shared" si="24"/>
        <v>-0.41799620132953308</v>
      </c>
      <c r="H72" s="56">
        <f t="shared" si="24"/>
        <v>-2.5253726413146644</v>
      </c>
      <c r="I72" s="56">
        <f t="shared" si="24"/>
        <v>1.7818512345679025</v>
      </c>
      <c r="J72" s="56">
        <f t="shared" si="24"/>
        <v>3.0080484330484332</v>
      </c>
      <c r="K72" s="56">
        <f t="shared" si="24"/>
        <v>-1.1583250753540604</v>
      </c>
      <c r="L72" s="56">
        <f t="shared" si="24"/>
        <v>1.3323531111936902</v>
      </c>
      <c r="M72" s="56">
        <f t="shared" si="24"/>
        <v>0.82646352037656357</v>
      </c>
      <c r="N72" s="56">
        <f t="shared" si="24"/>
        <v>-1.5283570750237381</v>
      </c>
      <c r="O72" s="56">
        <f t="shared" si="24"/>
        <v>-2.2946554358148568</v>
      </c>
      <c r="P72" s="56">
        <f t="shared" si="24"/>
        <v>-3.4121082621082621</v>
      </c>
      <c r="Q72" s="56">
        <f t="shared" si="24"/>
        <v>1.3295331161780624</v>
      </c>
      <c r="R72" s="56">
        <f t="shared" si="24"/>
        <v>2.7336336336336338</v>
      </c>
      <c r="S72" s="56">
        <f t="shared" si="24"/>
        <v>0.70390390390390678</v>
      </c>
      <c r="T72" s="56">
        <f t="shared" si="24"/>
        <v>-1.7108108108108091</v>
      </c>
      <c r="U72" s="56">
        <f t="shared" si="24"/>
        <v>3.0087282935109059</v>
      </c>
      <c r="V72" s="56">
        <f t="shared" si="24"/>
        <v>-0.83466509988248916</v>
      </c>
      <c r="W72" s="56">
        <f t="shared" si="24"/>
        <v>-2.3159688674181425</v>
      </c>
      <c r="X72" s="56">
        <f t="shared" si="24"/>
        <v>-3.5720427881297425</v>
      </c>
      <c r="Y72" s="56">
        <f t="shared" si="24"/>
        <v>0.4531746031745989</v>
      </c>
      <c r="Z72" s="56">
        <f t="shared" si="24"/>
        <v>-1.0451566597653539</v>
      </c>
      <c r="AA72" s="56">
        <f t="shared" si="24"/>
        <v>0.97280126984126625</v>
      </c>
      <c r="AB72" s="56">
        <f t="shared" si="24"/>
        <v>2.2078878222222258</v>
      </c>
      <c r="AC72" s="56">
        <f t="shared" si="24"/>
        <v>2.6444976005382976</v>
      </c>
      <c r="AD72" s="56">
        <f t="shared" si="24"/>
        <v>2.649856323172358</v>
      </c>
      <c r="AE72" s="56">
        <f t="shared" si="24"/>
        <v>3.7747957430258872</v>
      </c>
      <c r="AF72" s="56">
        <f t="shared" si="24"/>
        <v>2.2892657023824938</v>
      </c>
      <c r="AG72" s="56">
        <f t="shared" si="24"/>
        <v>4.1375675083231691</v>
      </c>
      <c r="AH72" s="56">
        <f t="shared" si="24"/>
        <v>3.1054913807503581</v>
      </c>
      <c r="AI72" s="56">
        <f t="shared" si="24"/>
        <v>4.2132308307400095</v>
      </c>
      <c r="AJ72" s="56">
        <f t="shared" si="24"/>
        <v>3.2797775581298119</v>
      </c>
      <c r="AK72" s="56">
        <f t="shared" si="24"/>
        <v>1.6255854609679119</v>
      </c>
      <c r="AL72" s="56">
        <f t="shared" si="24"/>
        <v>2.9214455148744243</v>
      </c>
      <c r="AM72" s="56">
        <f t="shared" si="24"/>
        <v>3.6827571915118646</v>
      </c>
      <c r="AN72" s="56">
        <f t="shared" si="24"/>
        <v>6.1740571516049414</v>
      </c>
      <c r="AO72" s="56">
        <f t="shared" si="24"/>
        <v>5.3386957288332297</v>
      </c>
      <c r="AP72" s="56">
        <f t="shared" si="24"/>
        <v>3.818524080234873</v>
      </c>
      <c r="AQ72" s="56">
        <f t="shared" si="24"/>
        <v>1.2944834083153012</v>
      </c>
      <c r="AR72" s="56">
        <f t="shared" si="24"/>
        <v>3.0073882801895238</v>
      </c>
      <c r="AS72" s="56">
        <f t="shared" si="24"/>
        <v>1.2657846079252231</v>
      </c>
      <c r="AT72" s="56">
        <f t="shared" si="24"/>
        <v>8.7302504667142955E-2</v>
      </c>
      <c r="AU72" s="56">
        <f t="shared" si="24"/>
        <v>20.630923114931377</v>
      </c>
      <c r="AV72" s="56">
        <f t="shared" si="24"/>
        <v>27.56249683337191</v>
      </c>
      <c r="AW72" s="56">
        <f t="shared" si="24"/>
        <v>33.363552387320418</v>
      </c>
      <c r="AX72" s="56">
        <f t="shared" si="24"/>
        <v>32.304237457390784</v>
      </c>
      <c r="AY72" s="56">
        <f t="shared" si="24"/>
        <v>2.6176715868895002</v>
      </c>
      <c r="AZ72" s="56">
        <f t="shared" si="24"/>
        <v>7.3222071340682646</v>
      </c>
      <c r="BA72" s="56">
        <f t="shared" si="24"/>
        <v>10.549609324890127</v>
      </c>
      <c r="BB72" s="56">
        <f t="shared" si="24"/>
        <v>6.0788907766162481</v>
      </c>
      <c r="BC72" s="56">
        <f t="shared" si="24"/>
        <v>40.838892220407978</v>
      </c>
      <c r="BD72" s="56">
        <f t="shared" si="24"/>
        <v>41.452015995220783</v>
      </c>
    </row>
    <row r="73" spans="3:56" x14ac:dyDescent="0.25">
      <c r="E73" s="41"/>
      <c r="F73" s="41"/>
      <c r="G73" s="41"/>
    </row>
    <row r="74" spans="3:56" ht="15" customHeight="1" thickBot="1" x14ac:dyDescent="0.3">
      <c r="D74" s="46" t="s">
        <v>25</v>
      </c>
      <c r="E74" s="82">
        <f t="shared" ref="E74:AJ74" si="25">E2</f>
        <v>44569</v>
      </c>
      <c r="F74" s="82">
        <f t="shared" si="25"/>
        <v>44576</v>
      </c>
      <c r="G74" s="82">
        <f t="shared" si="25"/>
        <v>44583</v>
      </c>
      <c r="H74" s="82">
        <f t="shared" si="25"/>
        <v>44590</v>
      </c>
      <c r="I74" s="82">
        <f t="shared" si="25"/>
        <v>44597</v>
      </c>
      <c r="J74" s="82">
        <f t="shared" si="25"/>
        <v>44604</v>
      </c>
      <c r="K74" s="82">
        <f t="shared" si="25"/>
        <v>44611</v>
      </c>
      <c r="L74" s="82">
        <f t="shared" si="25"/>
        <v>44618</v>
      </c>
      <c r="M74" s="82">
        <f t="shared" si="25"/>
        <v>44625</v>
      </c>
      <c r="N74" s="82">
        <f t="shared" si="25"/>
        <v>44632</v>
      </c>
      <c r="O74" s="82">
        <f t="shared" si="25"/>
        <v>44639</v>
      </c>
      <c r="P74" s="82">
        <f t="shared" si="25"/>
        <v>44646</v>
      </c>
      <c r="Q74" s="82">
        <f t="shared" si="25"/>
        <v>44653</v>
      </c>
      <c r="R74" s="82">
        <f t="shared" si="25"/>
        <v>44660</v>
      </c>
      <c r="S74" s="82">
        <f t="shared" si="25"/>
        <v>44667</v>
      </c>
      <c r="T74" s="82">
        <f t="shared" si="25"/>
        <v>44674</v>
      </c>
      <c r="U74" s="82">
        <f t="shared" si="25"/>
        <v>44681</v>
      </c>
      <c r="V74" s="82">
        <f t="shared" si="25"/>
        <v>44688</v>
      </c>
      <c r="W74" s="82">
        <f t="shared" si="25"/>
        <v>44695</v>
      </c>
      <c r="X74" s="82">
        <f t="shared" si="25"/>
        <v>44702</v>
      </c>
      <c r="Y74" s="82">
        <f t="shared" si="25"/>
        <v>44709</v>
      </c>
      <c r="Z74" s="82">
        <f t="shared" si="25"/>
        <v>44716</v>
      </c>
      <c r="AA74" s="82">
        <f t="shared" si="25"/>
        <v>44723</v>
      </c>
      <c r="AB74" s="82">
        <f t="shared" si="25"/>
        <v>44730</v>
      </c>
      <c r="AC74" s="82">
        <f t="shared" si="25"/>
        <v>44737</v>
      </c>
      <c r="AD74" s="82">
        <f t="shared" si="25"/>
        <v>44744</v>
      </c>
      <c r="AE74" s="82">
        <f t="shared" si="25"/>
        <v>44751</v>
      </c>
      <c r="AF74" s="82">
        <f t="shared" si="25"/>
        <v>44758</v>
      </c>
      <c r="AG74" s="82">
        <f t="shared" si="25"/>
        <v>44765</v>
      </c>
      <c r="AH74" s="82">
        <f t="shared" si="25"/>
        <v>44772</v>
      </c>
      <c r="AI74" s="82">
        <f t="shared" si="25"/>
        <v>44779</v>
      </c>
      <c r="AJ74" s="82">
        <f t="shared" si="25"/>
        <v>44786</v>
      </c>
      <c r="AK74" s="82">
        <f t="shared" ref="AK74:BD74" si="26">AK2</f>
        <v>44793</v>
      </c>
      <c r="AL74" s="82">
        <f t="shared" si="26"/>
        <v>44800</v>
      </c>
      <c r="AM74" s="82">
        <f t="shared" si="26"/>
        <v>44807</v>
      </c>
      <c r="AN74" s="82">
        <f t="shared" si="26"/>
        <v>44814</v>
      </c>
      <c r="AO74" s="82">
        <f t="shared" si="26"/>
        <v>44821</v>
      </c>
      <c r="AP74" s="82">
        <f t="shared" si="26"/>
        <v>44828</v>
      </c>
      <c r="AQ74" s="82">
        <f t="shared" si="26"/>
        <v>44835</v>
      </c>
      <c r="AR74" s="82">
        <f t="shared" si="26"/>
        <v>44842</v>
      </c>
      <c r="AS74" s="82">
        <f t="shared" si="26"/>
        <v>44849</v>
      </c>
      <c r="AT74" s="82">
        <f t="shared" si="26"/>
        <v>44856</v>
      </c>
      <c r="AU74" s="82">
        <f t="shared" si="26"/>
        <v>44863</v>
      </c>
      <c r="AV74" s="82">
        <f t="shared" si="26"/>
        <v>44870</v>
      </c>
      <c r="AW74" s="82">
        <f t="shared" si="26"/>
        <v>44877</v>
      </c>
      <c r="AX74" s="82">
        <f t="shared" si="26"/>
        <v>44884</v>
      </c>
      <c r="AY74" s="82">
        <f t="shared" si="26"/>
        <v>44891</v>
      </c>
      <c r="AZ74" s="82">
        <f t="shared" si="26"/>
        <v>44898</v>
      </c>
      <c r="BA74" s="82">
        <f t="shared" si="26"/>
        <v>44905</v>
      </c>
      <c r="BB74" s="82">
        <f t="shared" si="26"/>
        <v>44912</v>
      </c>
      <c r="BC74" s="82">
        <f t="shared" si="26"/>
        <v>44919</v>
      </c>
      <c r="BD74" s="82">
        <f t="shared" si="26"/>
        <v>44926</v>
      </c>
    </row>
    <row r="75" spans="3:56" ht="15" customHeight="1" x14ac:dyDescent="0.25">
      <c r="C75" s="111" t="s">
        <v>126</v>
      </c>
      <c r="D75" s="41" t="s">
        <v>27</v>
      </c>
      <c r="E75" s="70">
        <v>4768.0372273522371</v>
      </c>
      <c r="F75" s="70">
        <v>4024.9234482040247</v>
      </c>
      <c r="G75" s="70">
        <v>3037.6939105784122</v>
      </c>
      <c r="H75" s="70">
        <v>2761.3933243606998</v>
      </c>
      <c r="I75" s="70">
        <v>2658.4910761072133</v>
      </c>
      <c r="J75" s="70">
        <v>2404.9903060664292</v>
      </c>
      <c r="K75" s="70">
        <v>1848.9349793308979</v>
      </c>
      <c r="L75" s="70">
        <v>2208.8728816480634</v>
      </c>
      <c r="M75" s="70">
        <v>2249.2295000000004</v>
      </c>
      <c r="N75" s="70">
        <v>2605.9117500000002</v>
      </c>
      <c r="O75" s="70">
        <v>3034.9175000000005</v>
      </c>
      <c r="P75" s="70">
        <v>3059.1443210754287</v>
      </c>
      <c r="Q75" s="70">
        <v>2408.7582952380958</v>
      </c>
      <c r="R75" s="70">
        <v>2348.531949752381</v>
      </c>
      <c r="S75" s="70">
        <v>2384.2910000000002</v>
      </c>
      <c r="T75" s="70">
        <v>2576.9493375000002</v>
      </c>
      <c r="U75" s="70">
        <v>2553.6950000000002</v>
      </c>
      <c r="V75" s="70">
        <v>2896.3711287156257</v>
      </c>
      <c r="W75" s="70">
        <v>2803.72075</v>
      </c>
      <c r="X75" s="70">
        <v>3331.6764999999996</v>
      </c>
      <c r="Y75" s="70">
        <v>3037.596775</v>
      </c>
      <c r="Z75" s="70">
        <v>2797.9672499999997</v>
      </c>
      <c r="AA75" s="70">
        <v>3466.4507500000004</v>
      </c>
      <c r="AB75" s="70">
        <v>3270.9795000000004</v>
      </c>
      <c r="AC75" s="70">
        <v>3092.3155000000006</v>
      </c>
      <c r="AD75" s="70">
        <v>2665.3665000000001</v>
      </c>
      <c r="AE75" s="70">
        <v>2324.15</v>
      </c>
      <c r="AF75" s="70">
        <v>2601.1217500000002</v>
      </c>
      <c r="AG75" s="70">
        <v>2336.6102499999997</v>
      </c>
      <c r="AH75" s="70">
        <v>2781.62</v>
      </c>
      <c r="AI75" s="70">
        <v>2872.0387500000006</v>
      </c>
      <c r="AJ75" s="70">
        <v>3230.2867499999998</v>
      </c>
      <c r="AK75" s="70">
        <v>3374.2035000000001</v>
      </c>
      <c r="AL75" s="70">
        <v>3337.1677500000001</v>
      </c>
      <c r="AM75" s="70">
        <v>2510.7720614760465</v>
      </c>
      <c r="AN75" s="70">
        <v>2221.1406174699605</v>
      </c>
      <c r="AO75" s="70">
        <v>2261.3156431965012</v>
      </c>
      <c r="AP75" s="70">
        <v>2369.8870525656744</v>
      </c>
      <c r="AQ75" s="70">
        <v>2578.4148523921585</v>
      </c>
      <c r="AR75" s="70">
        <v>2400.775340518896</v>
      </c>
      <c r="AS75" s="70">
        <v>2534.9242153639188</v>
      </c>
      <c r="AT75" s="70">
        <v>2613.1992871823172</v>
      </c>
      <c r="AU75" s="70">
        <v>2770.0974226785711</v>
      </c>
      <c r="AV75" s="70">
        <v>2867.2944932281425</v>
      </c>
      <c r="AW75" s="70">
        <v>3065.6021952967553</v>
      </c>
      <c r="AX75" s="70">
        <v>3006.2871713620725</v>
      </c>
      <c r="AY75" s="70">
        <v>7158.6788845271376</v>
      </c>
      <c r="AZ75" s="70">
        <v>9993.1539528948761</v>
      </c>
      <c r="BA75" s="70">
        <v>8675.9696949293102</v>
      </c>
      <c r="BB75" s="70">
        <v>7212.7434256013803</v>
      </c>
      <c r="BC75" s="70">
        <v>4064.7289450762064</v>
      </c>
      <c r="BD75" s="70">
        <v>3657.2571191613888</v>
      </c>
    </row>
    <row r="76" spans="3:56" x14ac:dyDescent="0.25">
      <c r="C76" s="106"/>
      <c r="D76" s="41" t="s">
        <v>22</v>
      </c>
      <c r="E76" s="70">
        <v>395.25384118144297</v>
      </c>
      <c r="F76" s="70">
        <v>393.32590910093279</v>
      </c>
      <c r="G76" s="70">
        <v>394.99424828107027</v>
      </c>
      <c r="H76" s="70">
        <v>395.85516467065867</v>
      </c>
      <c r="I76" s="70">
        <v>396.01527022306499</v>
      </c>
      <c r="J76" s="70">
        <v>396.29911131898973</v>
      </c>
      <c r="K76" s="70">
        <v>398.87093813108135</v>
      </c>
      <c r="L76" s="70">
        <v>394.5574009074565</v>
      </c>
      <c r="M76" s="70">
        <v>394.73684210526312</v>
      </c>
      <c r="N76" s="70">
        <v>382.89473684210526</v>
      </c>
      <c r="O76" s="70">
        <v>382.89473684210526</v>
      </c>
      <c r="P76" s="70">
        <v>382.8947368421052</v>
      </c>
      <c r="Q76" s="70">
        <v>382.8947368421052</v>
      </c>
      <c r="R76" s="70">
        <v>382.89473684210526</v>
      </c>
      <c r="S76" s="70">
        <v>382.8947368421052</v>
      </c>
      <c r="T76" s="70">
        <v>382.8947368421052</v>
      </c>
      <c r="U76" s="70">
        <v>382.89473684210526</v>
      </c>
      <c r="V76" s="70">
        <v>382.8947368421052</v>
      </c>
      <c r="W76" s="70">
        <v>382.89473684210526</v>
      </c>
      <c r="X76" s="70">
        <v>381.52173913043481</v>
      </c>
      <c r="Y76" s="70">
        <v>381.52173913043475</v>
      </c>
      <c r="Z76" s="70">
        <v>381.52173913043475</v>
      </c>
      <c r="AA76" s="70">
        <v>381.52173913043475</v>
      </c>
      <c r="AB76" s="70">
        <v>381.52173913043475</v>
      </c>
      <c r="AC76" s="70">
        <v>381.52173913043475</v>
      </c>
      <c r="AD76" s="70">
        <v>381.52173913043481</v>
      </c>
      <c r="AE76" s="70">
        <v>381.52173913043475</v>
      </c>
      <c r="AF76" s="70">
        <v>381.52173913043481</v>
      </c>
      <c r="AG76" s="70">
        <v>381.52173913043481</v>
      </c>
      <c r="AH76" s="70">
        <v>381.52173913043481</v>
      </c>
      <c r="AI76" s="70">
        <v>381.5217391304347</v>
      </c>
      <c r="AJ76" s="70">
        <v>381.52173913043481</v>
      </c>
      <c r="AK76" s="70">
        <v>381.52173913043481</v>
      </c>
      <c r="AL76" s="70">
        <v>381.52173913043481</v>
      </c>
      <c r="AM76" s="70">
        <v>382.89473684210526</v>
      </c>
      <c r="AN76" s="70">
        <v>382.8947368421052</v>
      </c>
      <c r="AO76" s="70">
        <v>382.89473684210532</v>
      </c>
      <c r="AP76" s="70">
        <v>382.89473684210532</v>
      </c>
      <c r="AQ76" s="70">
        <v>382.8947368421052</v>
      </c>
      <c r="AR76" s="70">
        <v>382.89473684210526</v>
      </c>
      <c r="AS76" s="70">
        <v>382.89473684210532</v>
      </c>
      <c r="AT76" s="70">
        <v>382.8947368421052</v>
      </c>
      <c r="AU76" s="70">
        <v>382.89473684210526</v>
      </c>
      <c r="AV76" s="70">
        <v>383.8235294117647</v>
      </c>
      <c r="AW76" s="70">
        <v>383.82352941176464</v>
      </c>
      <c r="AX76" s="70">
        <v>383.82352941176475</v>
      </c>
      <c r="AY76" s="70">
        <v>383.82352941176475</v>
      </c>
      <c r="AZ76" s="70">
        <v>383.82352941176475</v>
      </c>
      <c r="BA76" s="70">
        <v>383.82352941176475</v>
      </c>
      <c r="BB76" s="70">
        <v>383.82352941176464</v>
      </c>
      <c r="BC76" s="70">
        <v>383.82352941176475</v>
      </c>
      <c r="BD76" s="70">
        <v>383.82352941176481</v>
      </c>
    </row>
    <row r="77" spans="3:56" x14ac:dyDescent="0.25">
      <c r="C77" s="106"/>
      <c r="D77" s="41" t="s">
        <v>23</v>
      </c>
      <c r="E77" s="68">
        <v>0.9</v>
      </c>
      <c r="F77" s="68">
        <v>0.9</v>
      </c>
      <c r="G77" s="68">
        <v>0.9</v>
      </c>
      <c r="H77" s="68">
        <v>0.9</v>
      </c>
      <c r="I77" s="68">
        <v>0.9</v>
      </c>
      <c r="J77" s="68">
        <v>0.9</v>
      </c>
      <c r="K77" s="68">
        <v>0.9</v>
      </c>
      <c r="L77" s="68">
        <v>0.9</v>
      </c>
      <c r="M77" s="68">
        <v>0.9</v>
      </c>
      <c r="N77" s="68">
        <v>0.9</v>
      </c>
      <c r="O77" s="68">
        <v>0.9</v>
      </c>
      <c r="P77" s="68">
        <v>0.9</v>
      </c>
      <c r="Q77" s="68">
        <v>0.9</v>
      </c>
      <c r="R77" s="68">
        <v>0.9</v>
      </c>
      <c r="S77" s="68">
        <v>0.9</v>
      </c>
      <c r="T77" s="68">
        <v>0.9</v>
      </c>
      <c r="U77" s="68">
        <v>0.9</v>
      </c>
      <c r="V77" s="68">
        <v>0.9</v>
      </c>
      <c r="W77" s="68">
        <v>0.9</v>
      </c>
      <c r="X77" s="68">
        <v>0.9</v>
      </c>
      <c r="Y77" s="68">
        <v>0.9</v>
      </c>
      <c r="Z77" s="68">
        <v>0.9</v>
      </c>
      <c r="AA77" s="68">
        <v>0.9</v>
      </c>
      <c r="AB77" s="68">
        <v>0.9</v>
      </c>
      <c r="AC77" s="68">
        <v>0.9</v>
      </c>
      <c r="AD77" s="68">
        <v>0.9</v>
      </c>
      <c r="AE77" s="68">
        <v>0.9</v>
      </c>
      <c r="AF77" s="68">
        <v>0.9</v>
      </c>
      <c r="AG77" s="68">
        <v>0.9</v>
      </c>
      <c r="AH77" s="68">
        <v>0.9</v>
      </c>
      <c r="AI77" s="68">
        <v>0.9</v>
      </c>
      <c r="AJ77" s="68">
        <v>0.9</v>
      </c>
      <c r="AK77" s="68">
        <v>0.9</v>
      </c>
      <c r="AL77" s="68">
        <v>0.9</v>
      </c>
      <c r="AM77" s="68">
        <v>0.9</v>
      </c>
      <c r="AN77" s="68">
        <v>0.9</v>
      </c>
      <c r="AO77" s="68">
        <v>0.9</v>
      </c>
      <c r="AP77" s="68">
        <v>0.9</v>
      </c>
      <c r="AQ77" s="68">
        <v>0.9</v>
      </c>
      <c r="AR77" s="68">
        <v>0.9</v>
      </c>
      <c r="AS77" s="68">
        <v>0.9</v>
      </c>
      <c r="AT77" s="68">
        <v>0.9</v>
      </c>
      <c r="AU77" s="68">
        <v>0.9</v>
      </c>
      <c r="AV77" s="68">
        <v>0.9</v>
      </c>
      <c r="AW77" s="68">
        <v>0.9</v>
      </c>
      <c r="AX77" s="68">
        <v>0.9</v>
      </c>
      <c r="AY77" s="68">
        <v>0.9</v>
      </c>
      <c r="AZ77" s="68">
        <v>0.9</v>
      </c>
      <c r="BA77" s="68">
        <v>0.9</v>
      </c>
      <c r="BB77" s="68">
        <v>0.9</v>
      </c>
      <c r="BC77" s="68">
        <v>0.9</v>
      </c>
      <c r="BD77" s="68">
        <v>0.9</v>
      </c>
    </row>
    <row r="78" spans="3:56" x14ac:dyDescent="0.25">
      <c r="C78" s="106"/>
      <c r="D78" s="41" t="s">
        <v>26</v>
      </c>
      <c r="E78" s="68">
        <v>0.35</v>
      </c>
      <c r="F78" s="68">
        <v>0.35</v>
      </c>
      <c r="G78" s="68">
        <v>0.33999999999999997</v>
      </c>
      <c r="H78" s="68">
        <v>0.33999999999999997</v>
      </c>
      <c r="I78" s="68">
        <v>0.32999999999999996</v>
      </c>
      <c r="J78" s="68">
        <v>0.32999999999999996</v>
      </c>
      <c r="K78" s="68">
        <v>0.32999999999999996</v>
      </c>
      <c r="L78" s="68">
        <v>0.32999999999999996</v>
      </c>
      <c r="M78" s="68">
        <v>0.32999999999999996</v>
      </c>
      <c r="N78" s="68">
        <v>0.32</v>
      </c>
      <c r="O78" s="68">
        <v>0.32</v>
      </c>
      <c r="P78" s="68">
        <v>0.32</v>
      </c>
      <c r="Q78" s="68">
        <v>0.33250000000000002</v>
      </c>
      <c r="R78" s="68">
        <v>0.36249999999999999</v>
      </c>
      <c r="S78" s="68">
        <v>0.35</v>
      </c>
      <c r="T78" s="68">
        <v>0.33999999999999997</v>
      </c>
      <c r="U78" s="68">
        <v>0.33999999999999997</v>
      </c>
      <c r="V78" s="68">
        <v>0.32999999999999996</v>
      </c>
      <c r="W78" s="68">
        <v>0.35</v>
      </c>
      <c r="X78" s="68">
        <v>0.37</v>
      </c>
      <c r="Y78" s="68">
        <v>0.37</v>
      </c>
      <c r="Z78" s="68">
        <v>0.37</v>
      </c>
      <c r="AA78" s="68">
        <v>0.36000000000000004</v>
      </c>
      <c r="AB78" s="68">
        <v>0.36000000000000004</v>
      </c>
      <c r="AC78" s="68">
        <v>0.36000000000000004</v>
      </c>
      <c r="AD78" s="68">
        <v>0.34</v>
      </c>
      <c r="AE78" s="68">
        <v>0.35</v>
      </c>
      <c r="AF78" s="68">
        <v>0.35</v>
      </c>
      <c r="AG78" s="68">
        <v>0.33999999999999997</v>
      </c>
      <c r="AH78" s="68">
        <v>0.33999999999999997</v>
      </c>
      <c r="AI78" s="68">
        <v>0.32999999999999996</v>
      </c>
      <c r="AJ78" s="68">
        <v>0.32999999999999996</v>
      </c>
      <c r="AK78" s="68">
        <v>0.32999999999999996</v>
      </c>
      <c r="AL78" s="68">
        <v>0.32999999999999996</v>
      </c>
      <c r="AM78" s="68">
        <v>0.32999999999999996</v>
      </c>
      <c r="AN78" s="68">
        <v>0.32</v>
      </c>
      <c r="AO78" s="68">
        <v>0.32</v>
      </c>
      <c r="AP78" s="68">
        <v>0.32</v>
      </c>
      <c r="AQ78" s="68">
        <v>0.32</v>
      </c>
      <c r="AR78" s="68">
        <v>0.31</v>
      </c>
      <c r="AS78" s="68">
        <v>0.31</v>
      </c>
      <c r="AT78" s="68">
        <v>0.3</v>
      </c>
      <c r="AU78" s="68">
        <v>0.3</v>
      </c>
      <c r="AV78" s="68">
        <v>0.29000000000000004</v>
      </c>
      <c r="AW78" s="68">
        <v>0.29000000000000004</v>
      </c>
      <c r="AX78" s="68">
        <v>0.29000000000000004</v>
      </c>
      <c r="AY78" s="68">
        <v>0.29000000000000004</v>
      </c>
      <c r="AZ78" s="68">
        <v>0.27</v>
      </c>
      <c r="BA78" s="68">
        <v>0.27</v>
      </c>
      <c r="BB78" s="68">
        <v>0.27</v>
      </c>
      <c r="BC78" s="68">
        <v>0.27</v>
      </c>
      <c r="BD78" s="68">
        <v>0.27</v>
      </c>
    </row>
    <row r="79" spans="3:56" x14ac:dyDescent="0.25">
      <c r="C79" s="106"/>
      <c r="D79" s="41" t="s">
        <v>33</v>
      </c>
      <c r="E79" s="83">
        <f>(E75*E76)/3600/40/E77/(1-E78)</f>
        <v>22.371617153455471</v>
      </c>
      <c r="F79" s="83">
        <f t="shared" ref="F79:BD79" si="27">(F75*F76)/3600/40/F77/(1-F78)</f>
        <v>18.792814272631876</v>
      </c>
      <c r="G79" s="83">
        <f t="shared" si="27"/>
        <v>14.027679839095871</v>
      </c>
      <c r="H79" s="83">
        <f t="shared" si="27"/>
        <v>12.779552575936007</v>
      </c>
      <c r="I79" s="83">
        <f t="shared" si="27"/>
        <v>12.124597635551465</v>
      </c>
      <c r="J79" s="83">
        <f t="shared" si="27"/>
        <v>10.976316577124917</v>
      </c>
      <c r="K79" s="83">
        <f t="shared" si="27"/>
        <v>8.4932562851147821</v>
      </c>
      <c r="L79" s="83">
        <f t="shared" si="27"/>
        <v>10.036935036830011</v>
      </c>
      <c r="M79" s="83">
        <f t="shared" si="27"/>
        <v>10.224960268103926</v>
      </c>
      <c r="N79" s="83">
        <f t="shared" si="27"/>
        <v>11.322053079044119</v>
      </c>
      <c r="O79" s="83">
        <f t="shared" si="27"/>
        <v>13.185978775190636</v>
      </c>
      <c r="P79" s="83">
        <f t="shared" si="27"/>
        <v>13.291238423431796</v>
      </c>
      <c r="Q79" s="83">
        <f t="shared" si="27"/>
        <v>10.661451814530778</v>
      </c>
      <c r="R79" s="83">
        <f t="shared" si="27"/>
        <v>10.884053774700003</v>
      </c>
      <c r="S79" s="83">
        <f t="shared" si="27"/>
        <v>10.837280092592591</v>
      </c>
      <c r="T79" s="83">
        <f t="shared" si="27"/>
        <v>11.535497783827859</v>
      </c>
      <c r="U79" s="83">
        <f t="shared" si="27"/>
        <v>11.431401690516271</v>
      </c>
      <c r="V79" s="83">
        <f t="shared" si="27"/>
        <v>12.771849791858308</v>
      </c>
      <c r="W79" s="83">
        <f t="shared" si="27"/>
        <v>12.743707487535611</v>
      </c>
      <c r="X79" s="83">
        <f t="shared" si="27"/>
        <v>15.568134093915342</v>
      </c>
      <c r="Y79" s="83">
        <f t="shared" si="27"/>
        <v>14.193969287367722</v>
      </c>
      <c r="Z79" s="83">
        <f t="shared" si="27"/>
        <v>13.074237351190472</v>
      </c>
      <c r="AA79" s="83">
        <f t="shared" si="27"/>
        <v>15.944809977213545</v>
      </c>
      <c r="AB79" s="83">
        <f t="shared" si="27"/>
        <v>15.045690917968754</v>
      </c>
      <c r="AC79" s="83">
        <f t="shared" si="27"/>
        <v>14.223881022135423</v>
      </c>
      <c r="AD79" s="83">
        <f t="shared" si="27"/>
        <v>11.888506155303034</v>
      </c>
      <c r="AE79" s="83">
        <f t="shared" si="27"/>
        <v>10.526041666666664</v>
      </c>
      <c r="AF79" s="83">
        <f t="shared" si="27"/>
        <v>11.780442708333334</v>
      </c>
      <c r="AG79" s="83">
        <f t="shared" si="27"/>
        <v>10.422133443813129</v>
      </c>
      <c r="AH79" s="83">
        <f t="shared" si="27"/>
        <v>12.40703914141414</v>
      </c>
      <c r="AI79" s="83">
        <f t="shared" si="27"/>
        <v>12.619140624999998</v>
      </c>
      <c r="AJ79" s="83">
        <f t="shared" si="27"/>
        <v>14.1932077891791</v>
      </c>
      <c r="AK79" s="83">
        <f t="shared" si="27"/>
        <v>14.825548041044776</v>
      </c>
      <c r="AL79" s="83">
        <f t="shared" si="27"/>
        <v>14.662820662313436</v>
      </c>
      <c r="AM79" s="83">
        <f t="shared" si="27"/>
        <v>11.071510592286034</v>
      </c>
      <c r="AN79" s="83">
        <f t="shared" si="27"/>
        <v>9.6503160427499974</v>
      </c>
      <c r="AO79" s="83">
        <f t="shared" si="27"/>
        <v>9.8248667633290285</v>
      </c>
      <c r="AP79" s="83">
        <f t="shared" si="27"/>
        <v>10.296583144263417</v>
      </c>
      <c r="AQ79" s="83">
        <f t="shared" si="27"/>
        <v>11.202585743197069</v>
      </c>
      <c r="AR79" s="83">
        <f t="shared" si="27"/>
        <v>10.279614446065915</v>
      </c>
      <c r="AS79" s="83">
        <f t="shared" si="27"/>
        <v>10.854011678704241</v>
      </c>
      <c r="AT79" s="83">
        <f t="shared" si="27"/>
        <v>11.02932378066193</v>
      </c>
      <c r="AU79" s="83">
        <f t="shared" si="27"/>
        <v>11.691531345717653</v>
      </c>
      <c r="AV79" s="83">
        <f t="shared" si="27"/>
        <v>11.960257914425133</v>
      </c>
      <c r="AW79" s="83">
        <f t="shared" si="27"/>
        <v>12.787452773118313</v>
      </c>
      <c r="AX79" s="83">
        <f t="shared" si="27"/>
        <v>12.540033826046573</v>
      </c>
      <c r="AY79" s="83">
        <f t="shared" si="27"/>
        <v>29.860778510092601</v>
      </c>
      <c r="AZ79" s="83">
        <f t="shared" si="27"/>
        <v>40.54210658882166</v>
      </c>
      <c r="BA79" s="83">
        <f t="shared" si="27"/>
        <v>35.198305739232197</v>
      </c>
      <c r="BB79" s="83">
        <f t="shared" si="27"/>
        <v>29.262014188607974</v>
      </c>
      <c r="BC79" s="83">
        <f t="shared" si="27"/>
        <v>16.490556927546386</v>
      </c>
      <c r="BD79" s="83">
        <f t="shared" si="27"/>
        <v>14.837448581967989</v>
      </c>
    </row>
    <row r="80" spans="3:56" x14ac:dyDescent="0.25">
      <c r="C80" s="106"/>
      <c r="E80" s="93"/>
      <c r="F80" s="93"/>
      <c r="G80" s="93"/>
      <c r="H80" s="93"/>
      <c r="I80" s="93"/>
      <c r="J80" s="93"/>
      <c r="K80" s="93"/>
      <c r="L80" s="93"/>
      <c r="M80" s="93"/>
      <c r="N80" s="93"/>
      <c r="O80" s="93"/>
      <c r="P80" s="93"/>
      <c r="Q80" s="93"/>
      <c r="R80" s="93"/>
      <c r="S80" s="93"/>
      <c r="T80" s="93"/>
      <c r="U80" s="93"/>
      <c r="V80" s="93"/>
      <c r="W80" s="93"/>
      <c r="X80" s="93"/>
      <c r="Y80" s="93"/>
      <c r="Z80" s="93"/>
      <c r="AA80" s="93"/>
      <c r="AB80" s="93"/>
      <c r="AC80" s="93"/>
      <c r="AD80" s="93"/>
      <c r="AE80" s="93"/>
      <c r="AF80" s="93"/>
      <c r="AG80" s="93"/>
      <c r="AH80" s="93"/>
      <c r="AI80" s="93"/>
      <c r="AJ80" s="93"/>
      <c r="AK80" s="93"/>
      <c r="AL80" s="93"/>
      <c r="AM80" s="93"/>
      <c r="AN80" s="93"/>
      <c r="AO80" s="93"/>
      <c r="AP80" s="93"/>
      <c r="AQ80" s="93"/>
      <c r="AR80" s="93"/>
      <c r="AS80" s="93"/>
      <c r="AT80" s="93"/>
      <c r="AU80" s="93"/>
      <c r="AV80" s="93"/>
      <c r="AW80" s="93"/>
      <c r="AX80" s="93"/>
      <c r="AY80" s="93"/>
      <c r="AZ80" s="93"/>
      <c r="BA80" s="93"/>
      <c r="BB80" s="93"/>
      <c r="BC80" s="93"/>
      <c r="BD80" s="93"/>
    </row>
    <row r="81" spans="3:56" x14ac:dyDescent="0.25">
      <c r="C81" s="106"/>
      <c r="D81" s="49" t="s">
        <v>34</v>
      </c>
      <c r="E81" s="65">
        <v>0.75</v>
      </c>
      <c r="F81" s="65">
        <v>0</v>
      </c>
      <c r="G81" s="65">
        <v>0</v>
      </c>
      <c r="H81" s="65">
        <v>13.5</v>
      </c>
      <c r="I81" s="65">
        <v>13.5</v>
      </c>
      <c r="J81" s="65">
        <v>13.5</v>
      </c>
      <c r="K81" s="65">
        <v>13.5</v>
      </c>
      <c r="L81" s="65">
        <v>13.125</v>
      </c>
      <c r="M81" s="65">
        <v>9.125</v>
      </c>
      <c r="N81" s="65">
        <v>7.625</v>
      </c>
      <c r="O81" s="65">
        <v>5.625</v>
      </c>
      <c r="P81" s="65">
        <v>5.63</v>
      </c>
      <c r="Q81" s="65">
        <v>5.625</v>
      </c>
      <c r="R81" s="65">
        <v>5.625</v>
      </c>
      <c r="S81" s="65">
        <v>5.625</v>
      </c>
      <c r="T81" s="65">
        <v>5.625</v>
      </c>
      <c r="U81" s="65">
        <v>7.625</v>
      </c>
      <c r="V81" s="65">
        <v>7.625</v>
      </c>
      <c r="W81" s="65">
        <v>7.625</v>
      </c>
      <c r="X81" s="65">
        <v>7.625</v>
      </c>
      <c r="Y81" s="65">
        <v>7.586875</v>
      </c>
      <c r="Z81" s="65">
        <v>7.5489406250000002</v>
      </c>
      <c r="AA81" s="65">
        <v>7.5111959218750002</v>
      </c>
      <c r="AB81" s="65">
        <v>7.473639942265625</v>
      </c>
      <c r="AC81" s="65">
        <v>7.4362717425542968</v>
      </c>
      <c r="AD81" s="65">
        <v>7.399090383841525</v>
      </c>
      <c r="AE81" s="65">
        <v>7.362094931922317</v>
      </c>
      <c r="AF81" s="65">
        <v>7.3252844572627058</v>
      </c>
      <c r="AG81" s="65">
        <v>7.2886580349763923</v>
      </c>
      <c r="AH81" s="65">
        <v>7.2522147448015106</v>
      </c>
      <c r="AI81" s="65">
        <v>7.2159536710775027</v>
      </c>
      <c r="AJ81" s="65">
        <v>7.1798739027221155</v>
      </c>
      <c r="AK81" s="65">
        <v>7.143974533208505</v>
      </c>
      <c r="AL81" s="65">
        <v>7.1082546605424621</v>
      </c>
      <c r="AM81" s="65">
        <v>7.0727133872397498</v>
      </c>
      <c r="AN81" s="65">
        <v>7.0373498203035512</v>
      </c>
      <c r="AO81" s="65">
        <v>7.0021630712020331</v>
      </c>
      <c r="AP81" s="65">
        <v>6.967152255846023</v>
      </c>
      <c r="AQ81" s="65">
        <v>6.932316494566793</v>
      </c>
      <c r="AR81" s="65">
        <v>6.8976549120939588</v>
      </c>
      <c r="AS81" s="65">
        <v>6.8631666375334888</v>
      </c>
      <c r="AT81" s="65">
        <v>6.8288508043458211</v>
      </c>
      <c r="AU81" s="65">
        <v>6.7947065503240918</v>
      </c>
      <c r="AV81" s="65">
        <v>6.7607330175724716</v>
      </c>
      <c r="AW81" s="65">
        <v>6.7269293524846097</v>
      </c>
      <c r="AX81" s="65">
        <v>6.6932947057221863</v>
      </c>
      <c r="AY81" s="65">
        <v>6.6598282321935756</v>
      </c>
      <c r="AZ81" s="65">
        <v>6.6265290910326078</v>
      </c>
      <c r="BA81" s="65">
        <v>6.5271311546671189</v>
      </c>
      <c r="BB81" s="65">
        <v>6.4292241873471125</v>
      </c>
      <c r="BC81" s="65">
        <v>6.3327858245369057</v>
      </c>
      <c r="BD81" s="65">
        <v>6.2377940371688521</v>
      </c>
    </row>
    <row r="82" spans="3:56" x14ac:dyDescent="0.25">
      <c r="C82" s="106"/>
      <c r="D82" s="49" t="s">
        <v>35</v>
      </c>
      <c r="E82" s="65">
        <v>1.75</v>
      </c>
      <c r="F82" s="65">
        <v>0</v>
      </c>
      <c r="G82" s="65">
        <v>0</v>
      </c>
      <c r="H82" s="65">
        <v>1</v>
      </c>
      <c r="I82" s="65">
        <v>1</v>
      </c>
      <c r="J82" s="65">
        <v>1</v>
      </c>
      <c r="K82" s="65">
        <v>2</v>
      </c>
      <c r="L82" s="65">
        <v>2</v>
      </c>
      <c r="M82" s="65">
        <v>5</v>
      </c>
      <c r="N82" s="65">
        <v>5</v>
      </c>
      <c r="O82" s="65">
        <v>3</v>
      </c>
      <c r="P82" s="65">
        <v>3</v>
      </c>
      <c r="Q82" s="65">
        <v>3</v>
      </c>
      <c r="R82" s="65">
        <v>3</v>
      </c>
      <c r="S82" s="65">
        <v>3</v>
      </c>
      <c r="T82" s="65">
        <v>3</v>
      </c>
      <c r="U82" s="65">
        <v>5</v>
      </c>
      <c r="V82" s="65">
        <v>5</v>
      </c>
      <c r="W82" s="65">
        <v>5</v>
      </c>
      <c r="X82" s="65">
        <v>5</v>
      </c>
      <c r="Y82" s="65">
        <v>4.9749999999999996</v>
      </c>
      <c r="Z82" s="65">
        <v>4.9501249999999999</v>
      </c>
      <c r="AA82" s="65">
        <v>4.9253743749999996</v>
      </c>
      <c r="AB82" s="65">
        <v>4.9007475031249994</v>
      </c>
      <c r="AC82" s="65">
        <v>4.8762437656093747</v>
      </c>
      <c r="AD82" s="65">
        <v>1.8518625467813274</v>
      </c>
      <c r="AE82" s="65">
        <v>1.8426032340474208</v>
      </c>
      <c r="AF82" s="65">
        <v>1.8333902178771837</v>
      </c>
      <c r="AG82" s="65">
        <v>1.8242232667877978</v>
      </c>
      <c r="AH82" s="65">
        <v>1.8151021504538587</v>
      </c>
      <c r="AI82" s="65">
        <v>1.8060266397015894</v>
      </c>
      <c r="AJ82" s="65">
        <v>3.7969965065030813</v>
      </c>
      <c r="AK82" s="65">
        <v>3.7780115239705658</v>
      </c>
      <c r="AL82" s="65">
        <v>3.7591214663507131</v>
      </c>
      <c r="AM82" s="65">
        <v>3.7403258590189594</v>
      </c>
      <c r="AN82" s="65">
        <v>3.7216242297238646</v>
      </c>
      <c r="AO82" s="65">
        <v>3.7030161085752451</v>
      </c>
      <c r="AP82" s="65">
        <v>3.6845010280323689</v>
      </c>
      <c r="AQ82" s="65">
        <v>3.666078522892207</v>
      </c>
      <c r="AR82" s="65">
        <v>3.6477481302777459</v>
      </c>
      <c r="AS82" s="65">
        <v>3.6295093896263571</v>
      </c>
      <c r="AT82" s="65">
        <v>3.6113618426782255</v>
      </c>
      <c r="AU82" s="65">
        <v>3.5933050334648344</v>
      </c>
      <c r="AV82" s="65">
        <v>23.575338508297509</v>
      </c>
      <c r="AW82" s="65">
        <v>23.457461815756023</v>
      </c>
      <c r="AX82" s="65">
        <v>33.340174506677243</v>
      </c>
      <c r="AY82" s="65">
        <v>33.173473634143861</v>
      </c>
      <c r="AZ82" s="65">
        <v>33.007606265973138</v>
      </c>
      <c r="BA82" s="65">
        <v>26.512492171983538</v>
      </c>
      <c r="BB82" s="65">
        <v>21.114804789403784</v>
      </c>
      <c r="BC82" s="65">
        <v>7.7980827175627283</v>
      </c>
      <c r="BD82" s="65">
        <v>7.6811114767992876</v>
      </c>
    </row>
    <row r="83" spans="3:56" x14ac:dyDescent="0.25">
      <c r="C83" s="106"/>
      <c r="D83" s="49" t="s">
        <v>36</v>
      </c>
      <c r="E83" s="65">
        <v>0</v>
      </c>
      <c r="F83" s="65">
        <v>0</v>
      </c>
      <c r="G83" s="65">
        <v>0</v>
      </c>
      <c r="H83" s="65">
        <v>0</v>
      </c>
      <c r="I83" s="65">
        <v>0</v>
      </c>
      <c r="J83" s="65">
        <v>0</v>
      </c>
      <c r="K83" s="65">
        <v>0</v>
      </c>
      <c r="L83" s="65">
        <v>0</v>
      </c>
      <c r="M83" s="65">
        <v>0</v>
      </c>
      <c r="N83" s="65">
        <v>0</v>
      </c>
      <c r="O83" s="65">
        <v>0</v>
      </c>
      <c r="P83" s="65">
        <v>0</v>
      </c>
      <c r="Q83" s="65">
        <v>0</v>
      </c>
      <c r="R83" s="65">
        <v>0</v>
      </c>
      <c r="S83" s="65">
        <v>0</v>
      </c>
      <c r="T83" s="65">
        <v>0</v>
      </c>
      <c r="U83" s="65">
        <v>0</v>
      </c>
      <c r="V83" s="65">
        <v>0</v>
      </c>
      <c r="W83" s="65">
        <v>0</v>
      </c>
      <c r="X83" s="65">
        <v>0</v>
      </c>
      <c r="Y83" s="65">
        <v>0</v>
      </c>
      <c r="Z83" s="65">
        <v>0</v>
      </c>
      <c r="AA83" s="65">
        <v>0</v>
      </c>
      <c r="AB83" s="65">
        <v>0</v>
      </c>
      <c r="AC83" s="65">
        <v>0</v>
      </c>
      <c r="AD83" s="65">
        <v>0</v>
      </c>
      <c r="AE83" s="65">
        <v>0</v>
      </c>
      <c r="AF83" s="65">
        <v>0</v>
      </c>
      <c r="AG83" s="65">
        <v>0</v>
      </c>
      <c r="AH83" s="65">
        <v>0</v>
      </c>
      <c r="AI83" s="65">
        <v>0</v>
      </c>
      <c r="AJ83" s="65">
        <v>0</v>
      </c>
      <c r="AK83" s="65">
        <v>0</v>
      </c>
      <c r="AL83" s="65">
        <v>0</v>
      </c>
      <c r="AM83" s="65">
        <v>0</v>
      </c>
      <c r="AN83" s="65">
        <v>0</v>
      </c>
      <c r="AO83" s="65">
        <v>0</v>
      </c>
      <c r="AP83" s="65">
        <v>0</v>
      </c>
      <c r="AQ83" s="65">
        <v>0</v>
      </c>
      <c r="AR83" s="65">
        <v>0</v>
      </c>
      <c r="AS83" s="65">
        <v>0</v>
      </c>
      <c r="AT83" s="65">
        <v>0</v>
      </c>
      <c r="AU83" s="65">
        <v>0</v>
      </c>
      <c r="AV83" s="65">
        <v>0</v>
      </c>
      <c r="AW83" s="65">
        <v>0</v>
      </c>
      <c r="AX83" s="65">
        <v>0</v>
      </c>
      <c r="AY83" s="65">
        <v>0</v>
      </c>
      <c r="AZ83" s="65">
        <v>0</v>
      </c>
      <c r="BA83" s="65">
        <v>0</v>
      </c>
      <c r="BB83" s="65">
        <v>0</v>
      </c>
      <c r="BC83" s="65">
        <v>0</v>
      </c>
      <c r="BD83" s="65">
        <v>0</v>
      </c>
    </row>
    <row r="84" spans="3:56" x14ac:dyDescent="0.25">
      <c r="C84" s="106"/>
      <c r="D84" s="49" t="s">
        <v>37</v>
      </c>
      <c r="E84" s="65">
        <v>0</v>
      </c>
      <c r="F84" s="65">
        <v>0</v>
      </c>
      <c r="G84" s="65">
        <v>0</v>
      </c>
      <c r="H84" s="65">
        <v>0</v>
      </c>
      <c r="I84" s="65">
        <v>0</v>
      </c>
      <c r="J84" s="65">
        <v>0</v>
      </c>
      <c r="K84" s="65">
        <v>0</v>
      </c>
      <c r="L84" s="65">
        <v>0</v>
      </c>
      <c r="M84" s="65">
        <v>0</v>
      </c>
      <c r="N84" s="65">
        <v>0</v>
      </c>
      <c r="O84" s="65">
        <v>0</v>
      </c>
      <c r="P84" s="65">
        <v>0</v>
      </c>
      <c r="Q84" s="65">
        <v>0</v>
      </c>
      <c r="R84" s="65">
        <v>0</v>
      </c>
      <c r="S84" s="65">
        <v>0</v>
      </c>
      <c r="T84" s="65">
        <v>0</v>
      </c>
      <c r="U84" s="65">
        <v>0</v>
      </c>
      <c r="V84" s="65">
        <v>0</v>
      </c>
      <c r="W84" s="65">
        <v>0</v>
      </c>
      <c r="X84" s="65">
        <v>0</v>
      </c>
      <c r="Y84" s="65">
        <v>0</v>
      </c>
      <c r="Z84" s="65">
        <v>0</v>
      </c>
      <c r="AA84" s="65">
        <v>0</v>
      </c>
      <c r="AB84" s="65">
        <v>0</v>
      </c>
      <c r="AC84" s="65">
        <v>0</v>
      </c>
      <c r="AD84" s="65">
        <v>0</v>
      </c>
      <c r="AE84" s="65">
        <v>0</v>
      </c>
      <c r="AF84" s="65">
        <v>0</v>
      </c>
      <c r="AG84" s="65">
        <v>0</v>
      </c>
      <c r="AH84" s="65">
        <v>0</v>
      </c>
      <c r="AI84" s="65">
        <v>0</v>
      </c>
      <c r="AJ84" s="65">
        <v>0</v>
      </c>
      <c r="AK84" s="65">
        <v>0</v>
      </c>
      <c r="AL84" s="65">
        <v>0</v>
      </c>
      <c r="AM84" s="65">
        <v>0</v>
      </c>
      <c r="AN84" s="65">
        <v>0</v>
      </c>
      <c r="AO84" s="65">
        <v>0</v>
      </c>
      <c r="AP84" s="65">
        <v>0</v>
      </c>
      <c r="AQ84" s="65">
        <v>0</v>
      </c>
      <c r="AR84" s="65">
        <v>0</v>
      </c>
      <c r="AS84" s="65">
        <v>0</v>
      </c>
      <c r="AT84" s="65">
        <v>0</v>
      </c>
      <c r="AU84" s="65">
        <v>0</v>
      </c>
      <c r="AV84" s="65">
        <v>0</v>
      </c>
      <c r="AW84" s="65">
        <v>0</v>
      </c>
      <c r="AX84" s="65">
        <v>0</v>
      </c>
      <c r="AY84" s="65">
        <v>0</v>
      </c>
      <c r="AZ84" s="65">
        <v>0</v>
      </c>
      <c r="BA84" s="65">
        <v>0</v>
      </c>
      <c r="BB84" s="65">
        <v>0</v>
      </c>
      <c r="BC84" s="65">
        <v>0</v>
      </c>
      <c r="BD84" s="65">
        <v>0</v>
      </c>
    </row>
    <row r="85" spans="3:56" x14ac:dyDescent="0.25">
      <c r="C85" s="106"/>
      <c r="D85" s="49" t="s">
        <v>38</v>
      </c>
      <c r="E85" s="65">
        <v>0</v>
      </c>
      <c r="F85" s="65">
        <v>0</v>
      </c>
      <c r="G85" s="65">
        <v>0</v>
      </c>
      <c r="H85" s="65">
        <v>4</v>
      </c>
      <c r="I85" s="65">
        <v>4</v>
      </c>
      <c r="J85" s="65">
        <v>4</v>
      </c>
      <c r="K85" s="65">
        <v>3</v>
      </c>
      <c r="L85" s="65">
        <v>3</v>
      </c>
      <c r="M85" s="65">
        <v>0</v>
      </c>
      <c r="N85" s="65">
        <v>0</v>
      </c>
      <c r="O85" s="65">
        <v>0</v>
      </c>
      <c r="P85" s="65">
        <v>0</v>
      </c>
      <c r="Q85" s="65">
        <v>0</v>
      </c>
      <c r="R85" s="65">
        <v>0</v>
      </c>
      <c r="S85" s="65">
        <v>0</v>
      </c>
      <c r="T85" s="65">
        <v>0</v>
      </c>
      <c r="U85" s="65">
        <v>0</v>
      </c>
      <c r="V85" s="65">
        <v>0</v>
      </c>
      <c r="W85" s="65">
        <v>0</v>
      </c>
      <c r="X85" s="65">
        <v>0</v>
      </c>
      <c r="Y85" s="65">
        <v>0</v>
      </c>
      <c r="Z85" s="65">
        <v>0</v>
      </c>
      <c r="AA85" s="65">
        <v>0</v>
      </c>
      <c r="AB85" s="65">
        <v>0</v>
      </c>
      <c r="AC85" s="65">
        <v>0</v>
      </c>
      <c r="AD85" s="65">
        <v>0</v>
      </c>
      <c r="AE85" s="65">
        <v>0</v>
      </c>
      <c r="AF85" s="65">
        <v>0</v>
      </c>
      <c r="AG85" s="65">
        <v>0</v>
      </c>
      <c r="AH85" s="65">
        <v>0</v>
      </c>
      <c r="AI85" s="65">
        <v>0</v>
      </c>
      <c r="AJ85" s="65">
        <v>0</v>
      </c>
      <c r="AK85" s="65">
        <v>0</v>
      </c>
      <c r="AL85" s="65">
        <v>0</v>
      </c>
      <c r="AM85" s="65">
        <v>0</v>
      </c>
      <c r="AN85" s="65">
        <v>0</v>
      </c>
      <c r="AO85" s="65">
        <v>0</v>
      </c>
      <c r="AP85" s="65">
        <v>0</v>
      </c>
      <c r="AQ85" s="65">
        <v>0</v>
      </c>
      <c r="AR85" s="65">
        <v>0</v>
      </c>
      <c r="AS85" s="65">
        <v>0</v>
      </c>
      <c r="AT85" s="65">
        <v>0</v>
      </c>
      <c r="AU85" s="65">
        <v>0</v>
      </c>
      <c r="AV85" s="65">
        <v>0</v>
      </c>
      <c r="AW85" s="65">
        <v>0</v>
      </c>
      <c r="AX85" s="65">
        <v>0</v>
      </c>
      <c r="AY85" s="65">
        <v>0</v>
      </c>
      <c r="AZ85" s="65">
        <v>0</v>
      </c>
      <c r="BA85" s="65">
        <v>0</v>
      </c>
      <c r="BB85" s="65">
        <v>0</v>
      </c>
      <c r="BC85" s="65">
        <v>0</v>
      </c>
      <c r="BD85" s="65">
        <v>0</v>
      </c>
    </row>
    <row r="86" spans="3:56" x14ac:dyDescent="0.25">
      <c r="C86" s="106"/>
      <c r="D86" s="49" t="s">
        <v>39</v>
      </c>
      <c r="E86" s="65">
        <v>34</v>
      </c>
      <c r="F86" s="65">
        <v>28</v>
      </c>
      <c r="G86" s="65">
        <v>28</v>
      </c>
      <c r="H86" s="65">
        <v>0</v>
      </c>
      <c r="I86" s="65">
        <v>0</v>
      </c>
      <c r="J86" s="65">
        <v>0</v>
      </c>
      <c r="K86" s="65">
        <v>0</v>
      </c>
      <c r="L86" s="65">
        <v>0</v>
      </c>
      <c r="M86" s="65">
        <v>0</v>
      </c>
      <c r="N86" s="65">
        <v>0</v>
      </c>
      <c r="O86" s="65">
        <v>0</v>
      </c>
      <c r="P86" s="65">
        <v>0</v>
      </c>
      <c r="Q86" s="65">
        <v>0</v>
      </c>
      <c r="R86" s="65">
        <v>0</v>
      </c>
      <c r="S86" s="65">
        <v>0</v>
      </c>
      <c r="T86" s="65">
        <v>0</v>
      </c>
      <c r="U86" s="65">
        <v>0</v>
      </c>
      <c r="V86" s="65">
        <v>0</v>
      </c>
      <c r="W86" s="65">
        <v>0</v>
      </c>
      <c r="X86" s="65">
        <v>0</v>
      </c>
      <c r="Y86" s="65">
        <v>0</v>
      </c>
      <c r="Z86" s="65">
        <v>0</v>
      </c>
      <c r="AA86" s="65">
        <v>0</v>
      </c>
      <c r="AB86" s="65">
        <v>0</v>
      </c>
      <c r="AC86" s="65">
        <v>0</v>
      </c>
      <c r="AD86" s="65">
        <v>0</v>
      </c>
      <c r="AE86" s="65">
        <v>0</v>
      </c>
      <c r="AF86" s="65">
        <v>0</v>
      </c>
      <c r="AG86" s="65">
        <v>0</v>
      </c>
      <c r="AH86" s="65">
        <v>0</v>
      </c>
      <c r="AI86" s="65">
        <v>0</v>
      </c>
      <c r="AJ86" s="65">
        <v>0</v>
      </c>
      <c r="AK86" s="65">
        <v>0</v>
      </c>
      <c r="AL86" s="65">
        <v>0</v>
      </c>
      <c r="AM86" s="65">
        <v>0</v>
      </c>
      <c r="AN86" s="65">
        <v>0</v>
      </c>
      <c r="AO86" s="65">
        <v>0</v>
      </c>
      <c r="AP86" s="65">
        <v>0</v>
      </c>
      <c r="AQ86" s="65">
        <v>0</v>
      </c>
      <c r="AR86" s="65">
        <v>0</v>
      </c>
      <c r="AS86" s="65">
        <v>0</v>
      </c>
      <c r="AT86" s="65">
        <v>0</v>
      </c>
      <c r="AU86" s="65">
        <v>0</v>
      </c>
      <c r="AV86" s="65">
        <v>0</v>
      </c>
      <c r="AW86" s="65">
        <v>0</v>
      </c>
      <c r="AX86" s="65">
        <v>0</v>
      </c>
      <c r="AY86" s="65">
        <v>0</v>
      </c>
      <c r="AZ86" s="65">
        <v>0</v>
      </c>
      <c r="BA86" s="65">
        <v>0</v>
      </c>
      <c r="BB86" s="65">
        <v>0</v>
      </c>
      <c r="BC86" s="65">
        <v>0</v>
      </c>
      <c r="BD86" s="65">
        <v>0</v>
      </c>
    </row>
    <row r="87" spans="3:56" x14ac:dyDescent="0.25">
      <c r="C87" s="106"/>
      <c r="D87" s="49" t="s">
        <v>40</v>
      </c>
      <c r="E87" s="65">
        <v>0</v>
      </c>
      <c r="F87" s="65">
        <v>0</v>
      </c>
      <c r="G87" s="65">
        <v>0</v>
      </c>
      <c r="H87" s="65">
        <v>0</v>
      </c>
      <c r="I87" s="65">
        <v>0</v>
      </c>
      <c r="J87" s="65">
        <v>0</v>
      </c>
      <c r="K87" s="65">
        <v>0</v>
      </c>
      <c r="L87" s="65">
        <v>0</v>
      </c>
      <c r="M87" s="65">
        <v>0</v>
      </c>
      <c r="N87" s="65">
        <v>0</v>
      </c>
      <c r="O87" s="65">
        <v>0</v>
      </c>
      <c r="P87" s="65">
        <v>0</v>
      </c>
      <c r="Q87" s="65">
        <v>0</v>
      </c>
      <c r="R87" s="65">
        <v>0</v>
      </c>
      <c r="S87" s="65">
        <v>0</v>
      </c>
      <c r="T87" s="65">
        <v>0</v>
      </c>
      <c r="U87" s="65">
        <v>0</v>
      </c>
      <c r="V87" s="65">
        <v>0</v>
      </c>
      <c r="W87" s="65">
        <v>0</v>
      </c>
      <c r="X87" s="65">
        <v>0</v>
      </c>
      <c r="Y87" s="65">
        <v>0</v>
      </c>
      <c r="Z87" s="65">
        <v>0</v>
      </c>
      <c r="AA87" s="65">
        <v>0</v>
      </c>
      <c r="AB87" s="65">
        <v>0</v>
      </c>
      <c r="AC87" s="65">
        <v>0</v>
      </c>
      <c r="AD87" s="65">
        <v>0</v>
      </c>
      <c r="AE87" s="65">
        <v>0</v>
      </c>
      <c r="AF87" s="65">
        <v>0</v>
      </c>
      <c r="AG87" s="65">
        <v>0</v>
      </c>
      <c r="AH87" s="65">
        <v>0</v>
      </c>
      <c r="AI87" s="65">
        <v>0</v>
      </c>
      <c r="AJ87" s="65">
        <v>0</v>
      </c>
      <c r="AK87" s="65">
        <v>0</v>
      </c>
      <c r="AL87" s="65">
        <v>0</v>
      </c>
      <c r="AM87" s="65">
        <v>0</v>
      </c>
      <c r="AN87" s="65">
        <v>0</v>
      </c>
      <c r="AO87" s="65">
        <v>0</v>
      </c>
      <c r="AP87" s="65">
        <v>0</v>
      </c>
      <c r="AQ87" s="65">
        <v>0</v>
      </c>
      <c r="AR87" s="65">
        <v>0</v>
      </c>
      <c r="AS87" s="65">
        <v>0</v>
      </c>
      <c r="AT87" s="65">
        <v>0</v>
      </c>
      <c r="AU87" s="65">
        <v>0</v>
      </c>
      <c r="AV87" s="65">
        <v>0</v>
      </c>
      <c r="AW87" s="65">
        <v>0</v>
      </c>
      <c r="AX87" s="65">
        <v>0</v>
      </c>
      <c r="AY87" s="65">
        <v>0</v>
      </c>
      <c r="AZ87" s="65">
        <v>0</v>
      </c>
      <c r="BA87" s="65">
        <v>0</v>
      </c>
      <c r="BB87" s="65">
        <v>0</v>
      </c>
      <c r="BC87" s="65">
        <v>0</v>
      </c>
      <c r="BD87" s="65">
        <v>0</v>
      </c>
    </row>
    <row r="88" spans="3:56" x14ac:dyDescent="0.25">
      <c r="C88" s="106"/>
      <c r="D88" s="50" t="s">
        <v>41</v>
      </c>
      <c r="E88" s="54">
        <f t="shared" ref="E88:BD88" si="28">(SUM(E81:E87)*E90)/((40*(1-E89)+40))</f>
        <v>0</v>
      </c>
      <c r="F88" s="54">
        <f t="shared" si="28"/>
        <v>0</v>
      </c>
      <c r="G88" s="54">
        <f t="shared" si="28"/>
        <v>0</v>
      </c>
      <c r="H88" s="54">
        <f t="shared" si="28"/>
        <v>0</v>
      </c>
      <c r="I88" s="54">
        <f t="shared" si="28"/>
        <v>0</v>
      </c>
      <c r="J88" s="54">
        <f t="shared" si="28"/>
        <v>0</v>
      </c>
      <c r="K88" s="54">
        <f t="shared" si="28"/>
        <v>-2.4130434782608696</v>
      </c>
      <c r="L88" s="54">
        <f t="shared" si="28"/>
        <v>-1.576086956521739</v>
      </c>
      <c r="M88" s="54">
        <f t="shared" si="28"/>
        <v>-1.2282608695652173</v>
      </c>
      <c r="N88" s="54">
        <f t="shared" si="28"/>
        <v>-0.54891304347826086</v>
      </c>
      <c r="O88" s="54">
        <f t="shared" si="28"/>
        <v>0</v>
      </c>
      <c r="P88" s="54">
        <f t="shared" si="28"/>
        <v>0</v>
      </c>
      <c r="Q88" s="54">
        <f t="shared" si="28"/>
        <v>-0.75</v>
      </c>
      <c r="R88" s="54">
        <f t="shared" si="28"/>
        <v>0</v>
      </c>
      <c r="S88" s="54">
        <f t="shared" si="28"/>
        <v>-0.375</v>
      </c>
      <c r="T88" s="54">
        <f t="shared" si="28"/>
        <v>-0.75</v>
      </c>
      <c r="U88" s="54">
        <f t="shared" si="28"/>
        <v>-1.0978260869565217</v>
      </c>
      <c r="V88" s="54">
        <f t="shared" si="28"/>
        <v>0</v>
      </c>
      <c r="W88" s="54">
        <f t="shared" si="28"/>
        <v>0</v>
      </c>
      <c r="X88" s="54">
        <f t="shared" si="28"/>
        <v>0</v>
      </c>
      <c r="Y88" s="54">
        <f t="shared" si="28"/>
        <v>0</v>
      </c>
      <c r="Z88" s="54">
        <f t="shared" si="28"/>
        <v>0</v>
      </c>
      <c r="AA88" s="54">
        <f t="shared" si="28"/>
        <v>0</v>
      </c>
      <c r="AB88" s="54">
        <f t="shared" si="28"/>
        <v>0</v>
      </c>
      <c r="AC88" s="54">
        <f t="shared" si="28"/>
        <v>0</v>
      </c>
      <c r="AD88" s="54">
        <f t="shared" si="28"/>
        <v>0</v>
      </c>
      <c r="AE88" s="54">
        <f t="shared" si="28"/>
        <v>0</v>
      </c>
      <c r="AF88" s="54">
        <f t="shared" si="28"/>
        <v>0</v>
      </c>
      <c r="AG88" s="54">
        <f t="shared" si="28"/>
        <v>0</v>
      </c>
      <c r="AH88" s="54">
        <f t="shared" si="28"/>
        <v>0</v>
      </c>
      <c r="AI88" s="54">
        <f t="shared" si="28"/>
        <v>0</v>
      </c>
      <c r="AJ88" s="54">
        <f t="shared" si="28"/>
        <v>0</v>
      </c>
      <c r="AK88" s="54">
        <f t="shared" si="28"/>
        <v>0</v>
      </c>
      <c r="AL88" s="54">
        <f t="shared" si="28"/>
        <v>0</v>
      </c>
      <c r="AM88" s="54">
        <f t="shared" si="28"/>
        <v>0</v>
      </c>
      <c r="AN88" s="54">
        <f t="shared" si="28"/>
        <v>0</v>
      </c>
      <c r="AO88" s="54">
        <f t="shared" si="28"/>
        <v>0</v>
      </c>
      <c r="AP88" s="54">
        <f t="shared" si="28"/>
        <v>0</v>
      </c>
      <c r="AQ88" s="54">
        <f t="shared" si="28"/>
        <v>0</v>
      </c>
      <c r="AR88" s="54">
        <f t="shared" si="28"/>
        <v>0</v>
      </c>
      <c r="AS88" s="54">
        <f t="shared" si="28"/>
        <v>0</v>
      </c>
      <c r="AT88" s="54">
        <f t="shared" si="28"/>
        <v>0</v>
      </c>
      <c r="AU88" s="54">
        <f t="shared" si="28"/>
        <v>0</v>
      </c>
      <c r="AV88" s="54">
        <f t="shared" si="28"/>
        <v>0</v>
      </c>
      <c r="AW88" s="54">
        <f t="shared" si="28"/>
        <v>0</v>
      </c>
      <c r="AX88" s="54">
        <f t="shared" si="28"/>
        <v>0</v>
      </c>
      <c r="AY88" s="54">
        <f t="shared" si="28"/>
        <v>0</v>
      </c>
      <c r="AZ88" s="54">
        <f t="shared" si="28"/>
        <v>0</v>
      </c>
      <c r="BA88" s="54">
        <f t="shared" si="28"/>
        <v>0</v>
      </c>
      <c r="BB88" s="54">
        <f t="shared" si="28"/>
        <v>0</v>
      </c>
      <c r="BC88" s="54">
        <f t="shared" si="28"/>
        <v>0</v>
      </c>
      <c r="BD88" s="54">
        <f t="shared" si="28"/>
        <v>0</v>
      </c>
    </row>
    <row r="89" spans="3:56" x14ac:dyDescent="0.25">
      <c r="C89" s="106"/>
      <c r="D89" s="50" t="s">
        <v>42</v>
      </c>
      <c r="E89" s="67">
        <v>0.85</v>
      </c>
      <c r="F89" s="67">
        <v>0.85</v>
      </c>
      <c r="G89" s="67">
        <v>0.85</v>
      </c>
      <c r="H89" s="67">
        <v>0.85</v>
      </c>
      <c r="I89" s="67">
        <v>0.85</v>
      </c>
      <c r="J89" s="67">
        <v>0.85</v>
      </c>
      <c r="K89" s="67">
        <v>0.85</v>
      </c>
      <c r="L89" s="67">
        <v>0.85</v>
      </c>
      <c r="M89" s="67">
        <v>0.85</v>
      </c>
      <c r="N89" s="67">
        <v>0.85</v>
      </c>
      <c r="O89" s="67">
        <v>0.85</v>
      </c>
      <c r="P89" s="67">
        <v>0.85</v>
      </c>
      <c r="Q89" s="67">
        <v>0.85</v>
      </c>
      <c r="R89" s="67">
        <v>0.85</v>
      </c>
      <c r="S89" s="67">
        <v>0.85</v>
      </c>
      <c r="T89" s="67">
        <v>0.85</v>
      </c>
      <c r="U89" s="67">
        <v>0.85</v>
      </c>
      <c r="V89" s="67">
        <v>0.85</v>
      </c>
      <c r="W89" s="67">
        <v>0.85</v>
      </c>
      <c r="X89" s="67">
        <v>0.85</v>
      </c>
      <c r="Y89" s="67">
        <v>0.85</v>
      </c>
      <c r="Z89" s="67">
        <v>0.85</v>
      </c>
      <c r="AA89" s="67">
        <v>0.85</v>
      </c>
      <c r="AB89" s="67">
        <v>0.85</v>
      </c>
      <c r="AC89" s="67">
        <v>0.85</v>
      </c>
      <c r="AD89" s="67">
        <v>0.85</v>
      </c>
      <c r="AE89" s="67">
        <v>0.85</v>
      </c>
      <c r="AF89" s="67">
        <v>0.85</v>
      </c>
      <c r="AG89" s="67">
        <v>0.85</v>
      </c>
      <c r="AH89" s="67">
        <v>0.85</v>
      </c>
      <c r="AI89" s="67">
        <v>0.85</v>
      </c>
      <c r="AJ89" s="67">
        <v>0.85</v>
      </c>
      <c r="AK89" s="67">
        <v>0.85</v>
      </c>
      <c r="AL89" s="67">
        <v>0.85</v>
      </c>
      <c r="AM89" s="67">
        <v>0.85</v>
      </c>
      <c r="AN89" s="67">
        <v>0.85</v>
      </c>
      <c r="AO89" s="67">
        <v>0.85</v>
      </c>
      <c r="AP89" s="67">
        <v>0.85</v>
      </c>
      <c r="AQ89" s="67">
        <v>0.85</v>
      </c>
      <c r="AR89" s="67">
        <v>0.85</v>
      </c>
      <c r="AS89" s="67">
        <v>0.85</v>
      </c>
      <c r="AT89" s="67">
        <v>0.85</v>
      </c>
      <c r="AU89" s="67">
        <v>0.85</v>
      </c>
      <c r="AV89" s="67">
        <v>0.85</v>
      </c>
      <c r="AW89" s="67">
        <v>0.85</v>
      </c>
      <c r="AX89" s="67">
        <v>0.85</v>
      </c>
      <c r="AY89" s="67">
        <v>0.85</v>
      </c>
      <c r="AZ89" s="67">
        <v>0.85</v>
      </c>
      <c r="BA89" s="67">
        <v>0.85</v>
      </c>
      <c r="BB89" s="67">
        <v>0.85</v>
      </c>
      <c r="BC89" s="67">
        <v>0.85</v>
      </c>
      <c r="BD89" s="67">
        <v>0.85</v>
      </c>
    </row>
    <row r="90" spans="3:56" x14ac:dyDescent="0.25">
      <c r="C90" s="106"/>
      <c r="D90" s="50" t="s">
        <v>43</v>
      </c>
      <c r="E90" s="65">
        <v>0</v>
      </c>
      <c r="F90" s="65">
        <v>0</v>
      </c>
      <c r="G90" s="65">
        <v>0</v>
      </c>
      <c r="H90" s="65"/>
      <c r="I90" s="65"/>
      <c r="J90" s="65">
        <v>0</v>
      </c>
      <c r="K90" s="65">
        <v>-6</v>
      </c>
      <c r="L90" s="65">
        <v>-4</v>
      </c>
      <c r="M90" s="65">
        <v>-4</v>
      </c>
      <c r="N90" s="65">
        <v>-2</v>
      </c>
      <c r="O90" s="65">
        <v>0</v>
      </c>
      <c r="P90" s="65">
        <v>0</v>
      </c>
      <c r="Q90" s="65">
        <v>-4</v>
      </c>
      <c r="R90" s="65">
        <v>0</v>
      </c>
      <c r="S90" s="65">
        <v>-2</v>
      </c>
      <c r="T90" s="65">
        <v>-4</v>
      </c>
      <c r="U90" s="65">
        <v>-4</v>
      </c>
      <c r="V90" s="65">
        <v>0</v>
      </c>
      <c r="W90" s="65">
        <v>0</v>
      </c>
      <c r="X90" s="65">
        <v>0</v>
      </c>
      <c r="Y90" s="65">
        <v>0</v>
      </c>
      <c r="Z90" s="65">
        <v>0</v>
      </c>
      <c r="AA90" s="65">
        <v>0</v>
      </c>
      <c r="AB90" s="65">
        <v>0</v>
      </c>
      <c r="AC90" s="65">
        <v>0</v>
      </c>
      <c r="AD90" s="65">
        <v>0</v>
      </c>
      <c r="AE90" s="65">
        <v>0</v>
      </c>
      <c r="AF90" s="65">
        <v>0</v>
      </c>
      <c r="AG90" s="65">
        <v>0</v>
      </c>
      <c r="AH90" s="65">
        <v>0</v>
      </c>
      <c r="AI90" s="65">
        <v>0</v>
      </c>
      <c r="AJ90" s="65">
        <v>0</v>
      </c>
      <c r="AK90" s="65">
        <v>0</v>
      </c>
      <c r="AL90" s="65">
        <v>0</v>
      </c>
      <c r="AM90" s="65">
        <v>0</v>
      </c>
      <c r="AN90" s="65">
        <v>0</v>
      </c>
      <c r="AO90" s="65">
        <v>0</v>
      </c>
      <c r="AP90" s="65">
        <v>0</v>
      </c>
      <c r="AQ90" s="65">
        <v>0</v>
      </c>
      <c r="AR90" s="65">
        <v>0</v>
      </c>
      <c r="AS90" s="65">
        <v>0</v>
      </c>
      <c r="AT90" s="65">
        <v>0</v>
      </c>
      <c r="AU90" s="65">
        <v>0</v>
      </c>
      <c r="AV90" s="65">
        <v>0</v>
      </c>
      <c r="AW90" s="65">
        <v>0</v>
      </c>
      <c r="AX90" s="65">
        <v>0</v>
      </c>
      <c r="AY90" s="65">
        <v>0</v>
      </c>
      <c r="AZ90" s="65">
        <v>0</v>
      </c>
      <c r="BA90" s="65">
        <v>0</v>
      </c>
      <c r="BB90" s="65">
        <v>0</v>
      </c>
      <c r="BC90" s="65">
        <v>0</v>
      </c>
      <c r="BD90" s="65">
        <v>0</v>
      </c>
    </row>
    <row r="91" spans="3:56" x14ac:dyDescent="0.25">
      <c r="C91" s="106"/>
      <c r="D91" s="51" t="s">
        <v>44</v>
      </c>
      <c r="E91" s="61">
        <f t="shared" ref="E91:T91" si="29">SUM(E81:E88)</f>
        <v>36.5</v>
      </c>
      <c r="F91" s="61">
        <f t="shared" si="29"/>
        <v>28</v>
      </c>
      <c r="G91" s="61">
        <f t="shared" si="29"/>
        <v>28</v>
      </c>
      <c r="H91" s="61">
        <f t="shared" si="29"/>
        <v>18.5</v>
      </c>
      <c r="I91" s="61">
        <f t="shared" si="29"/>
        <v>18.5</v>
      </c>
      <c r="J91" s="61">
        <f t="shared" si="29"/>
        <v>18.5</v>
      </c>
      <c r="K91" s="61">
        <f t="shared" si="29"/>
        <v>16.086956521739129</v>
      </c>
      <c r="L91" s="61">
        <f t="shared" si="29"/>
        <v>16.548913043478262</v>
      </c>
      <c r="M91" s="61">
        <f t="shared" si="29"/>
        <v>12.896739130434783</v>
      </c>
      <c r="N91" s="61">
        <f t="shared" si="29"/>
        <v>12.076086956521738</v>
      </c>
      <c r="O91" s="61">
        <f t="shared" si="29"/>
        <v>8.625</v>
      </c>
      <c r="P91" s="61">
        <f t="shared" si="29"/>
        <v>8.629999999999999</v>
      </c>
      <c r="Q91" s="61">
        <f t="shared" si="29"/>
        <v>7.875</v>
      </c>
      <c r="R91" s="61">
        <f t="shared" si="29"/>
        <v>8.625</v>
      </c>
      <c r="S91" s="61">
        <f t="shared" si="29"/>
        <v>8.25</v>
      </c>
      <c r="T91" s="61">
        <f t="shared" si="29"/>
        <v>7.875</v>
      </c>
      <c r="U91" s="61">
        <f>SUM(U81:U88)</f>
        <v>11.527173913043478</v>
      </c>
      <c r="V91" s="61">
        <f t="shared" ref="V91:BD91" si="30">SUM(V81:V88)</f>
        <v>12.625</v>
      </c>
      <c r="W91" s="61">
        <f t="shared" si="30"/>
        <v>12.625</v>
      </c>
      <c r="X91" s="61">
        <f t="shared" si="30"/>
        <v>12.625</v>
      </c>
      <c r="Y91" s="61">
        <f t="shared" si="30"/>
        <v>12.561875000000001</v>
      </c>
      <c r="Z91" s="61">
        <f t="shared" si="30"/>
        <v>12.499065625</v>
      </c>
      <c r="AA91" s="61">
        <f t="shared" si="30"/>
        <v>12.436570296875001</v>
      </c>
      <c r="AB91" s="61">
        <f t="shared" si="30"/>
        <v>12.374387445390624</v>
      </c>
      <c r="AC91" s="61">
        <f t="shared" si="30"/>
        <v>12.312515508163671</v>
      </c>
      <c r="AD91" s="61">
        <f t="shared" si="30"/>
        <v>9.2509529306228515</v>
      </c>
      <c r="AE91" s="61">
        <f t="shared" si="30"/>
        <v>9.204698165969738</v>
      </c>
      <c r="AF91" s="61">
        <f t="shared" si="30"/>
        <v>9.1586746751398902</v>
      </c>
      <c r="AG91" s="61">
        <f t="shared" si="30"/>
        <v>9.1128813017641903</v>
      </c>
      <c r="AH91" s="61">
        <f t="shared" si="30"/>
        <v>9.0673168952553702</v>
      </c>
      <c r="AI91" s="61">
        <f t="shared" si="30"/>
        <v>9.0219803107790923</v>
      </c>
      <c r="AJ91" s="61">
        <f t="shared" si="30"/>
        <v>10.976870409225196</v>
      </c>
      <c r="AK91" s="61">
        <f t="shared" si="30"/>
        <v>10.921986057179071</v>
      </c>
      <c r="AL91" s="61">
        <f t="shared" si="30"/>
        <v>10.867376126893175</v>
      </c>
      <c r="AM91" s="61">
        <f t="shared" si="30"/>
        <v>10.813039246258709</v>
      </c>
      <c r="AN91" s="61">
        <f t="shared" si="30"/>
        <v>10.758974050027415</v>
      </c>
      <c r="AO91" s="61">
        <f t="shared" si="30"/>
        <v>10.705179179777279</v>
      </c>
      <c r="AP91" s="61">
        <f t="shared" si="30"/>
        <v>10.651653283878392</v>
      </c>
      <c r="AQ91" s="61">
        <f t="shared" si="30"/>
        <v>10.598395017459</v>
      </c>
      <c r="AR91" s="61">
        <f t="shared" si="30"/>
        <v>10.545403042371705</v>
      </c>
      <c r="AS91" s="61">
        <f t="shared" si="30"/>
        <v>10.492676027159845</v>
      </c>
      <c r="AT91" s="61">
        <f t="shared" si="30"/>
        <v>10.440212647024047</v>
      </c>
      <c r="AU91" s="61">
        <f t="shared" si="30"/>
        <v>10.388011583788927</v>
      </c>
      <c r="AV91" s="61">
        <f t="shared" si="30"/>
        <v>30.336071525869983</v>
      </c>
      <c r="AW91" s="61">
        <f t="shared" si="30"/>
        <v>30.184391168240634</v>
      </c>
      <c r="AX91" s="61">
        <f t="shared" si="30"/>
        <v>40.033469212399432</v>
      </c>
      <c r="AY91" s="61">
        <f t="shared" si="30"/>
        <v>39.833301866337436</v>
      </c>
      <c r="AZ91" s="61">
        <f t="shared" si="30"/>
        <v>39.634135357005746</v>
      </c>
      <c r="BA91" s="61">
        <f t="shared" si="30"/>
        <v>33.039623326650656</v>
      </c>
      <c r="BB91" s="61">
        <f t="shared" si="30"/>
        <v>27.544028976750898</v>
      </c>
      <c r="BC91" s="61">
        <f t="shared" si="30"/>
        <v>14.130868542099634</v>
      </c>
      <c r="BD91" s="61">
        <f t="shared" si="30"/>
        <v>13.91890551396814</v>
      </c>
    </row>
    <row r="92" spans="3:56" x14ac:dyDescent="0.25">
      <c r="C92" s="106"/>
      <c r="D92" s="52" t="s">
        <v>45</v>
      </c>
      <c r="E92" s="100">
        <f t="shared" ref="E92:O92" si="31">E91-E79</f>
        <v>14.128382846544529</v>
      </c>
      <c r="F92" s="100">
        <f t="shared" si="31"/>
        <v>9.2071857273681239</v>
      </c>
      <c r="G92" s="100">
        <f t="shared" si="31"/>
        <v>13.972320160904129</v>
      </c>
      <c r="H92" s="100">
        <f t="shared" si="31"/>
        <v>5.7204474240639929</v>
      </c>
      <c r="I92" s="100">
        <f t="shared" si="31"/>
        <v>6.3754023644485347</v>
      </c>
      <c r="J92" s="100">
        <f t="shared" si="31"/>
        <v>7.5236834228750826</v>
      </c>
      <c r="K92" s="100">
        <f t="shared" si="31"/>
        <v>7.5937002366243469</v>
      </c>
      <c r="L92" s="100">
        <f t="shared" si="31"/>
        <v>6.5119780066482509</v>
      </c>
      <c r="M92" s="100">
        <f t="shared" si="31"/>
        <v>2.6717788623308572</v>
      </c>
      <c r="N92" s="100">
        <f t="shared" si="31"/>
        <v>0.75403387747761919</v>
      </c>
      <c r="O92" s="100">
        <f t="shared" si="31"/>
        <v>-4.5609787751906357</v>
      </c>
      <c r="P92" s="100">
        <f>P91-P79</f>
        <v>-4.6612384234317972</v>
      </c>
      <c r="Q92" s="100">
        <f t="shared" ref="Q92:BD92" si="32">Q91-Q79</f>
        <v>-2.7864518145307784</v>
      </c>
      <c r="R92" s="100">
        <f t="shared" si="32"/>
        <v>-2.2590537747000035</v>
      </c>
      <c r="S92" s="100">
        <f t="shared" si="32"/>
        <v>-2.5872800925925912</v>
      </c>
      <c r="T92" s="100">
        <f t="shared" si="32"/>
        <v>-3.660497783827859</v>
      </c>
      <c r="U92" s="100">
        <f t="shared" si="32"/>
        <v>9.5772222527207518E-2</v>
      </c>
      <c r="V92" s="100">
        <f t="shared" si="32"/>
        <v>-0.14684979185830827</v>
      </c>
      <c r="W92" s="100">
        <f t="shared" si="32"/>
        <v>-0.11870748753561067</v>
      </c>
      <c r="X92" s="100">
        <f t="shared" si="32"/>
        <v>-2.9431340939153419</v>
      </c>
      <c r="Y92" s="100">
        <f t="shared" si="32"/>
        <v>-1.6320942873677211</v>
      </c>
      <c r="Z92" s="100">
        <f t="shared" si="32"/>
        <v>-0.5751717261904723</v>
      </c>
      <c r="AA92" s="100">
        <f t="shared" si="32"/>
        <v>-3.5082396803385443</v>
      </c>
      <c r="AB92" s="100">
        <f t="shared" si="32"/>
        <v>-2.6713034725781295</v>
      </c>
      <c r="AC92" s="100">
        <f t="shared" si="32"/>
        <v>-1.9113655139717523</v>
      </c>
      <c r="AD92" s="100">
        <f t="shared" si="32"/>
        <v>-2.6375532246801825</v>
      </c>
      <c r="AE92" s="100">
        <f t="shared" si="32"/>
        <v>-1.3213435006969263</v>
      </c>
      <c r="AF92" s="100">
        <f t="shared" si="32"/>
        <v>-2.6217680331934439</v>
      </c>
      <c r="AG92" s="100">
        <f t="shared" si="32"/>
        <v>-1.3092521420489387</v>
      </c>
      <c r="AH92" s="100">
        <f t="shared" si="32"/>
        <v>-3.3397222461587699</v>
      </c>
      <c r="AI92" s="100">
        <f t="shared" si="32"/>
        <v>-3.5971603142209059</v>
      </c>
      <c r="AJ92" s="100">
        <f t="shared" si="32"/>
        <v>-3.2163373799539041</v>
      </c>
      <c r="AK92" s="100">
        <f t="shared" si="32"/>
        <v>-3.9035619838657052</v>
      </c>
      <c r="AL92" s="100">
        <f t="shared" si="32"/>
        <v>-3.7954445354202608</v>
      </c>
      <c r="AM92" s="100">
        <f t="shared" si="32"/>
        <v>-0.25847134602732424</v>
      </c>
      <c r="AN92" s="100">
        <f t="shared" si="32"/>
        <v>1.1086580072774179</v>
      </c>
      <c r="AO92" s="100">
        <f t="shared" si="32"/>
        <v>0.88031241644825009</v>
      </c>
      <c r="AP92" s="100">
        <f t="shared" si="32"/>
        <v>0.35507013961497513</v>
      </c>
      <c r="AQ92" s="100">
        <f t="shared" si="32"/>
        <v>-0.60419072573806964</v>
      </c>
      <c r="AR92" s="100">
        <f t="shared" si="32"/>
        <v>0.26578859630578933</v>
      </c>
      <c r="AS92" s="100">
        <f t="shared" si="32"/>
        <v>-0.36133565154439573</v>
      </c>
      <c r="AT92" s="100">
        <f t="shared" si="32"/>
        <v>-0.58911113363788203</v>
      </c>
      <c r="AU92" s="100">
        <f t="shared" si="32"/>
        <v>-1.303519761928726</v>
      </c>
      <c r="AV92" s="100">
        <f t="shared" si="32"/>
        <v>18.375813611444848</v>
      </c>
      <c r="AW92" s="100">
        <f t="shared" si="32"/>
        <v>17.396938395122319</v>
      </c>
      <c r="AX92" s="100">
        <f t="shared" si="32"/>
        <v>27.493435386352857</v>
      </c>
      <c r="AY92" s="100">
        <f t="shared" si="32"/>
        <v>9.9725233562448352</v>
      </c>
      <c r="AZ92" s="100">
        <f t="shared" si="32"/>
        <v>-0.90797123181591388</v>
      </c>
      <c r="BA92" s="100">
        <f t="shared" si="32"/>
        <v>-2.1586824125815411</v>
      </c>
      <c r="BB92" s="100">
        <f t="shared" si="32"/>
        <v>-1.7179852118570764</v>
      </c>
      <c r="BC92" s="100">
        <f t="shared" si="32"/>
        <v>-2.3596883854467521</v>
      </c>
      <c r="BD92" s="100">
        <f t="shared" si="32"/>
        <v>-0.91854306799984897</v>
      </c>
    </row>
    <row r="93" spans="3:56" x14ac:dyDescent="0.25">
      <c r="C93" s="48"/>
      <c r="D93" s="52"/>
      <c r="E93" s="89"/>
      <c r="F93" s="89"/>
      <c r="G93" s="89"/>
      <c r="H93" s="89"/>
      <c r="I93" s="89"/>
      <c r="J93" s="89"/>
      <c r="K93" s="89"/>
      <c r="L93" s="89"/>
      <c r="M93" s="89"/>
      <c r="N93" s="89"/>
      <c r="O93" s="89"/>
      <c r="P93" s="89"/>
      <c r="Q93" s="89"/>
      <c r="R93" s="89"/>
      <c r="S93" s="89"/>
      <c r="T93" s="89"/>
      <c r="U93" s="89"/>
      <c r="V93" s="89"/>
      <c r="W93" s="89"/>
      <c r="X93" s="89"/>
      <c r="Y93" s="89"/>
      <c r="Z93" s="89"/>
      <c r="AA93" s="89"/>
      <c r="AB93" s="89"/>
      <c r="AC93" s="89"/>
      <c r="AD93" s="89"/>
      <c r="AE93" s="89"/>
      <c r="AF93" s="89"/>
      <c r="AG93" s="89"/>
      <c r="AH93" s="89"/>
      <c r="AI93" s="89"/>
      <c r="AJ93" s="89"/>
      <c r="AK93" s="89"/>
      <c r="AL93" s="89"/>
      <c r="AM93" s="89"/>
      <c r="AN93" s="89"/>
      <c r="AO93" s="89"/>
      <c r="AP93" s="89"/>
      <c r="AQ93" s="89"/>
      <c r="AR93" s="89"/>
      <c r="AS93" s="89"/>
      <c r="AT93" s="89"/>
      <c r="AU93" s="89"/>
      <c r="AV93" s="89"/>
      <c r="AW93" s="89"/>
      <c r="AX93" s="89"/>
      <c r="AY93" s="89"/>
      <c r="AZ93" s="89"/>
      <c r="BA93" s="89"/>
      <c r="BB93" s="89"/>
      <c r="BC93" s="89"/>
      <c r="BD93" s="89"/>
    </row>
    <row r="94" spans="3:56" ht="15.75" thickBot="1" x14ac:dyDescent="0.3">
      <c r="C94" s="48"/>
      <c r="D94" s="46" t="s">
        <v>55</v>
      </c>
      <c r="E94" s="95"/>
      <c r="F94" s="95"/>
      <c r="G94" s="95"/>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c r="AK94" s="95"/>
      <c r="AL94" s="95"/>
      <c r="AM94" s="95"/>
      <c r="AN94" s="95"/>
      <c r="AO94" s="95"/>
      <c r="AP94" s="95"/>
      <c r="AQ94" s="95"/>
      <c r="AR94" s="95"/>
      <c r="AS94" s="95"/>
      <c r="AT94" s="95"/>
      <c r="AU94" s="95"/>
      <c r="AV94" s="95"/>
      <c r="AW94" s="95"/>
      <c r="AX94" s="95"/>
      <c r="AY94" s="95"/>
      <c r="AZ94" s="95"/>
      <c r="BA94" s="95"/>
      <c r="BB94" s="95"/>
      <c r="BC94" s="95"/>
      <c r="BD94" s="95"/>
    </row>
    <row r="95" spans="3:56" ht="15" customHeight="1" x14ac:dyDescent="0.25">
      <c r="C95" s="111" t="s">
        <v>56</v>
      </c>
      <c r="D95" s="52"/>
      <c r="E95" s="89"/>
      <c r="F95" s="89"/>
      <c r="G95" s="89"/>
      <c r="H95" s="89"/>
      <c r="I95" s="89"/>
      <c r="J95" s="89"/>
      <c r="K95" s="89"/>
      <c r="L95" s="89"/>
      <c r="M95" s="89"/>
      <c r="N95" s="89"/>
      <c r="O95" s="89"/>
      <c r="P95" s="89"/>
      <c r="Q95" s="89"/>
      <c r="R95" s="89"/>
      <c r="S95" s="89"/>
      <c r="T95" s="89"/>
      <c r="U95" s="89"/>
      <c r="V95" s="89"/>
      <c r="W95" s="89"/>
      <c r="X95" s="89"/>
      <c r="Y95" s="89"/>
      <c r="Z95" s="89"/>
      <c r="AA95" s="89"/>
      <c r="AB95" s="89"/>
      <c r="AC95" s="89"/>
      <c r="AD95" s="89"/>
      <c r="AE95" s="89"/>
      <c r="AF95" s="89"/>
      <c r="AG95" s="89"/>
      <c r="AH95" s="89"/>
      <c r="AI95" s="89"/>
      <c r="AJ95" s="89"/>
      <c r="AK95" s="89"/>
      <c r="AL95" s="89"/>
      <c r="AM95" s="89"/>
      <c r="AN95" s="89"/>
      <c r="AO95" s="89"/>
      <c r="AP95" s="89"/>
      <c r="AQ95" s="89"/>
      <c r="AR95" s="89"/>
      <c r="AS95" s="89"/>
      <c r="AT95" s="89"/>
      <c r="AU95" s="89"/>
      <c r="AV95" s="89"/>
      <c r="AW95" s="89"/>
      <c r="AX95" s="89"/>
      <c r="AY95" s="89"/>
      <c r="AZ95" s="89"/>
      <c r="BA95" s="89"/>
      <c r="BB95" s="89"/>
      <c r="BC95" s="89"/>
      <c r="BD95" s="89"/>
    </row>
    <row r="96" spans="3:56" x14ac:dyDescent="0.25">
      <c r="C96" s="106"/>
      <c r="D96" s="41" t="s">
        <v>33</v>
      </c>
      <c r="E96" s="96">
        <v>4</v>
      </c>
      <c r="F96" s="96">
        <v>4</v>
      </c>
      <c r="G96" s="96">
        <v>4</v>
      </c>
      <c r="H96" s="96">
        <v>4</v>
      </c>
      <c r="I96" s="96">
        <v>4</v>
      </c>
      <c r="J96" s="96">
        <v>4</v>
      </c>
      <c r="K96" s="96">
        <v>4</v>
      </c>
      <c r="L96" s="96">
        <v>4</v>
      </c>
      <c r="M96" s="96">
        <v>4</v>
      </c>
      <c r="N96" s="96">
        <v>4</v>
      </c>
      <c r="O96" s="96">
        <v>4</v>
      </c>
      <c r="P96" s="96">
        <v>4</v>
      </c>
      <c r="Q96" s="96">
        <v>4</v>
      </c>
      <c r="R96" s="96">
        <v>4</v>
      </c>
      <c r="S96" s="96">
        <v>4</v>
      </c>
      <c r="T96" s="96">
        <v>4</v>
      </c>
      <c r="U96" s="96">
        <v>4</v>
      </c>
      <c r="V96" s="96">
        <v>4</v>
      </c>
      <c r="W96" s="96">
        <v>4</v>
      </c>
      <c r="X96" s="96">
        <v>4</v>
      </c>
      <c r="Y96" s="96">
        <v>4</v>
      </c>
      <c r="Z96" s="96">
        <v>4</v>
      </c>
      <c r="AA96" s="96">
        <v>4</v>
      </c>
      <c r="AB96" s="96">
        <v>4</v>
      </c>
      <c r="AC96" s="96">
        <v>4</v>
      </c>
      <c r="AD96" s="96">
        <v>4</v>
      </c>
      <c r="AE96" s="96">
        <v>4</v>
      </c>
      <c r="AF96" s="96">
        <v>4</v>
      </c>
      <c r="AG96" s="96">
        <v>4</v>
      </c>
      <c r="AH96" s="96">
        <v>4</v>
      </c>
      <c r="AI96" s="96">
        <v>4</v>
      </c>
      <c r="AJ96" s="96">
        <v>4</v>
      </c>
      <c r="AK96" s="96">
        <v>4</v>
      </c>
      <c r="AL96" s="96">
        <v>4</v>
      </c>
      <c r="AM96" s="96">
        <v>4</v>
      </c>
      <c r="AN96" s="96">
        <v>4</v>
      </c>
      <c r="AO96" s="96">
        <v>4</v>
      </c>
      <c r="AP96" s="96">
        <v>4</v>
      </c>
      <c r="AQ96" s="96">
        <v>4</v>
      </c>
      <c r="AR96" s="96">
        <v>4</v>
      </c>
      <c r="AS96" s="96">
        <v>4</v>
      </c>
      <c r="AT96" s="96">
        <v>4</v>
      </c>
      <c r="AU96" s="96">
        <v>4</v>
      </c>
      <c r="AV96" s="96">
        <v>4</v>
      </c>
      <c r="AW96" s="96">
        <v>4</v>
      </c>
      <c r="AX96" s="96">
        <v>4</v>
      </c>
      <c r="AY96" s="96">
        <v>4</v>
      </c>
      <c r="AZ96" s="96">
        <v>4</v>
      </c>
      <c r="BA96" s="96">
        <v>4</v>
      </c>
      <c r="BB96" s="96">
        <v>4</v>
      </c>
      <c r="BC96" s="96">
        <v>4</v>
      </c>
      <c r="BD96" s="96">
        <v>4</v>
      </c>
    </row>
    <row r="97" spans="3:56" x14ac:dyDescent="0.25">
      <c r="C97" s="106"/>
      <c r="D97" s="52"/>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row>
    <row r="98" spans="3:56" x14ac:dyDescent="0.25">
      <c r="C98" s="106"/>
      <c r="D98" s="49" t="s">
        <v>34</v>
      </c>
      <c r="E98" s="96">
        <v>0</v>
      </c>
      <c r="F98" s="96">
        <v>0</v>
      </c>
      <c r="G98" s="96">
        <v>0</v>
      </c>
      <c r="H98" s="96">
        <v>5</v>
      </c>
      <c r="I98" s="96">
        <v>5</v>
      </c>
      <c r="J98" s="96">
        <v>5</v>
      </c>
      <c r="K98" s="96">
        <v>5</v>
      </c>
      <c r="L98" s="96">
        <v>5</v>
      </c>
      <c r="M98" s="96">
        <v>5</v>
      </c>
      <c r="N98" s="96">
        <v>5</v>
      </c>
      <c r="O98" s="96">
        <v>5</v>
      </c>
      <c r="P98" s="96">
        <v>5</v>
      </c>
      <c r="Q98" s="96">
        <v>5</v>
      </c>
      <c r="R98" s="96">
        <v>5</v>
      </c>
      <c r="S98" s="96">
        <v>5</v>
      </c>
      <c r="T98" s="96">
        <v>5</v>
      </c>
      <c r="U98" s="96">
        <v>4.4000000000000004</v>
      </c>
      <c r="V98" s="96">
        <v>4.4000000000000004</v>
      </c>
      <c r="W98" s="96">
        <v>4.5</v>
      </c>
      <c r="X98" s="96">
        <v>3.5</v>
      </c>
      <c r="Y98" s="96">
        <v>3.4824999999999999</v>
      </c>
      <c r="Z98" s="96">
        <v>3.4650875000000001</v>
      </c>
      <c r="AA98" s="96">
        <v>3.4477620625000003</v>
      </c>
      <c r="AB98" s="96">
        <v>3.4305232521875002</v>
      </c>
      <c r="AC98" s="96">
        <v>3.4133706359265625</v>
      </c>
      <c r="AD98" s="96">
        <v>3.3963037827469296</v>
      </c>
      <c r="AE98" s="96">
        <v>3.379322263833195</v>
      </c>
      <c r="AF98" s="96">
        <v>3.362425652514029</v>
      </c>
      <c r="AG98" s="96">
        <v>3.3456135242514589</v>
      </c>
      <c r="AH98" s="96">
        <v>3.3288854566302017</v>
      </c>
      <c r="AI98" s="96">
        <v>3.3122410293470508</v>
      </c>
      <c r="AJ98" s="96">
        <v>3.2956798242003154</v>
      </c>
      <c r="AK98" s="96">
        <v>3.2792014250793136</v>
      </c>
      <c r="AL98" s="96">
        <v>3.262805417953917</v>
      </c>
      <c r="AM98" s="96">
        <v>3.2464913908641475</v>
      </c>
      <c r="AN98" s="96">
        <v>3.2302589339098269</v>
      </c>
      <c r="AO98" s="96">
        <v>3.2141076392402779</v>
      </c>
      <c r="AP98" s="96">
        <v>3.1980371010440765</v>
      </c>
      <c r="AQ98" s="96">
        <v>3.182046915538856</v>
      </c>
      <c r="AR98" s="96">
        <v>3.1661366809611615</v>
      </c>
      <c r="AS98" s="96">
        <v>3.1503059975563557</v>
      </c>
      <c r="AT98" s="96">
        <v>3.1345544675685737</v>
      </c>
      <c r="AU98" s="96">
        <v>3.1188816952307308</v>
      </c>
      <c r="AV98" s="96">
        <v>3.1032872867545773</v>
      </c>
      <c r="AW98" s="96">
        <v>3.0877708503208043</v>
      </c>
      <c r="AX98" s="96">
        <v>3.0723319960692002</v>
      </c>
      <c r="AY98" s="96">
        <v>3.0569703360888543</v>
      </c>
      <c r="AZ98" s="96">
        <v>3.04168548440841</v>
      </c>
      <c r="BA98" s="96">
        <v>3.0264770569863679</v>
      </c>
      <c r="BB98" s="96">
        <v>3.011344671701436</v>
      </c>
      <c r="BC98" s="96">
        <v>2.9962879483429288</v>
      </c>
      <c r="BD98" s="96">
        <v>2.981306508601214</v>
      </c>
    </row>
    <row r="99" spans="3:56" x14ac:dyDescent="0.25">
      <c r="C99" s="106"/>
      <c r="D99" s="49" t="s">
        <v>35</v>
      </c>
      <c r="E99" s="96">
        <v>0</v>
      </c>
      <c r="F99" s="96">
        <v>0</v>
      </c>
      <c r="G99" s="96">
        <v>0</v>
      </c>
      <c r="H99" s="96">
        <v>0</v>
      </c>
      <c r="I99" s="96">
        <v>0</v>
      </c>
      <c r="J99" s="96">
        <v>0</v>
      </c>
      <c r="K99" s="96">
        <v>0</v>
      </c>
      <c r="L99" s="96">
        <v>0</v>
      </c>
      <c r="M99" s="96">
        <v>0</v>
      </c>
      <c r="N99" s="96">
        <v>0</v>
      </c>
      <c r="O99" s="96">
        <v>0</v>
      </c>
      <c r="P99" s="96">
        <v>0</v>
      </c>
      <c r="Q99" s="96">
        <v>0</v>
      </c>
      <c r="R99" s="96">
        <v>0</v>
      </c>
      <c r="S99" s="96">
        <v>0</v>
      </c>
      <c r="T99" s="96">
        <v>0</v>
      </c>
      <c r="U99" s="96">
        <v>0</v>
      </c>
      <c r="V99" s="96">
        <v>0</v>
      </c>
      <c r="W99" s="96">
        <v>0</v>
      </c>
      <c r="X99" s="96">
        <v>0</v>
      </c>
      <c r="Y99" s="96">
        <v>0</v>
      </c>
      <c r="Z99" s="96">
        <v>0</v>
      </c>
      <c r="AA99" s="96">
        <v>0</v>
      </c>
      <c r="AB99" s="96">
        <v>0</v>
      </c>
      <c r="AC99" s="96">
        <v>0</v>
      </c>
      <c r="AD99" s="96">
        <v>0</v>
      </c>
      <c r="AE99" s="96">
        <v>0</v>
      </c>
      <c r="AF99" s="96">
        <v>0</v>
      </c>
      <c r="AG99" s="96">
        <v>0</v>
      </c>
      <c r="AH99" s="96">
        <v>0</v>
      </c>
      <c r="AI99" s="96">
        <v>0</v>
      </c>
      <c r="AJ99" s="96">
        <v>0</v>
      </c>
      <c r="AK99" s="96">
        <v>0</v>
      </c>
      <c r="AL99" s="96">
        <v>0</v>
      </c>
      <c r="AM99" s="96">
        <v>0</v>
      </c>
      <c r="AN99" s="96">
        <v>0</v>
      </c>
      <c r="AO99" s="96">
        <v>0</v>
      </c>
      <c r="AP99" s="96">
        <v>0</v>
      </c>
      <c r="AQ99" s="96">
        <v>0</v>
      </c>
      <c r="AR99" s="96">
        <v>0</v>
      </c>
      <c r="AS99" s="96">
        <v>0</v>
      </c>
      <c r="AT99" s="96">
        <v>0</v>
      </c>
      <c r="AU99" s="96">
        <v>0</v>
      </c>
      <c r="AV99" s="96">
        <v>0</v>
      </c>
      <c r="AW99" s="96">
        <v>0</v>
      </c>
      <c r="AX99" s="96">
        <v>0</v>
      </c>
      <c r="AY99" s="96">
        <v>0</v>
      </c>
      <c r="AZ99" s="96">
        <v>0</v>
      </c>
      <c r="BA99" s="96">
        <v>0</v>
      </c>
      <c r="BB99" s="96">
        <v>0</v>
      </c>
      <c r="BC99" s="96">
        <v>0</v>
      </c>
      <c r="BD99" s="96">
        <v>0</v>
      </c>
    </row>
    <row r="100" spans="3:56" x14ac:dyDescent="0.25">
      <c r="C100" s="106"/>
      <c r="D100" s="49" t="s">
        <v>36</v>
      </c>
      <c r="E100" s="96">
        <v>0</v>
      </c>
      <c r="F100" s="96">
        <v>0</v>
      </c>
      <c r="G100" s="96">
        <v>0</v>
      </c>
      <c r="H100" s="96">
        <v>0</v>
      </c>
      <c r="I100" s="96">
        <v>0</v>
      </c>
      <c r="J100" s="96">
        <v>0</v>
      </c>
      <c r="K100" s="96">
        <v>0</v>
      </c>
      <c r="L100" s="96">
        <v>0</v>
      </c>
      <c r="M100" s="96">
        <v>0</v>
      </c>
      <c r="N100" s="96">
        <v>0</v>
      </c>
      <c r="O100" s="96">
        <v>0</v>
      </c>
      <c r="P100" s="96">
        <v>0</v>
      </c>
      <c r="Q100" s="96">
        <v>0</v>
      </c>
      <c r="R100" s="96">
        <v>0</v>
      </c>
      <c r="S100" s="96">
        <v>0</v>
      </c>
      <c r="T100" s="96">
        <v>0</v>
      </c>
      <c r="U100" s="96">
        <v>0</v>
      </c>
      <c r="V100" s="96">
        <v>0</v>
      </c>
      <c r="W100" s="96">
        <v>0</v>
      </c>
      <c r="X100" s="96">
        <v>0</v>
      </c>
      <c r="Y100" s="96">
        <v>0</v>
      </c>
      <c r="Z100" s="96">
        <v>0</v>
      </c>
      <c r="AA100" s="96">
        <v>0</v>
      </c>
      <c r="AB100" s="96">
        <v>0</v>
      </c>
      <c r="AC100" s="96">
        <v>0</v>
      </c>
      <c r="AD100" s="96">
        <v>0</v>
      </c>
      <c r="AE100" s="96">
        <v>0</v>
      </c>
      <c r="AF100" s="96">
        <v>0</v>
      </c>
      <c r="AG100" s="96">
        <v>0</v>
      </c>
      <c r="AH100" s="96">
        <v>0</v>
      </c>
      <c r="AI100" s="96">
        <v>0</v>
      </c>
      <c r="AJ100" s="96">
        <v>0</v>
      </c>
      <c r="AK100" s="96">
        <v>0</v>
      </c>
      <c r="AL100" s="96">
        <v>0</v>
      </c>
      <c r="AM100" s="96">
        <v>0</v>
      </c>
      <c r="AN100" s="96">
        <v>0</v>
      </c>
      <c r="AO100" s="96">
        <v>0</v>
      </c>
      <c r="AP100" s="96">
        <v>0</v>
      </c>
      <c r="AQ100" s="96">
        <v>0</v>
      </c>
      <c r="AR100" s="96">
        <v>0</v>
      </c>
      <c r="AS100" s="96">
        <v>0</v>
      </c>
      <c r="AT100" s="96">
        <v>0</v>
      </c>
      <c r="AU100" s="96">
        <v>0</v>
      </c>
      <c r="AV100" s="96">
        <v>0</v>
      </c>
      <c r="AW100" s="96">
        <v>0</v>
      </c>
      <c r="AX100" s="96">
        <v>0</v>
      </c>
      <c r="AY100" s="96">
        <v>0</v>
      </c>
      <c r="AZ100" s="96">
        <v>0</v>
      </c>
      <c r="BA100" s="96">
        <v>0</v>
      </c>
      <c r="BB100" s="96">
        <v>0</v>
      </c>
      <c r="BC100" s="96">
        <v>0</v>
      </c>
      <c r="BD100" s="96">
        <v>0</v>
      </c>
    </row>
    <row r="101" spans="3:56" x14ac:dyDescent="0.25">
      <c r="C101" s="106"/>
      <c r="D101" s="49" t="s">
        <v>37</v>
      </c>
      <c r="E101" s="96">
        <v>0</v>
      </c>
      <c r="F101" s="96">
        <v>0</v>
      </c>
      <c r="G101" s="96">
        <v>0</v>
      </c>
      <c r="H101" s="96">
        <v>0</v>
      </c>
      <c r="I101" s="96">
        <v>0</v>
      </c>
      <c r="J101" s="96">
        <v>0</v>
      </c>
      <c r="K101" s="96">
        <v>0</v>
      </c>
      <c r="L101" s="96">
        <v>0</v>
      </c>
      <c r="M101" s="96">
        <v>0</v>
      </c>
      <c r="N101" s="96">
        <v>0</v>
      </c>
      <c r="O101" s="96">
        <v>0</v>
      </c>
      <c r="P101" s="96">
        <v>0</v>
      </c>
      <c r="Q101" s="96">
        <v>0</v>
      </c>
      <c r="R101" s="96">
        <v>0</v>
      </c>
      <c r="S101" s="96">
        <v>0</v>
      </c>
      <c r="T101" s="96">
        <v>0</v>
      </c>
      <c r="U101" s="96">
        <v>0</v>
      </c>
      <c r="V101" s="96">
        <v>0</v>
      </c>
      <c r="W101" s="96">
        <v>0</v>
      </c>
      <c r="X101" s="96">
        <v>0</v>
      </c>
      <c r="Y101" s="96">
        <v>0</v>
      </c>
      <c r="Z101" s="96">
        <v>0</v>
      </c>
      <c r="AA101" s="96">
        <v>0</v>
      </c>
      <c r="AB101" s="96">
        <v>0</v>
      </c>
      <c r="AC101" s="96">
        <v>0</v>
      </c>
      <c r="AD101" s="96">
        <v>0</v>
      </c>
      <c r="AE101" s="96">
        <v>0</v>
      </c>
      <c r="AF101" s="96">
        <v>0</v>
      </c>
      <c r="AG101" s="96">
        <v>0</v>
      </c>
      <c r="AH101" s="96">
        <v>0</v>
      </c>
      <c r="AI101" s="96">
        <v>0</v>
      </c>
      <c r="AJ101" s="96">
        <v>0</v>
      </c>
      <c r="AK101" s="96">
        <v>0</v>
      </c>
      <c r="AL101" s="96">
        <v>0</v>
      </c>
      <c r="AM101" s="96">
        <v>0</v>
      </c>
      <c r="AN101" s="96">
        <v>0</v>
      </c>
      <c r="AO101" s="96">
        <v>0</v>
      </c>
      <c r="AP101" s="96">
        <v>0</v>
      </c>
      <c r="AQ101" s="96">
        <v>0</v>
      </c>
      <c r="AR101" s="96">
        <v>0</v>
      </c>
      <c r="AS101" s="96">
        <v>0</v>
      </c>
      <c r="AT101" s="96">
        <v>0</v>
      </c>
      <c r="AU101" s="96">
        <v>0</v>
      </c>
      <c r="AV101" s="96">
        <v>0</v>
      </c>
      <c r="AW101" s="96">
        <v>0</v>
      </c>
      <c r="AX101" s="96">
        <v>0</v>
      </c>
      <c r="AY101" s="96">
        <v>0</v>
      </c>
      <c r="AZ101" s="96">
        <v>0</v>
      </c>
      <c r="BA101" s="96">
        <v>0</v>
      </c>
      <c r="BB101" s="96">
        <v>0</v>
      </c>
      <c r="BC101" s="96">
        <v>0</v>
      </c>
      <c r="BD101" s="96">
        <v>0</v>
      </c>
    </row>
    <row r="102" spans="3:56" x14ac:dyDescent="0.25">
      <c r="C102" s="106"/>
      <c r="D102" s="49" t="s">
        <v>38</v>
      </c>
      <c r="E102" s="96">
        <v>0</v>
      </c>
      <c r="F102" s="96">
        <v>0</v>
      </c>
      <c r="G102" s="96">
        <v>0</v>
      </c>
      <c r="H102" s="96">
        <v>0</v>
      </c>
      <c r="I102" s="96">
        <v>0</v>
      </c>
      <c r="J102" s="96">
        <v>0</v>
      </c>
      <c r="K102" s="96">
        <v>0</v>
      </c>
      <c r="L102" s="96">
        <v>0</v>
      </c>
      <c r="M102" s="96">
        <v>0</v>
      </c>
      <c r="N102" s="96">
        <v>0</v>
      </c>
      <c r="O102" s="96">
        <v>0</v>
      </c>
      <c r="P102" s="96">
        <v>0</v>
      </c>
      <c r="Q102" s="96">
        <v>0</v>
      </c>
      <c r="R102" s="96">
        <v>0</v>
      </c>
      <c r="S102" s="96">
        <v>0</v>
      </c>
      <c r="T102" s="96">
        <v>0</v>
      </c>
      <c r="U102" s="96">
        <v>0</v>
      </c>
      <c r="V102" s="96">
        <v>0</v>
      </c>
      <c r="W102" s="96">
        <v>0</v>
      </c>
      <c r="X102" s="96">
        <v>0</v>
      </c>
      <c r="Y102" s="96">
        <v>0</v>
      </c>
      <c r="Z102" s="96">
        <v>0</v>
      </c>
      <c r="AA102" s="96">
        <v>0</v>
      </c>
      <c r="AB102" s="96">
        <v>0</v>
      </c>
      <c r="AC102" s="96">
        <v>0</v>
      </c>
      <c r="AD102" s="96">
        <v>0</v>
      </c>
      <c r="AE102" s="96">
        <v>0</v>
      </c>
      <c r="AF102" s="96">
        <v>0</v>
      </c>
      <c r="AG102" s="96">
        <v>0</v>
      </c>
      <c r="AH102" s="96">
        <v>0</v>
      </c>
      <c r="AI102" s="96">
        <v>0</v>
      </c>
      <c r="AJ102" s="96">
        <v>0</v>
      </c>
      <c r="AK102" s="96">
        <v>0</v>
      </c>
      <c r="AL102" s="96">
        <v>0</v>
      </c>
      <c r="AM102" s="96">
        <v>0</v>
      </c>
      <c r="AN102" s="96">
        <v>0</v>
      </c>
      <c r="AO102" s="96">
        <v>0</v>
      </c>
      <c r="AP102" s="96">
        <v>0</v>
      </c>
      <c r="AQ102" s="96">
        <v>0</v>
      </c>
      <c r="AR102" s="96">
        <v>0</v>
      </c>
      <c r="AS102" s="96">
        <v>0</v>
      </c>
      <c r="AT102" s="96">
        <v>0</v>
      </c>
      <c r="AU102" s="96">
        <v>0</v>
      </c>
      <c r="AV102" s="96">
        <v>0</v>
      </c>
      <c r="AW102" s="96">
        <v>0</v>
      </c>
      <c r="AX102" s="96">
        <v>0</v>
      </c>
      <c r="AY102" s="96">
        <v>0</v>
      </c>
      <c r="AZ102" s="96">
        <v>0</v>
      </c>
      <c r="BA102" s="96">
        <v>0</v>
      </c>
      <c r="BB102" s="96">
        <v>0</v>
      </c>
      <c r="BC102" s="96">
        <v>0</v>
      </c>
      <c r="BD102" s="96">
        <v>0</v>
      </c>
    </row>
    <row r="103" spans="3:56" x14ac:dyDescent="0.25">
      <c r="C103" s="106"/>
      <c r="D103" s="49" t="s">
        <v>39</v>
      </c>
      <c r="E103" s="96">
        <v>0</v>
      </c>
      <c r="F103" s="96">
        <v>0</v>
      </c>
      <c r="G103" s="96">
        <v>0</v>
      </c>
      <c r="H103" s="96">
        <v>0</v>
      </c>
      <c r="I103" s="96">
        <v>0</v>
      </c>
      <c r="J103" s="96">
        <v>0</v>
      </c>
      <c r="K103" s="96">
        <v>0</v>
      </c>
      <c r="L103" s="96">
        <v>0</v>
      </c>
      <c r="M103" s="96">
        <v>0</v>
      </c>
      <c r="N103" s="96">
        <v>0</v>
      </c>
      <c r="O103" s="96">
        <v>0</v>
      </c>
      <c r="P103" s="96">
        <v>0</v>
      </c>
      <c r="Q103" s="96">
        <v>0</v>
      </c>
      <c r="R103" s="96">
        <v>0</v>
      </c>
      <c r="S103" s="96">
        <v>0</v>
      </c>
      <c r="T103" s="96">
        <v>0</v>
      </c>
      <c r="U103" s="96">
        <v>0</v>
      </c>
      <c r="V103" s="96">
        <v>0</v>
      </c>
      <c r="W103" s="96">
        <v>0</v>
      </c>
      <c r="X103" s="96">
        <v>0</v>
      </c>
      <c r="Y103" s="96">
        <v>0</v>
      </c>
      <c r="Z103" s="96">
        <v>0</v>
      </c>
      <c r="AA103" s="96">
        <v>0</v>
      </c>
      <c r="AB103" s="96">
        <v>0</v>
      </c>
      <c r="AC103" s="96">
        <v>0</v>
      </c>
      <c r="AD103" s="96">
        <v>0</v>
      </c>
      <c r="AE103" s="96">
        <v>0</v>
      </c>
      <c r="AF103" s="96">
        <v>0</v>
      </c>
      <c r="AG103" s="96">
        <v>0</v>
      </c>
      <c r="AH103" s="96">
        <v>0</v>
      </c>
      <c r="AI103" s="96">
        <v>0</v>
      </c>
      <c r="AJ103" s="96">
        <v>0</v>
      </c>
      <c r="AK103" s="96">
        <v>0</v>
      </c>
      <c r="AL103" s="96">
        <v>0</v>
      </c>
      <c r="AM103" s="96">
        <v>0</v>
      </c>
      <c r="AN103" s="96">
        <v>0</v>
      </c>
      <c r="AO103" s="96">
        <v>0</v>
      </c>
      <c r="AP103" s="96">
        <v>0</v>
      </c>
      <c r="AQ103" s="96">
        <v>0</v>
      </c>
      <c r="AR103" s="96">
        <v>0</v>
      </c>
      <c r="AS103" s="96">
        <v>0</v>
      </c>
      <c r="AT103" s="96">
        <v>0</v>
      </c>
      <c r="AU103" s="96">
        <v>0</v>
      </c>
      <c r="AV103" s="96">
        <v>0</v>
      </c>
      <c r="AW103" s="96">
        <v>0</v>
      </c>
      <c r="AX103" s="96">
        <v>0</v>
      </c>
      <c r="AY103" s="96">
        <v>0</v>
      </c>
      <c r="AZ103" s="96">
        <v>0</v>
      </c>
      <c r="BA103" s="96">
        <v>0</v>
      </c>
      <c r="BB103" s="96">
        <v>0</v>
      </c>
      <c r="BC103" s="96">
        <v>0</v>
      </c>
      <c r="BD103" s="96">
        <v>0</v>
      </c>
    </row>
    <row r="104" spans="3:56" x14ac:dyDescent="0.25">
      <c r="C104" s="106"/>
      <c r="D104" s="49" t="s">
        <v>40</v>
      </c>
      <c r="E104" s="96">
        <v>0</v>
      </c>
      <c r="F104" s="96">
        <v>0</v>
      </c>
      <c r="G104" s="96">
        <v>0</v>
      </c>
      <c r="H104" s="96">
        <v>0</v>
      </c>
      <c r="I104" s="96">
        <v>0</v>
      </c>
      <c r="J104" s="96">
        <v>0</v>
      </c>
      <c r="K104" s="96">
        <v>0</v>
      </c>
      <c r="L104" s="96">
        <v>0</v>
      </c>
      <c r="M104" s="96">
        <v>0</v>
      </c>
      <c r="N104" s="96">
        <v>0</v>
      </c>
      <c r="O104" s="96">
        <v>0</v>
      </c>
      <c r="P104" s="96">
        <v>0</v>
      </c>
      <c r="Q104" s="96">
        <v>0</v>
      </c>
      <c r="R104" s="96">
        <v>0</v>
      </c>
      <c r="S104" s="96">
        <v>0</v>
      </c>
      <c r="T104" s="96">
        <v>0</v>
      </c>
      <c r="U104" s="96">
        <v>0</v>
      </c>
      <c r="V104" s="96">
        <v>0</v>
      </c>
      <c r="W104" s="96">
        <v>0</v>
      </c>
      <c r="X104" s="96">
        <v>0</v>
      </c>
      <c r="Y104" s="96">
        <v>0</v>
      </c>
      <c r="Z104" s="96">
        <v>0</v>
      </c>
      <c r="AA104" s="96">
        <v>0</v>
      </c>
      <c r="AB104" s="96">
        <v>0</v>
      </c>
      <c r="AC104" s="96">
        <v>0</v>
      </c>
      <c r="AD104" s="96">
        <v>0</v>
      </c>
      <c r="AE104" s="96">
        <v>0</v>
      </c>
      <c r="AF104" s="96">
        <v>0</v>
      </c>
      <c r="AG104" s="96">
        <v>0</v>
      </c>
      <c r="AH104" s="96">
        <v>0</v>
      </c>
      <c r="AI104" s="96">
        <v>0</v>
      </c>
      <c r="AJ104" s="96">
        <v>0</v>
      </c>
      <c r="AK104" s="96">
        <v>0</v>
      </c>
      <c r="AL104" s="96">
        <v>0</v>
      </c>
      <c r="AM104" s="96">
        <v>0</v>
      </c>
      <c r="AN104" s="96">
        <v>0</v>
      </c>
      <c r="AO104" s="96">
        <v>0</v>
      </c>
      <c r="AP104" s="96">
        <v>0</v>
      </c>
      <c r="AQ104" s="96">
        <v>0</v>
      </c>
      <c r="AR104" s="96">
        <v>0</v>
      </c>
      <c r="AS104" s="96">
        <v>0</v>
      </c>
      <c r="AT104" s="96">
        <v>0</v>
      </c>
      <c r="AU104" s="96">
        <v>0</v>
      </c>
      <c r="AV104" s="96">
        <v>0</v>
      </c>
      <c r="AW104" s="96">
        <v>0</v>
      </c>
      <c r="AX104" s="96">
        <v>0</v>
      </c>
      <c r="AY104" s="96">
        <v>0</v>
      </c>
      <c r="AZ104" s="96">
        <v>0</v>
      </c>
      <c r="BA104" s="96">
        <v>0</v>
      </c>
      <c r="BB104" s="96">
        <v>0</v>
      </c>
      <c r="BC104" s="96">
        <v>0</v>
      </c>
      <c r="BD104" s="96">
        <v>0</v>
      </c>
    </row>
    <row r="105" spans="3:56" x14ac:dyDescent="0.25">
      <c r="C105" s="106"/>
      <c r="D105" s="50" t="s">
        <v>41</v>
      </c>
      <c r="E105" s="54">
        <f t="shared" ref="E105:BD105" si="33">(SUM(E98:E104)*E107)/((40*(1-E106)+40))</f>
        <v>0</v>
      </c>
      <c r="F105" s="54">
        <f t="shared" si="33"/>
        <v>0</v>
      </c>
      <c r="G105" s="54">
        <f t="shared" si="33"/>
        <v>0</v>
      </c>
      <c r="H105" s="54">
        <f t="shared" si="33"/>
        <v>0</v>
      </c>
      <c r="I105" s="54">
        <f t="shared" si="33"/>
        <v>0</v>
      </c>
      <c r="J105" s="54">
        <f t="shared" si="33"/>
        <v>0</v>
      </c>
      <c r="K105" s="54">
        <f t="shared" si="33"/>
        <v>0</v>
      </c>
      <c r="L105" s="54">
        <f t="shared" si="33"/>
        <v>0</v>
      </c>
      <c r="M105" s="54">
        <f t="shared" si="33"/>
        <v>0</v>
      </c>
      <c r="N105" s="54">
        <f t="shared" si="33"/>
        <v>0</v>
      </c>
      <c r="O105" s="54">
        <f t="shared" si="33"/>
        <v>0</v>
      </c>
      <c r="P105" s="54">
        <f t="shared" si="33"/>
        <v>0</v>
      </c>
      <c r="Q105" s="54">
        <f t="shared" si="33"/>
        <v>0</v>
      </c>
      <c r="R105" s="54">
        <f t="shared" si="33"/>
        <v>0</v>
      </c>
      <c r="S105" s="54">
        <f t="shared" si="33"/>
        <v>0</v>
      </c>
      <c r="T105" s="54">
        <f t="shared" si="33"/>
        <v>0</v>
      </c>
      <c r="U105" s="54">
        <f t="shared" si="33"/>
        <v>0</v>
      </c>
      <c r="V105" s="54">
        <f t="shared" si="33"/>
        <v>0</v>
      </c>
      <c r="W105" s="54">
        <f t="shared" si="33"/>
        <v>0</v>
      </c>
      <c r="X105" s="54">
        <f t="shared" si="33"/>
        <v>0</v>
      </c>
      <c r="Y105" s="54">
        <f t="shared" si="33"/>
        <v>0</v>
      </c>
      <c r="Z105" s="54">
        <f t="shared" si="33"/>
        <v>0</v>
      </c>
      <c r="AA105" s="54">
        <f t="shared" si="33"/>
        <v>0</v>
      </c>
      <c r="AB105" s="54">
        <f t="shared" si="33"/>
        <v>0</v>
      </c>
      <c r="AC105" s="54">
        <f t="shared" si="33"/>
        <v>0</v>
      </c>
      <c r="AD105" s="54">
        <f t="shared" si="33"/>
        <v>0</v>
      </c>
      <c r="AE105" s="54">
        <f t="shared" si="33"/>
        <v>0</v>
      </c>
      <c r="AF105" s="54">
        <f t="shared" si="33"/>
        <v>0</v>
      </c>
      <c r="AG105" s="54">
        <f t="shared" si="33"/>
        <v>0</v>
      </c>
      <c r="AH105" s="54">
        <f t="shared" si="33"/>
        <v>0</v>
      </c>
      <c r="AI105" s="54">
        <f t="shared" si="33"/>
        <v>0</v>
      </c>
      <c r="AJ105" s="54">
        <f t="shared" si="33"/>
        <v>0</v>
      </c>
      <c r="AK105" s="54">
        <f t="shared" si="33"/>
        <v>0</v>
      </c>
      <c r="AL105" s="54">
        <f t="shared" si="33"/>
        <v>0</v>
      </c>
      <c r="AM105" s="54">
        <f t="shared" si="33"/>
        <v>0</v>
      </c>
      <c r="AN105" s="54">
        <f t="shared" si="33"/>
        <v>0</v>
      </c>
      <c r="AO105" s="54">
        <f t="shared" si="33"/>
        <v>0</v>
      </c>
      <c r="AP105" s="54">
        <f t="shared" si="33"/>
        <v>0</v>
      </c>
      <c r="AQ105" s="54">
        <f t="shared" si="33"/>
        <v>0</v>
      </c>
      <c r="AR105" s="54">
        <f t="shared" si="33"/>
        <v>0</v>
      </c>
      <c r="AS105" s="54">
        <f t="shared" si="33"/>
        <v>0</v>
      </c>
      <c r="AT105" s="54">
        <f t="shared" si="33"/>
        <v>0</v>
      </c>
      <c r="AU105" s="54">
        <f t="shared" si="33"/>
        <v>0</v>
      </c>
      <c r="AV105" s="54">
        <f t="shared" si="33"/>
        <v>0</v>
      </c>
      <c r="AW105" s="54">
        <f t="shared" si="33"/>
        <v>0</v>
      </c>
      <c r="AX105" s="54">
        <f t="shared" si="33"/>
        <v>0</v>
      </c>
      <c r="AY105" s="54">
        <f t="shared" si="33"/>
        <v>0</v>
      </c>
      <c r="AZ105" s="54">
        <f t="shared" si="33"/>
        <v>0</v>
      </c>
      <c r="BA105" s="54">
        <f t="shared" si="33"/>
        <v>0</v>
      </c>
      <c r="BB105" s="54">
        <f t="shared" si="33"/>
        <v>0</v>
      </c>
      <c r="BC105" s="54">
        <f t="shared" si="33"/>
        <v>0</v>
      </c>
      <c r="BD105" s="54">
        <f t="shared" si="33"/>
        <v>0</v>
      </c>
    </row>
    <row r="106" spans="3:56" x14ac:dyDescent="0.25">
      <c r="C106" s="106"/>
      <c r="D106" s="50" t="s">
        <v>42</v>
      </c>
      <c r="E106" s="67">
        <v>0.85</v>
      </c>
      <c r="F106" s="67">
        <v>0.85</v>
      </c>
      <c r="G106" s="67">
        <v>0.85</v>
      </c>
      <c r="H106" s="67">
        <v>0.85</v>
      </c>
      <c r="I106" s="67">
        <v>0.85</v>
      </c>
      <c r="J106" s="67">
        <v>0.85</v>
      </c>
      <c r="K106" s="67">
        <v>0.85</v>
      </c>
      <c r="L106" s="67">
        <v>0.85</v>
      </c>
      <c r="M106" s="67">
        <v>0.85</v>
      </c>
      <c r="N106" s="67">
        <v>0.85</v>
      </c>
      <c r="O106" s="67">
        <v>0.85</v>
      </c>
      <c r="P106" s="67">
        <v>0.85</v>
      </c>
      <c r="Q106" s="67">
        <v>0.85</v>
      </c>
      <c r="R106" s="67">
        <v>0.85</v>
      </c>
      <c r="S106" s="67">
        <v>0.85</v>
      </c>
      <c r="T106" s="67">
        <v>0.85</v>
      </c>
      <c r="U106" s="67">
        <v>0.85</v>
      </c>
      <c r="V106" s="67">
        <v>0.85</v>
      </c>
      <c r="W106" s="67">
        <v>0.85</v>
      </c>
      <c r="X106" s="67">
        <v>0.85</v>
      </c>
      <c r="Y106" s="67">
        <v>0.85</v>
      </c>
      <c r="Z106" s="67">
        <v>0.85</v>
      </c>
      <c r="AA106" s="67">
        <v>0.85</v>
      </c>
      <c r="AB106" s="67">
        <v>0.85</v>
      </c>
      <c r="AC106" s="67">
        <v>0.85</v>
      </c>
      <c r="AD106" s="67">
        <v>0.85</v>
      </c>
      <c r="AE106" s="67">
        <v>0.85</v>
      </c>
      <c r="AF106" s="67">
        <v>0.85</v>
      </c>
      <c r="AG106" s="67">
        <v>0.85</v>
      </c>
      <c r="AH106" s="67">
        <v>0.85</v>
      </c>
      <c r="AI106" s="67">
        <v>0.85</v>
      </c>
      <c r="AJ106" s="67">
        <v>0.85</v>
      </c>
      <c r="AK106" s="67">
        <v>0.85</v>
      </c>
      <c r="AL106" s="67">
        <v>0.85</v>
      </c>
      <c r="AM106" s="67">
        <v>0.85</v>
      </c>
      <c r="AN106" s="67">
        <v>0.85</v>
      </c>
      <c r="AO106" s="67">
        <v>0.85</v>
      </c>
      <c r="AP106" s="67">
        <v>0.85</v>
      </c>
      <c r="AQ106" s="67">
        <v>0.85</v>
      </c>
      <c r="AR106" s="67">
        <v>0.85</v>
      </c>
      <c r="AS106" s="67">
        <v>0.85</v>
      </c>
      <c r="AT106" s="67">
        <v>0.85</v>
      </c>
      <c r="AU106" s="67">
        <v>0.85</v>
      </c>
      <c r="AV106" s="67">
        <v>0.85</v>
      </c>
      <c r="AW106" s="67">
        <v>0.85</v>
      </c>
      <c r="AX106" s="67">
        <v>0.85</v>
      </c>
      <c r="AY106" s="67">
        <v>0.85</v>
      </c>
      <c r="AZ106" s="67">
        <v>0.85</v>
      </c>
      <c r="BA106" s="67">
        <v>0.85</v>
      </c>
      <c r="BB106" s="67">
        <v>0.85</v>
      </c>
      <c r="BC106" s="67">
        <v>0.85</v>
      </c>
      <c r="BD106" s="67">
        <v>0.85</v>
      </c>
    </row>
    <row r="107" spans="3:56" x14ac:dyDescent="0.25">
      <c r="C107" s="106"/>
      <c r="D107" s="50" t="s">
        <v>43</v>
      </c>
      <c r="E107" s="65"/>
      <c r="F107" s="65"/>
      <c r="G107" s="65"/>
      <c r="H107" s="65"/>
      <c r="I107" s="65"/>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c r="BA107" s="65"/>
      <c r="BB107" s="65"/>
      <c r="BC107" s="65"/>
      <c r="BD107" s="65"/>
    </row>
    <row r="108" spans="3:56" x14ac:dyDescent="0.25">
      <c r="C108" s="106"/>
      <c r="D108" s="51" t="s">
        <v>44</v>
      </c>
      <c r="E108" s="55">
        <f t="shared" ref="E108:BD108" si="34">SUM(E98:E105)</f>
        <v>0</v>
      </c>
      <c r="F108" s="55">
        <f t="shared" si="34"/>
        <v>0</v>
      </c>
      <c r="G108" s="55">
        <f t="shared" si="34"/>
        <v>0</v>
      </c>
      <c r="H108" s="55">
        <f t="shared" si="34"/>
        <v>5</v>
      </c>
      <c r="I108" s="55">
        <f t="shared" si="34"/>
        <v>5</v>
      </c>
      <c r="J108" s="55">
        <f t="shared" si="34"/>
        <v>5</v>
      </c>
      <c r="K108" s="55">
        <f t="shared" si="34"/>
        <v>5</v>
      </c>
      <c r="L108" s="55">
        <f t="shared" si="34"/>
        <v>5</v>
      </c>
      <c r="M108" s="55">
        <f t="shared" si="34"/>
        <v>5</v>
      </c>
      <c r="N108" s="55">
        <f t="shared" si="34"/>
        <v>5</v>
      </c>
      <c r="O108" s="55">
        <f t="shared" si="34"/>
        <v>5</v>
      </c>
      <c r="P108" s="55">
        <f t="shared" si="34"/>
        <v>5</v>
      </c>
      <c r="Q108" s="55">
        <f t="shared" si="34"/>
        <v>5</v>
      </c>
      <c r="R108" s="55">
        <f t="shared" si="34"/>
        <v>5</v>
      </c>
      <c r="S108" s="55">
        <f t="shared" si="34"/>
        <v>5</v>
      </c>
      <c r="T108" s="55">
        <f t="shared" si="34"/>
        <v>5</v>
      </c>
      <c r="U108" s="55">
        <f t="shared" si="34"/>
        <v>4.4000000000000004</v>
      </c>
      <c r="V108" s="55">
        <f t="shared" si="34"/>
        <v>4.4000000000000004</v>
      </c>
      <c r="W108" s="55">
        <f t="shared" si="34"/>
        <v>4.5</v>
      </c>
      <c r="X108" s="55">
        <f t="shared" si="34"/>
        <v>3.5</v>
      </c>
      <c r="Y108" s="55">
        <f t="shared" si="34"/>
        <v>3.4824999999999999</v>
      </c>
      <c r="Z108" s="55">
        <f t="shared" si="34"/>
        <v>3.4650875000000001</v>
      </c>
      <c r="AA108" s="55">
        <f t="shared" si="34"/>
        <v>3.4477620625000003</v>
      </c>
      <c r="AB108" s="55">
        <f t="shared" si="34"/>
        <v>3.4305232521875002</v>
      </c>
      <c r="AC108" s="55">
        <f t="shared" si="34"/>
        <v>3.4133706359265625</v>
      </c>
      <c r="AD108" s="55">
        <f t="shared" si="34"/>
        <v>3.3963037827469296</v>
      </c>
      <c r="AE108" s="55">
        <f t="shared" si="34"/>
        <v>3.379322263833195</v>
      </c>
      <c r="AF108" s="55">
        <f t="shared" si="34"/>
        <v>3.362425652514029</v>
      </c>
      <c r="AG108" s="55">
        <f t="shared" si="34"/>
        <v>3.3456135242514589</v>
      </c>
      <c r="AH108" s="55">
        <f t="shared" si="34"/>
        <v>3.3288854566302017</v>
      </c>
      <c r="AI108" s="55">
        <f t="shared" si="34"/>
        <v>3.3122410293470508</v>
      </c>
      <c r="AJ108" s="55">
        <f t="shared" si="34"/>
        <v>3.2956798242003154</v>
      </c>
      <c r="AK108" s="55">
        <f t="shared" si="34"/>
        <v>3.2792014250793136</v>
      </c>
      <c r="AL108" s="55">
        <f t="shared" si="34"/>
        <v>3.262805417953917</v>
      </c>
      <c r="AM108" s="55">
        <f t="shared" si="34"/>
        <v>3.2464913908641475</v>
      </c>
      <c r="AN108" s="55">
        <f t="shared" si="34"/>
        <v>3.2302589339098269</v>
      </c>
      <c r="AO108" s="55">
        <f t="shared" si="34"/>
        <v>3.2141076392402779</v>
      </c>
      <c r="AP108" s="55">
        <f t="shared" si="34"/>
        <v>3.1980371010440765</v>
      </c>
      <c r="AQ108" s="55">
        <f t="shared" si="34"/>
        <v>3.182046915538856</v>
      </c>
      <c r="AR108" s="55">
        <f t="shared" si="34"/>
        <v>3.1661366809611615</v>
      </c>
      <c r="AS108" s="55">
        <f t="shared" si="34"/>
        <v>3.1503059975563557</v>
      </c>
      <c r="AT108" s="55">
        <f t="shared" si="34"/>
        <v>3.1345544675685737</v>
      </c>
      <c r="AU108" s="55">
        <f t="shared" si="34"/>
        <v>3.1188816952307308</v>
      </c>
      <c r="AV108" s="55">
        <f t="shared" si="34"/>
        <v>3.1032872867545773</v>
      </c>
      <c r="AW108" s="55">
        <f t="shared" si="34"/>
        <v>3.0877708503208043</v>
      </c>
      <c r="AX108" s="55">
        <f t="shared" si="34"/>
        <v>3.0723319960692002</v>
      </c>
      <c r="AY108" s="55">
        <f t="shared" si="34"/>
        <v>3.0569703360888543</v>
      </c>
      <c r="AZ108" s="55">
        <f t="shared" si="34"/>
        <v>3.04168548440841</v>
      </c>
      <c r="BA108" s="55">
        <f t="shared" si="34"/>
        <v>3.0264770569863679</v>
      </c>
      <c r="BB108" s="55">
        <f t="shared" si="34"/>
        <v>3.011344671701436</v>
      </c>
      <c r="BC108" s="55">
        <f t="shared" si="34"/>
        <v>2.9962879483429288</v>
      </c>
      <c r="BD108" s="55">
        <f t="shared" si="34"/>
        <v>2.981306508601214</v>
      </c>
    </row>
    <row r="109" spans="3:56" x14ac:dyDescent="0.25">
      <c r="C109" s="106"/>
      <c r="D109" s="52" t="s">
        <v>45</v>
      </c>
      <c r="E109" s="56">
        <f>E108-E96</f>
        <v>-4</v>
      </c>
      <c r="F109" s="56">
        <f t="shared" ref="F109:BD109" si="35">F108-F96</f>
        <v>-4</v>
      </c>
      <c r="G109" s="56">
        <f t="shared" si="35"/>
        <v>-4</v>
      </c>
      <c r="H109" s="56">
        <f t="shared" si="35"/>
        <v>1</v>
      </c>
      <c r="I109" s="56">
        <f t="shared" si="35"/>
        <v>1</v>
      </c>
      <c r="J109" s="56">
        <f t="shared" si="35"/>
        <v>1</v>
      </c>
      <c r="K109" s="56">
        <f t="shared" si="35"/>
        <v>1</v>
      </c>
      <c r="L109" s="56">
        <f t="shared" si="35"/>
        <v>1</v>
      </c>
      <c r="M109" s="56">
        <f t="shared" si="35"/>
        <v>1</v>
      </c>
      <c r="N109" s="56">
        <f t="shared" si="35"/>
        <v>1</v>
      </c>
      <c r="O109" s="56">
        <f t="shared" si="35"/>
        <v>1</v>
      </c>
      <c r="P109" s="56">
        <f t="shared" si="35"/>
        <v>1</v>
      </c>
      <c r="Q109" s="56">
        <f t="shared" si="35"/>
        <v>1</v>
      </c>
      <c r="R109" s="56">
        <f t="shared" si="35"/>
        <v>1</v>
      </c>
      <c r="S109" s="56">
        <f t="shared" si="35"/>
        <v>1</v>
      </c>
      <c r="T109" s="56">
        <f t="shared" si="35"/>
        <v>1</v>
      </c>
      <c r="U109" s="56">
        <f t="shared" si="35"/>
        <v>0.40000000000000036</v>
      </c>
      <c r="V109" s="56">
        <f t="shared" si="35"/>
        <v>0.40000000000000036</v>
      </c>
      <c r="W109" s="56">
        <f t="shared" si="35"/>
        <v>0.5</v>
      </c>
      <c r="X109" s="56">
        <f t="shared" si="35"/>
        <v>-0.5</v>
      </c>
      <c r="Y109" s="56">
        <f t="shared" si="35"/>
        <v>-0.51750000000000007</v>
      </c>
      <c r="Z109" s="56">
        <f t="shared" si="35"/>
        <v>-0.5349124999999999</v>
      </c>
      <c r="AA109" s="56">
        <f t="shared" si="35"/>
        <v>-0.55223793749999972</v>
      </c>
      <c r="AB109" s="56">
        <f t="shared" si="35"/>
        <v>-0.5694767478124998</v>
      </c>
      <c r="AC109" s="56">
        <f t="shared" si="35"/>
        <v>-0.58662936407343746</v>
      </c>
      <c r="AD109" s="56">
        <f t="shared" si="35"/>
        <v>-0.60369621725307043</v>
      </c>
      <c r="AE109" s="56">
        <f t="shared" si="35"/>
        <v>-0.62067773616680499</v>
      </c>
      <c r="AF109" s="56">
        <f t="shared" si="35"/>
        <v>-0.63757434748597097</v>
      </c>
      <c r="AG109" s="56">
        <f t="shared" si="35"/>
        <v>-0.65438647574854114</v>
      </c>
      <c r="AH109" s="56">
        <f t="shared" si="35"/>
        <v>-0.67111454336979826</v>
      </c>
      <c r="AI109" s="56">
        <f t="shared" si="35"/>
        <v>-0.68775897065294922</v>
      </c>
      <c r="AJ109" s="56">
        <f t="shared" si="35"/>
        <v>-0.70432017579968464</v>
      </c>
      <c r="AK109" s="56">
        <f t="shared" si="35"/>
        <v>-0.72079857492068644</v>
      </c>
      <c r="AL109" s="56">
        <f t="shared" si="35"/>
        <v>-0.73719458204608301</v>
      </c>
      <c r="AM109" s="56">
        <f t="shared" si="35"/>
        <v>-0.75350860913585249</v>
      </c>
      <c r="AN109" s="56">
        <f t="shared" si="35"/>
        <v>-0.76974106609017312</v>
      </c>
      <c r="AO109" s="56">
        <f t="shared" si="35"/>
        <v>-0.78589236075972213</v>
      </c>
      <c r="AP109" s="56">
        <f t="shared" si="35"/>
        <v>-0.80196289895592354</v>
      </c>
      <c r="AQ109" s="56">
        <f t="shared" si="35"/>
        <v>-0.81795308446114401</v>
      </c>
      <c r="AR109" s="56">
        <f t="shared" si="35"/>
        <v>-0.83386331903883848</v>
      </c>
      <c r="AS109" s="56">
        <f t="shared" si="35"/>
        <v>-0.84969400244364435</v>
      </c>
      <c r="AT109" s="56">
        <f t="shared" si="35"/>
        <v>-0.8654455324314263</v>
      </c>
      <c r="AU109" s="56">
        <f t="shared" si="35"/>
        <v>-0.88111830476926922</v>
      </c>
      <c r="AV109" s="56">
        <f t="shared" si="35"/>
        <v>-0.89671271324542268</v>
      </c>
      <c r="AW109" s="56">
        <f t="shared" si="35"/>
        <v>-0.91222914967919566</v>
      </c>
      <c r="AX109" s="56">
        <f t="shared" si="35"/>
        <v>-0.92766800393079984</v>
      </c>
      <c r="AY109" s="56">
        <f t="shared" si="35"/>
        <v>-0.94302966391114573</v>
      </c>
      <c r="AZ109" s="56">
        <f t="shared" si="35"/>
        <v>-0.95831451559158998</v>
      </c>
      <c r="BA109" s="56">
        <f t="shared" si="35"/>
        <v>-0.97352294301363207</v>
      </c>
      <c r="BB109" s="56">
        <f t="shared" si="35"/>
        <v>-0.98865532829856395</v>
      </c>
      <c r="BC109" s="56">
        <f t="shared" si="35"/>
        <v>-1.0037120516570712</v>
      </c>
      <c r="BD109" s="56">
        <f t="shared" si="35"/>
        <v>-1.018693491398786</v>
      </c>
    </row>
    <row r="110" spans="3:56" ht="13.5" customHeight="1" x14ac:dyDescent="0.25">
      <c r="C110" s="48"/>
      <c r="E110" s="42"/>
      <c r="F110" s="42"/>
      <c r="G110" s="42"/>
      <c r="H110" s="42"/>
      <c r="I110" s="42"/>
      <c r="J110" s="42"/>
      <c r="K110" s="42"/>
      <c r="L110" s="42"/>
      <c r="M110" s="42"/>
    </row>
    <row r="111" spans="3:56" x14ac:dyDescent="0.25">
      <c r="E111" s="82">
        <f t="shared" ref="E111:AJ111" si="36">E2</f>
        <v>44569</v>
      </c>
      <c r="F111" s="82">
        <f t="shared" si="36"/>
        <v>44576</v>
      </c>
      <c r="G111" s="82">
        <f t="shared" si="36"/>
        <v>44583</v>
      </c>
      <c r="H111" s="82">
        <f t="shared" si="36"/>
        <v>44590</v>
      </c>
      <c r="I111" s="82">
        <f t="shared" si="36"/>
        <v>44597</v>
      </c>
      <c r="J111" s="82">
        <f t="shared" si="36"/>
        <v>44604</v>
      </c>
      <c r="K111" s="82">
        <f t="shared" si="36"/>
        <v>44611</v>
      </c>
      <c r="L111" s="82">
        <f t="shared" si="36"/>
        <v>44618</v>
      </c>
      <c r="M111" s="82">
        <f t="shared" si="36"/>
        <v>44625</v>
      </c>
      <c r="N111" s="82">
        <f t="shared" si="36"/>
        <v>44632</v>
      </c>
      <c r="O111" s="82">
        <f t="shared" si="36"/>
        <v>44639</v>
      </c>
      <c r="P111" s="82">
        <f t="shared" si="36"/>
        <v>44646</v>
      </c>
      <c r="Q111" s="82">
        <f t="shared" si="36"/>
        <v>44653</v>
      </c>
      <c r="R111" s="82">
        <f t="shared" si="36"/>
        <v>44660</v>
      </c>
      <c r="S111" s="82">
        <f t="shared" si="36"/>
        <v>44667</v>
      </c>
      <c r="T111" s="82">
        <f t="shared" si="36"/>
        <v>44674</v>
      </c>
      <c r="U111" s="82">
        <f t="shared" si="36"/>
        <v>44681</v>
      </c>
      <c r="V111" s="82">
        <f t="shared" si="36"/>
        <v>44688</v>
      </c>
      <c r="W111" s="82">
        <f t="shared" si="36"/>
        <v>44695</v>
      </c>
      <c r="X111" s="82">
        <f t="shared" si="36"/>
        <v>44702</v>
      </c>
      <c r="Y111" s="82">
        <f t="shared" si="36"/>
        <v>44709</v>
      </c>
      <c r="Z111" s="82">
        <f t="shared" si="36"/>
        <v>44716</v>
      </c>
      <c r="AA111" s="82">
        <f t="shared" si="36"/>
        <v>44723</v>
      </c>
      <c r="AB111" s="82">
        <f t="shared" si="36"/>
        <v>44730</v>
      </c>
      <c r="AC111" s="82">
        <f t="shared" si="36"/>
        <v>44737</v>
      </c>
      <c r="AD111" s="82">
        <f t="shared" si="36"/>
        <v>44744</v>
      </c>
      <c r="AE111" s="82">
        <f t="shared" si="36"/>
        <v>44751</v>
      </c>
      <c r="AF111" s="82">
        <f t="shared" si="36"/>
        <v>44758</v>
      </c>
      <c r="AG111" s="82">
        <f t="shared" si="36"/>
        <v>44765</v>
      </c>
      <c r="AH111" s="82">
        <f t="shared" si="36"/>
        <v>44772</v>
      </c>
      <c r="AI111" s="82">
        <f t="shared" si="36"/>
        <v>44779</v>
      </c>
      <c r="AJ111" s="82">
        <f t="shared" si="36"/>
        <v>44786</v>
      </c>
      <c r="AK111" s="82">
        <f t="shared" ref="AK111:BD111" si="37">AK2</f>
        <v>44793</v>
      </c>
      <c r="AL111" s="82">
        <f t="shared" si="37"/>
        <v>44800</v>
      </c>
      <c r="AM111" s="82">
        <f t="shared" si="37"/>
        <v>44807</v>
      </c>
      <c r="AN111" s="82">
        <f t="shared" si="37"/>
        <v>44814</v>
      </c>
      <c r="AO111" s="82">
        <f t="shared" si="37"/>
        <v>44821</v>
      </c>
      <c r="AP111" s="82">
        <f t="shared" si="37"/>
        <v>44828</v>
      </c>
      <c r="AQ111" s="82">
        <f t="shared" si="37"/>
        <v>44835</v>
      </c>
      <c r="AR111" s="82">
        <f t="shared" si="37"/>
        <v>44842</v>
      </c>
      <c r="AS111" s="82">
        <f t="shared" si="37"/>
        <v>44849</v>
      </c>
      <c r="AT111" s="82">
        <f t="shared" si="37"/>
        <v>44856</v>
      </c>
      <c r="AU111" s="82">
        <f t="shared" si="37"/>
        <v>44863</v>
      </c>
      <c r="AV111" s="82">
        <f t="shared" si="37"/>
        <v>44870</v>
      </c>
      <c r="AW111" s="82">
        <f t="shared" si="37"/>
        <v>44877</v>
      </c>
      <c r="AX111" s="82">
        <f t="shared" si="37"/>
        <v>44884</v>
      </c>
      <c r="AY111" s="82">
        <f t="shared" si="37"/>
        <v>44891</v>
      </c>
      <c r="AZ111" s="82">
        <f t="shared" si="37"/>
        <v>44898</v>
      </c>
      <c r="BA111" s="82">
        <f t="shared" si="37"/>
        <v>44905</v>
      </c>
      <c r="BB111" s="82">
        <f t="shared" si="37"/>
        <v>44912</v>
      </c>
      <c r="BC111" s="82">
        <f t="shared" si="37"/>
        <v>44919</v>
      </c>
      <c r="BD111" s="82">
        <f t="shared" si="37"/>
        <v>44926</v>
      </c>
    </row>
    <row r="112" spans="3:56" x14ac:dyDescent="0.25">
      <c r="D112" s="41" t="s">
        <v>33</v>
      </c>
      <c r="E112" s="44">
        <f t="shared" ref="E112:AJ112" si="38">SUM(E7,E38,E59,E79,E96)</f>
        <v>159.06764704412336</v>
      </c>
      <c r="F112" s="44">
        <f t="shared" si="38"/>
        <v>126.31620223362204</v>
      </c>
      <c r="G112" s="44">
        <f t="shared" si="38"/>
        <v>100.44613295975923</v>
      </c>
      <c r="H112" s="44">
        <f t="shared" si="38"/>
        <v>93.745229847815708</v>
      </c>
      <c r="I112" s="44">
        <f t="shared" si="38"/>
        <v>90.486302304400155</v>
      </c>
      <c r="J112" s="44">
        <f t="shared" si="38"/>
        <v>83.130437359950278</v>
      </c>
      <c r="K112" s="44">
        <f t="shared" si="38"/>
        <v>71.285459441641379</v>
      </c>
      <c r="L112" s="44">
        <f t="shared" si="38"/>
        <v>71.731977273945304</v>
      </c>
      <c r="M112" s="44">
        <f t="shared" si="38"/>
        <v>73.310413596101696</v>
      </c>
      <c r="N112" s="44">
        <f t="shared" si="38"/>
        <v>82.058140475662725</v>
      </c>
      <c r="O112" s="44">
        <f t="shared" si="38"/>
        <v>93.080055924258289</v>
      </c>
      <c r="P112" s="44">
        <f t="shared" si="38"/>
        <v>91.268020427659621</v>
      </c>
      <c r="Q112" s="44">
        <f t="shared" si="38"/>
        <v>74.988215979864549</v>
      </c>
      <c r="R112" s="44">
        <f t="shared" si="38"/>
        <v>75.477763562647311</v>
      </c>
      <c r="S112" s="44">
        <f t="shared" si="38"/>
        <v>78.235999022723107</v>
      </c>
      <c r="T112" s="44">
        <f t="shared" si="38"/>
        <v>81.835004965254527</v>
      </c>
      <c r="U112" s="44">
        <f t="shared" si="38"/>
        <v>83.585550964607094</v>
      </c>
      <c r="V112" s="44">
        <f t="shared" si="38"/>
        <v>91.175361137559662</v>
      </c>
      <c r="W112" s="44">
        <f t="shared" si="38"/>
        <v>89.680904184240688</v>
      </c>
      <c r="X112" s="44">
        <f t="shared" si="38"/>
        <v>93.633894390432587</v>
      </c>
      <c r="Y112" s="44">
        <f t="shared" si="38"/>
        <v>86.162778989107508</v>
      </c>
      <c r="Z112" s="44">
        <f t="shared" si="38"/>
        <v>78.77337088345557</v>
      </c>
      <c r="AA112" s="44">
        <f t="shared" si="38"/>
        <v>93.905472097122811</v>
      </c>
      <c r="AB112" s="44">
        <f t="shared" si="38"/>
        <v>89.415782110306338</v>
      </c>
      <c r="AC112" s="44">
        <f t="shared" si="38"/>
        <v>84.943740055544424</v>
      </c>
      <c r="AD112" s="44">
        <f t="shared" si="38"/>
        <v>72.673222836262909</v>
      </c>
      <c r="AE112" s="44">
        <f t="shared" si="38"/>
        <v>65.719405978781566</v>
      </c>
      <c r="AF112" s="44">
        <f t="shared" si="38"/>
        <v>72.029907771828448</v>
      </c>
      <c r="AG112" s="44">
        <f t="shared" si="38"/>
        <v>65.414311106615429</v>
      </c>
      <c r="AH112" s="44">
        <f t="shared" si="38"/>
        <v>76.92697911909184</v>
      </c>
      <c r="AI112" s="44">
        <f t="shared" si="38"/>
        <v>78.218214667813598</v>
      </c>
      <c r="AJ112" s="44">
        <f t="shared" si="38"/>
        <v>86.798353261895471</v>
      </c>
      <c r="AK112" s="44">
        <f t="shared" ref="AK112:BD112" si="39">SUM(AK7,AK38,AK59,AK79,AK96)</f>
        <v>89.305060210994043</v>
      </c>
      <c r="AL112" s="44">
        <f t="shared" si="39"/>
        <v>88.495856106153397</v>
      </c>
      <c r="AM112" s="44">
        <f t="shared" si="39"/>
        <v>78.594336678575488</v>
      </c>
      <c r="AN112" s="44">
        <f t="shared" si="39"/>
        <v>70.341877187185986</v>
      </c>
      <c r="AO112" s="44">
        <f t="shared" si="39"/>
        <v>71.476593048196065</v>
      </c>
      <c r="AP112" s="44">
        <f t="shared" si="39"/>
        <v>74.594827627787069</v>
      </c>
      <c r="AQ112" s="44">
        <f t="shared" si="39"/>
        <v>80.197883542323581</v>
      </c>
      <c r="AR112" s="44">
        <f t="shared" si="39"/>
        <v>81.39873287508243</v>
      </c>
      <c r="AS112" s="44">
        <f t="shared" si="39"/>
        <v>85.191398303634358</v>
      </c>
      <c r="AT112" s="44">
        <f t="shared" si="39"/>
        <v>86.724210411865542</v>
      </c>
      <c r="AU112" s="44">
        <f t="shared" si="39"/>
        <v>95.514458806968264</v>
      </c>
      <c r="AV112" s="44">
        <f t="shared" si="39"/>
        <v>113.81595226657983</v>
      </c>
      <c r="AW112" s="44">
        <f t="shared" si="39"/>
        <v>124.83489864135338</v>
      </c>
      <c r="AX112" s="44">
        <f t="shared" si="39"/>
        <v>122.93751618809503</v>
      </c>
      <c r="AY112" s="44">
        <f t="shared" si="39"/>
        <v>242.2853229578684</v>
      </c>
      <c r="AZ112" s="44">
        <f t="shared" si="39"/>
        <v>325.41473402287761</v>
      </c>
      <c r="BA112" s="44">
        <f t="shared" si="39"/>
        <v>285.81478498100194</v>
      </c>
      <c r="BB112" s="44">
        <f t="shared" si="39"/>
        <v>240.01343354823092</v>
      </c>
      <c r="BC112" s="44">
        <f t="shared" si="39"/>
        <v>145.58956489059213</v>
      </c>
      <c r="BD112" s="44">
        <f t="shared" si="39"/>
        <v>132.22632519692715</v>
      </c>
    </row>
    <row r="113" spans="3:56" x14ac:dyDescent="0.25">
      <c r="C113" s="103" t="s">
        <v>33</v>
      </c>
      <c r="D113" s="73" t="str">
        <f t="shared" ref="D113:D119" si="40">D18&amp;" VERTICAL REQ"</f>
        <v>Melbourne VERTICAL REQ</v>
      </c>
      <c r="E113" s="76">
        <f>IFERROR(E$112*SUM(E124/SUM(E$124:E$130)),0)</f>
        <v>27.864987445225104</v>
      </c>
      <c r="F113" s="76">
        <f t="shared" ref="F113:BD113" si="41">IFERROR(F$112*SUM(F124/SUM(F$124:F$130)),0)</f>
        <v>28.24094699142719</v>
      </c>
      <c r="G113" s="76">
        <f t="shared" si="41"/>
        <v>29.434135402274148</v>
      </c>
      <c r="H113" s="76">
        <f t="shared" si="41"/>
        <v>46.242683933690465</v>
      </c>
      <c r="I113" s="76">
        <f t="shared" si="41"/>
        <v>44.315378346338782</v>
      </c>
      <c r="J113" s="76">
        <f t="shared" si="41"/>
        <v>41.455271702111716</v>
      </c>
      <c r="K113" s="76">
        <f t="shared" si="41"/>
        <v>37.104262321731348</v>
      </c>
      <c r="L113" s="76">
        <f t="shared" si="41"/>
        <v>36.703418714741744</v>
      </c>
      <c r="M113" s="76">
        <f t="shared" si="41"/>
        <v>37.080046681943799</v>
      </c>
      <c r="N113" s="76">
        <f t="shared" si="41"/>
        <v>42.073369248345379</v>
      </c>
      <c r="O113" s="76">
        <f t="shared" si="41"/>
        <v>46.761523499665358</v>
      </c>
      <c r="P113" s="76">
        <f t="shared" si="41"/>
        <v>45.472826300753752</v>
      </c>
      <c r="Q113" s="76">
        <f t="shared" si="41"/>
        <v>37.359415415584643</v>
      </c>
      <c r="R113" s="76">
        <f t="shared" si="41"/>
        <v>35.197849330907225</v>
      </c>
      <c r="S113" s="76">
        <f t="shared" si="41"/>
        <v>37.194486031523141</v>
      </c>
      <c r="T113" s="76">
        <f t="shared" si="41"/>
        <v>39.330952703902987</v>
      </c>
      <c r="U113" s="76">
        <f t="shared" si="41"/>
        <v>37.588687270803796</v>
      </c>
      <c r="V113" s="76">
        <f t="shared" si="41"/>
        <v>41.161476873026551</v>
      </c>
      <c r="W113" s="76">
        <f t="shared" si="41"/>
        <v>41.255005172033854</v>
      </c>
      <c r="X113" s="76">
        <f t="shared" si="41"/>
        <v>42.393194361677601</v>
      </c>
      <c r="Y113" s="76">
        <f t="shared" si="41"/>
        <v>36.876669753558872</v>
      </c>
      <c r="Z113" s="76">
        <f t="shared" si="41"/>
        <v>33.844942015877841</v>
      </c>
      <c r="AA113" s="76">
        <f t="shared" si="41"/>
        <v>37.594052911536942</v>
      </c>
      <c r="AB113" s="76">
        <f t="shared" si="41"/>
        <v>35.759079057310473</v>
      </c>
      <c r="AC113" s="76">
        <f t="shared" si="41"/>
        <v>33.935406743864405</v>
      </c>
      <c r="AD113" s="76">
        <f t="shared" si="41"/>
        <v>30.058005700621283</v>
      </c>
      <c r="AE113" s="76">
        <f t="shared" si="41"/>
        <v>27.165356106682136</v>
      </c>
      <c r="AF113" s="76">
        <f t="shared" si="41"/>
        <v>30.132213102216092</v>
      </c>
      <c r="AG113" s="76">
        <f t="shared" si="41"/>
        <v>27.348662640268632</v>
      </c>
      <c r="AH113" s="76">
        <f t="shared" si="41"/>
        <v>32.143468376355649</v>
      </c>
      <c r="AI113" s="76">
        <f t="shared" si="41"/>
        <v>30.546692221667847</v>
      </c>
      <c r="AJ113" s="76">
        <f t="shared" si="41"/>
        <v>29.693691249662926</v>
      </c>
      <c r="AK113" s="76">
        <f t="shared" si="41"/>
        <v>30.550441543746352</v>
      </c>
      <c r="AL113" s="76">
        <f t="shared" si="41"/>
        <v>28.806060247310491</v>
      </c>
      <c r="AM113" s="76">
        <f t="shared" si="41"/>
        <v>25.583300565803626</v>
      </c>
      <c r="AN113" s="76">
        <f t="shared" si="41"/>
        <v>22.809059152027537</v>
      </c>
      <c r="AO113" s="76">
        <f t="shared" si="41"/>
        <v>23.089183291153848</v>
      </c>
      <c r="AP113" s="76">
        <f t="shared" si="41"/>
        <v>24.006515810356529</v>
      </c>
      <c r="AQ113" s="76">
        <f t="shared" si="41"/>
        <v>25.714882628654383</v>
      </c>
      <c r="AR113" s="76">
        <f t="shared" si="41"/>
        <v>26.005617090557909</v>
      </c>
      <c r="AS113" s="76">
        <f t="shared" si="41"/>
        <v>27.186883431296749</v>
      </c>
      <c r="AT113" s="76">
        <f t="shared" si="41"/>
        <v>23.168665030199051</v>
      </c>
      <c r="AU113" s="76">
        <f t="shared" si="41"/>
        <v>17.034916693898001</v>
      </c>
      <c r="AV113" s="76">
        <f t="shared" si="41"/>
        <v>15.556801279579767</v>
      </c>
      <c r="AW113" s="76">
        <f t="shared" si="41"/>
        <v>23.019785126259109</v>
      </c>
      <c r="AX113" s="76">
        <f t="shared" si="41"/>
        <v>20.995407258991804</v>
      </c>
      <c r="AY113" s="76">
        <f t="shared" si="41"/>
        <v>31.74439313859687</v>
      </c>
      <c r="AZ113" s="76">
        <f t="shared" si="41"/>
        <v>38.087074810190963</v>
      </c>
      <c r="BA113" s="76">
        <f t="shared" si="41"/>
        <v>33.452089599388259</v>
      </c>
      <c r="BB113" s="76">
        <f t="shared" si="41"/>
        <v>27.575814051614415</v>
      </c>
      <c r="BC113" s="76">
        <f t="shared" si="41"/>
        <v>16.464309434292772</v>
      </c>
      <c r="BD113" s="76">
        <f t="shared" si="41"/>
        <v>14.811172032036168</v>
      </c>
    </row>
    <row r="114" spans="3:56" x14ac:dyDescent="0.25">
      <c r="C114" s="103"/>
      <c r="D114" s="73" t="str">
        <f t="shared" si="40"/>
        <v>Virtual VERTICAL REQ</v>
      </c>
      <c r="E114" s="76">
        <f t="shared" ref="E114:BD114" si="42">IFERROR(E$112*SUM(E125/SUM(E$124:E$130)),0)</f>
        <v>27.810328780169737</v>
      </c>
      <c r="F114" s="76">
        <f>IFERROR(F$112*SUM(F125/SUM(F$124:F$130)),0)</f>
        <v>16.800624227688143</v>
      </c>
      <c r="G114" s="76">
        <f>IFERROR(G$112*SUM(G125/SUM(G$124:G$130)),0)</f>
        <v>8.9095574122793657</v>
      </c>
      <c r="H114" s="76">
        <f>IFERROR(H$112*SUM(H125/SUM(H$124:H$130)),0)</f>
        <v>8.9521220779353445</v>
      </c>
      <c r="I114" s="76">
        <f>IFERROR(I$112*SUM(I125/SUM(I$124:I$130)),0)</f>
        <v>7.8164358451275122</v>
      </c>
      <c r="J114" s="76">
        <f t="shared" si="42"/>
        <v>7.3119644645583159</v>
      </c>
      <c r="K114" s="76">
        <f t="shared" si="42"/>
        <v>5.9637801172415816</v>
      </c>
      <c r="L114" s="76">
        <f t="shared" si="42"/>
        <v>6.2405390405947365</v>
      </c>
      <c r="M114" s="76">
        <f t="shared" si="42"/>
        <v>14.52453438962922</v>
      </c>
      <c r="N114" s="76">
        <f t="shared" si="42"/>
        <v>16.03722052659084</v>
      </c>
      <c r="O114" s="76">
        <f t="shared" si="42"/>
        <v>16.20879231922968</v>
      </c>
      <c r="P114" s="76">
        <f t="shared" si="42"/>
        <v>16.516610386971024</v>
      </c>
      <c r="Q114" s="76">
        <f t="shared" si="42"/>
        <v>13.573076873848716</v>
      </c>
      <c r="R114" s="76">
        <f t="shared" si="42"/>
        <v>13.951602587745208</v>
      </c>
      <c r="S114" s="76">
        <f t="shared" si="42"/>
        <v>14.91228076768968</v>
      </c>
      <c r="T114" s="76">
        <f t="shared" si="42"/>
        <v>14.87394612408181</v>
      </c>
      <c r="U114" s="76">
        <f t="shared" si="42"/>
        <v>16.773049542438692</v>
      </c>
      <c r="V114" s="76">
        <f t="shared" si="42"/>
        <v>18.654008674308869</v>
      </c>
      <c r="W114" s="76">
        <f t="shared" si="42"/>
        <v>18.124130507469729</v>
      </c>
      <c r="X114" s="76">
        <f t="shared" si="42"/>
        <v>19.038043344942004</v>
      </c>
      <c r="Y114" s="76">
        <f t="shared" si="42"/>
        <v>16.585582556045569</v>
      </c>
      <c r="Z114" s="76">
        <f t="shared" si="42"/>
        <v>15.245140466094949</v>
      </c>
      <c r="AA114" s="76">
        <f t="shared" si="42"/>
        <v>16.949334316085917</v>
      </c>
      <c r="AB114" s="76">
        <f t="shared" si="42"/>
        <v>16.136808109827403</v>
      </c>
      <c r="AC114" s="76">
        <f t="shared" si="42"/>
        <v>15.327951521747627</v>
      </c>
      <c r="AD114" s="76">
        <f t="shared" si="42"/>
        <v>13.589168323046488</v>
      </c>
      <c r="AE114" s="76">
        <f t="shared" si="42"/>
        <v>12.256451352632611</v>
      </c>
      <c r="AF114" s="76">
        <f t="shared" si="42"/>
        <v>13.567203246543983</v>
      </c>
      <c r="AG114" s="76">
        <f t="shared" si="42"/>
        <v>12.288495324903435</v>
      </c>
      <c r="AH114" s="76">
        <f t="shared" si="42"/>
        <v>14.412922418524337</v>
      </c>
      <c r="AI114" s="76">
        <f t="shared" si="42"/>
        <v>13.668272012896253</v>
      </c>
      <c r="AJ114" s="76">
        <f t="shared" si="42"/>
        <v>25.890657138447445</v>
      </c>
      <c r="AK114" s="76">
        <f t="shared" si="42"/>
        <v>26.572028973276776</v>
      </c>
      <c r="AL114" s="76">
        <f t="shared" si="42"/>
        <v>24.992605292385324</v>
      </c>
      <c r="AM114" s="76">
        <f t="shared" si="42"/>
        <v>22.140978632999431</v>
      </c>
      <c r="AN114" s="76">
        <f t="shared" si="42"/>
        <v>19.629315419036637</v>
      </c>
      <c r="AO114" s="76">
        <f t="shared" si="42"/>
        <v>19.757215979743588</v>
      </c>
      <c r="AP114" s="76">
        <f t="shared" si="42"/>
        <v>20.423400610052749</v>
      </c>
      <c r="AQ114" s="76">
        <f t="shared" si="42"/>
        <v>21.748440818881495</v>
      </c>
      <c r="AR114" s="76">
        <f t="shared" si="42"/>
        <v>21.863461777500419</v>
      </c>
      <c r="AS114" s="76">
        <f t="shared" si="42"/>
        <v>22.681118507247369</v>
      </c>
      <c r="AT114" s="76">
        <f t="shared" si="42"/>
        <v>23.861288467978184</v>
      </c>
      <c r="AU114" s="76">
        <f t="shared" si="42"/>
        <v>33.28981669434684</v>
      </c>
      <c r="AV114" s="76">
        <f t="shared" si="42"/>
        <v>39.977076655450873</v>
      </c>
      <c r="AW114" s="76">
        <f t="shared" si="42"/>
        <v>52.473035745104482</v>
      </c>
      <c r="AX114" s="76">
        <f t="shared" si="42"/>
        <v>47.936418727717523</v>
      </c>
      <c r="AY114" s="76">
        <f t="shared" si="42"/>
        <v>105.67307225114365</v>
      </c>
      <c r="AZ114" s="76">
        <f t="shared" si="42"/>
        <v>126.92245301945067</v>
      </c>
      <c r="BA114" s="76">
        <f t="shared" si="42"/>
        <v>111.51651988974058</v>
      </c>
      <c r="BB114" s="76">
        <f t="shared" si="42"/>
        <v>91.418772826326688</v>
      </c>
      <c r="BC114" s="76">
        <f t="shared" si="42"/>
        <v>53.973899281690755</v>
      </c>
      <c r="BD114" s="76">
        <f t="shared" si="42"/>
        <v>47.256491089201106</v>
      </c>
    </row>
    <row r="115" spans="3:56" x14ac:dyDescent="0.25">
      <c r="C115" s="103"/>
      <c r="D115" s="73" t="str">
        <f t="shared" si="40"/>
        <v>Brunswick VERTICAL REQ</v>
      </c>
      <c r="E115" s="76">
        <f t="shared" ref="E115:BD115" si="43">IFERROR(E$112*SUM(E126/SUM(E$124:E$130)),0)</f>
        <v>0</v>
      </c>
      <c r="F115" s="76">
        <f t="shared" si="43"/>
        <v>0</v>
      </c>
      <c r="G115" s="76">
        <f t="shared" si="43"/>
        <v>0</v>
      </c>
      <c r="H115" s="76">
        <f t="shared" si="43"/>
        <v>0</v>
      </c>
      <c r="I115" s="76">
        <f t="shared" si="43"/>
        <v>0</v>
      </c>
      <c r="J115" s="76">
        <f t="shared" si="43"/>
        <v>0</v>
      </c>
      <c r="K115" s="76">
        <f t="shared" si="43"/>
        <v>0</v>
      </c>
      <c r="L115" s="76">
        <f t="shared" si="43"/>
        <v>0</v>
      </c>
      <c r="M115" s="76">
        <f t="shared" si="43"/>
        <v>0</v>
      </c>
      <c r="N115" s="76">
        <f t="shared" si="43"/>
        <v>0</v>
      </c>
      <c r="O115" s="76">
        <f t="shared" si="43"/>
        <v>0</v>
      </c>
      <c r="P115" s="76">
        <f t="shared" si="43"/>
        <v>0</v>
      </c>
      <c r="Q115" s="76">
        <f t="shared" si="43"/>
        <v>0</v>
      </c>
      <c r="R115" s="76">
        <f t="shared" si="43"/>
        <v>0</v>
      </c>
      <c r="S115" s="76">
        <f t="shared" si="43"/>
        <v>0</v>
      </c>
      <c r="T115" s="76">
        <f t="shared" si="43"/>
        <v>0</v>
      </c>
      <c r="U115" s="76">
        <f t="shared" si="43"/>
        <v>0</v>
      </c>
      <c r="V115" s="76">
        <f t="shared" si="43"/>
        <v>0</v>
      </c>
      <c r="W115" s="76">
        <f t="shared" si="43"/>
        <v>0</v>
      </c>
      <c r="X115" s="76">
        <f t="shared" si="43"/>
        <v>0</v>
      </c>
      <c r="Y115" s="76">
        <f t="shared" si="43"/>
        <v>0</v>
      </c>
      <c r="Z115" s="76">
        <f t="shared" si="43"/>
        <v>0</v>
      </c>
      <c r="AA115" s="76">
        <f t="shared" si="43"/>
        <v>0</v>
      </c>
      <c r="AB115" s="76">
        <f t="shared" si="43"/>
        <v>0</v>
      </c>
      <c r="AC115" s="76">
        <f t="shared" si="43"/>
        <v>0</v>
      </c>
      <c r="AD115" s="76">
        <f t="shared" si="43"/>
        <v>0</v>
      </c>
      <c r="AE115" s="76">
        <f t="shared" si="43"/>
        <v>0</v>
      </c>
      <c r="AF115" s="76">
        <f t="shared" si="43"/>
        <v>0</v>
      </c>
      <c r="AG115" s="76">
        <f t="shared" si="43"/>
        <v>0</v>
      </c>
      <c r="AH115" s="76">
        <f t="shared" si="43"/>
        <v>0</v>
      </c>
      <c r="AI115" s="76">
        <f t="shared" si="43"/>
        <v>0</v>
      </c>
      <c r="AJ115" s="76">
        <f t="shared" si="43"/>
        <v>0</v>
      </c>
      <c r="AK115" s="76">
        <f t="shared" si="43"/>
        <v>0</v>
      </c>
      <c r="AL115" s="76">
        <f t="shared" si="43"/>
        <v>0</v>
      </c>
      <c r="AM115" s="76">
        <f t="shared" si="43"/>
        <v>0</v>
      </c>
      <c r="AN115" s="76">
        <f t="shared" si="43"/>
        <v>0</v>
      </c>
      <c r="AO115" s="76">
        <f t="shared" si="43"/>
        <v>0</v>
      </c>
      <c r="AP115" s="76">
        <f t="shared" si="43"/>
        <v>0</v>
      </c>
      <c r="AQ115" s="76">
        <f t="shared" si="43"/>
        <v>0</v>
      </c>
      <c r="AR115" s="76">
        <f t="shared" si="43"/>
        <v>0</v>
      </c>
      <c r="AS115" s="76">
        <f t="shared" si="43"/>
        <v>0</v>
      </c>
      <c r="AT115" s="76">
        <f t="shared" si="43"/>
        <v>0</v>
      </c>
      <c r="AU115" s="76">
        <f t="shared" si="43"/>
        <v>0</v>
      </c>
      <c r="AV115" s="76">
        <f t="shared" si="43"/>
        <v>0</v>
      </c>
      <c r="AW115" s="76">
        <f t="shared" si="43"/>
        <v>0</v>
      </c>
      <c r="AX115" s="76">
        <f t="shared" si="43"/>
        <v>0</v>
      </c>
      <c r="AY115" s="76">
        <f t="shared" si="43"/>
        <v>0</v>
      </c>
      <c r="AZ115" s="76">
        <f t="shared" si="43"/>
        <v>0</v>
      </c>
      <c r="BA115" s="76">
        <f t="shared" si="43"/>
        <v>0</v>
      </c>
      <c r="BB115" s="76">
        <f t="shared" si="43"/>
        <v>0</v>
      </c>
      <c r="BC115" s="76">
        <f t="shared" si="43"/>
        <v>0</v>
      </c>
      <c r="BD115" s="76">
        <f t="shared" si="43"/>
        <v>0</v>
      </c>
    </row>
    <row r="116" spans="3:56" x14ac:dyDescent="0.25">
      <c r="C116" s="103"/>
      <c r="D116" s="73" t="str">
        <f t="shared" si="40"/>
        <v>Melbourne North VERTICAL REQ</v>
      </c>
      <c r="E116" s="76">
        <f t="shared" ref="E116:BD116" si="44">IFERROR(E$112*SUM(E127/SUM(E$124:E$130)),0)</f>
        <v>0</v>
      </c>
      <c r="F116" s="76">
        <f t="shared" si="44"/>
        <v>0</v>
      </c>
      <c r="G116" s="76">
        <f t="shared" si="44"/>
        <v>0</v>
      </c>
      <c r="H116" s="76">
        <f t="shared" si="44"/>
        <v>0</v>
      </c>
      <c r="I116" s="76">
        <f t="shared" si="44"/>
        <v>0</v>
      </c>
      <c r="J116" s="76">
        <f t="shared" si="44"/>
        <v>0</v>
      </c>
      <c r="K116" s="76">
        <f t="shared" si="44"/>
        <v>0</v>
      </c>
      <c r="L116" s="76">
        <f t="shared" si="44"/>
        <v>0</v>
      </c>
      <c r="M116" s="76">
        <f t="shared" si="44"/>
        <v>0</v>
      </c>
      <c r="N116" s="76">
        <f t="shared" si="44"/>
        <v>0</v>
      </c>
      <c r="O116" s="76">
        <f t="shared" si="44"/>
        <v>0</v>
      </c>
      <c r="P116" s="76">
        <f t="shared" si="44"/>
        <v>0</v>
      </c>
      <c r="Q116" s="76">
        <f t="shared" si="44"/>
        <v>0</v>
      </c>
      <c r="R116" s="76">
        <f t="shared" si="44"/>
        <v>0</v>
      </c>
      <c r="S116" s="76">
        <f t="shared" si="44"/>
        <v>0</v>
      </c>
      <c r="T116" s="76">
        <f t="shared" si="44"/>
        <v>0</v>
      </c>
      <c r="U116" s="76">
        <f t="shared" si="44"/>
        <v>0</v>
      </c>
      <c r="V116" s="76">
        <f t="shared" si="44"/>
        <v>0</v>
      </c>
      <c r="W116" s="76">
        <f t="shared" si="44"/>
        <v>0</v>
      </c>
      <c r="X116" s="76">
        <f t="shared" si="44"/>
        <v>0</v>
      </c>
      <c r="Y116" s="76">
        <f t="shared" si="44"/>
        <v>0</v>
      </c>
      <c r="Z116" s="76">
        <f t="shared" si="44"/>
        <v>0</v>
      </c>
      <c r="AA116" s="76">
        <f t="shared" si="44"/>
        <v>0</v>
      </c>
      <c r="AB116" s="76">
        <f t="shared" si="44"/>
        <v>0</v>
      </c>
      <c r="AC116" s="76">
        <f t="shared" si="44"/>
        <v>0</v>
      </c>
      <c r="AD116" s="76">
        <f t="shared" si="44"/>
        <v>0</v>
      </c>
      <c r="AE116" s="76">
        <f t="shared" si="44"/>
        <v>0</v>
      </c>
      <c r="AF116" s="76">
        <f t="shared" si="44"/>
        <v>0</v>
      </c>
      <c r="AG116" s="76">
        <f t="shared" si="44"/>
        <v>0</v>
      </c>
      <c r="AH116" s="76">
        <f t="shared" si="44"/>
        <v>0</v>
      </c>
      <c r="AI116" s="76">
        <f t="shared" si="44"/>
        <v>0</v>
      </c>
      <c r="AJ116" s="76">
        <f t="shared" si="44"/>
        <v>0</v>
      </c>
      <c r="AK116" s="76">
        <f t="shared" si="44"/>
        <v>0</v>
      </c>
      <c r="AL116" s="76">
        <f t="shared" si="44"/>
        <v>0</v>
      </c>
      <c r="AM116" s="76">
        <f t="shared" si="44"/>
        <v>0</v>
      </c>
      <c r="AN116" s="76">
        <f t="shared" si="44"/>
        <v>0</v>
      </c>
      <c r="AO116" s="76">
        <f t="shared" si="44"/>
        <v>0</v>
      </c>
      <c r="AP116" s="76">
        <f t="shared" si="44"/>
        <v>0</v>
      </c>
      <c r="AQ116" s="76">
        <f t="shared" si="44"/>
        <v>0</v>
      </c>
      <c r="AR116" s="76">
        <f t="shared" si="44"/>
        <v>0</v>
      </c>
      <c r="AS116" s="76">
        <f t="shared" si="44"/>
        <v>0</v>
      </c>
      <c r="AT116" s="76">
        <f t="shared" si="44"/>
        <v>0</v>
      </c>
      <c r="AU116" s="76">
        <f t="shared" si="44"/>
        <v>0</v>
      </c>
      <c r="AV116" s="76">
        <f t="shared" si="44"/>
        <v>0</v>
      </c>
      <c r="AW116" s="76">
        <f t="shared" si="44"/>
        <v>0</v>
      </c>
      <c r="AX116" s="76">
        <f t="shared" si="44"/>
        <v>0</v>
      </c>
      <c r="AY116" s="76">
        <f t="shared" si="44"/>
        <v>0</v>
      </c>
      <c r="AZ116" s="76">
        <f t="shared" si="44"/>
        <v>0</v>
      </c>
      <c r="BA116" s="76">
        <f t="shared" si="44"/>
        <v>0</v>
      </c>
      <c r="BB116" s="76">
        <f t="shared" si="44"/>
        <v>0</v>
      </c>
      <c r="BC116" s="76">
        <f t="shared" si="44"/>
        <v>0</v>
      </c>
      <c r="BD116" s="76">
        <f t="shared" si="44"/>
        <v>0</v>
      </c>
    </row>
    <row r="117" spans="3:56" x14ac:dyDescent="0.25">
      <c r="C117" s="103"/>
      <c r="D117" s="73" t="str">
        <f t="shared" si="40"/>
        <v>Pueblo VERTICAL REQ</v>
      </c>
      <c r="E117" s="76">
        <f t="shared" ref="E117:BD117" si="45">IFERROR(E$112*SUM(E128/SUM(E$124:E$130)),0)</f>
        <v>2.9734313790118585</v>
      </c>
      <c r="F117" s="76">
        <f t="shared" si="45"/>
        <v>3.4374678726727659</v>
      </c>
      <c r="G117" s="76">
        <f t="shared" si="45"/>
        <v>6.8414535612388123</v>
      </c>
      <c r="H117" s="76">
        <f t="shared" si="45"/>
        <v>11.037568650001928</v>
      </c>
      <c r="I117" s="76">
        <f t="shared" si="45"/>
        <v>11.988315493881791</v>
      </c>
      <c r="J117" s="76">
        <f t="shared" si="45"/>
        <v>10.501229355282618</v>
      </c>
      <c r="K117" s="76">
        <f t="shared" si="45"/>
        <v>7.212146248519792</v>
      </c>
      <c r="L117" s="76">
        <f t="shared" si="45"/>
        <v>7.8021976674753502</v>
      </c>
      <c r="M117" s="76">
        <f t="shared" si="45"/>
        <v>0</v>
      </c>
      <c r="N117" s="76">
        <f t="shared" si="45"/>
        <v>0</v>
      </c>
      <c r="O117" s="76">
        <f t="shared" si="45"/>
        <v>0</v>
      </c>
      <c r="P117" s="76">
        <f t="shared" si="45"/>
        <v>0</v>
      </c>
      <c r="Q117" s="76">
        <f t="shared" si="45"/>
        <v>0</v>
      </c>
      <c r="R117" s="76">
        <f t="shared" si="45"/>
        <v>0</v>
      </c>
      <c r="S117" s="76">
        <f t="shared" si="45"/>
        <v>0</v>
      </c>
      <c r="T117" s="76">
        <f t="shared" si="45"/>
        <v>0</v>
      </c>
      <c r="U117" s="76">
        <f t="shared" si="45"/>
        <v>0</v>
      </c>
      <c r="V117" s="76">
        <f t="shared" si="45"/>
        <v>0</v>
      </c>
      <c r="W117" s="76">
        <f t="shared" si="45"/>
        <v>0</v>
      </c>
      <c r="X117" s="76">
        <f t="shared" si="45"/>
        <v>0</v>
      </c>
      <c r="Y117" s="76">
        <f t="shared" si="45"/>
        <v>0</v>
      </c>
      <c r="Z117" s="76">
        <f t="shared" si="45"/>
        <v>0</v>
      </c>
      <c r="AA117" s="76">
        <f t="shared" si="45"/>
        <v>0</v>
      </c>
      <c r="AB117" s="76">
        <f t="shared" si="45"/>
        <v>0</v>
      </c>
      <c r="AC117" s="76">
        <f t="shared" si="45"/>
        <v>0</v>
      </c>
      <c r="AD117" s="76">
        <f t="shared" si="45"/>
        <v>0</v>
      </c>
      <c r="AE117" s="76">
        <f t="shared" si="45"/>
        <v>0</v>
      </c>
      <c r="AF117" s="76">
        <f t="shared" si="45"/>
        <v>0</v>
      </c>
      <c r="AG117" s="76">
        <f t="shared" si="45"/>
        <v>0</v>
      </c>
      <c r="AH117" s="76">
        <f t="shared" si="45"/>
        <v>0</v>
      </c>
      <c r="AI117" s="76">
        <f t="shared" si="45"/>
        <v>0</v>
      </c>
      <c r="AJ117" s="76">
        <f t="shared" si="45"/>
        <v>0</v>
      </c>
      <c r="AK117" s="76">
        <f t="shared" si="45"/>
        <v>0</v>
      </c>
      <c r="AL117" s="76">
        <f t="shared" si="45"/>
        <v>0</v>
      </c>
      <c r="AM117" s="76">
        <f t="shared" si="45"/>
        <v>0</v>
      </c>
      <c r="AN117" s="76">
        <f t="shared" si="45"/>
        <v>0</v>
      </c>
      <c r="AO117" s="76">
        <f t="shared" si="45"/>
        <v>0</v>
      </c>
      <c r="AP117" s="76">
        <f t="shared" si="45"/>
        <v>0</v>
      </c>
      <c r="AQ117" s="76">
        <f t="shared" si="45"/>
        <v>0</v>
      </c>
      <c r="AR117" s="76">
        <f t="shared" si="45"/>
        <v>0</v>
      </c>
      <c r="AS117" s="76">
        <f t="shared" si="45"/>
        <v>0</v>
      </c>
      <c r="AT117" s="76">
        <f t="shared" si="45"/>
        <v>0</v>
      </c>
      <c r="AU117" s="76">
        <f t="shared" si="45"/>
        <v>0</v>
      </c>
      <c r="AV117" s="76">
        <f t="shared" si="45"/>
        <v>0</v>
      </c>
      <c r="AW117" s="76">
        <f t="shared" si="45"/>
        <v>0</v>
      </c>
      <c r="AX117" s="76">
        <f t="shared" si="45"/>
        <v>0</v>
      </c>
      <c r="AY117" s="76">
        <f t="shared" si="45"/>
        <v>0</v>
      </c>
      <c r="AZ117" s="76">
        <f t="shared" si="45"/>
        <v>0</v>
      </c>
      <c r="BA117" s="76">
        <f t="shared" si="45"/>
        <v>0</v>
      </c>
      <c r="BB117" s="76">
        <f t="shared" si="45"/>
        <v>0</v>
      </c>
      <c r="BC117" s="76">
        <f t="shared" si="45"/>
        <v>0</v>
      </c>
      <c r="BD117" s="76">
        <f t="shared" si="45"/>
        <v>0</v>
      </c>
    </row>
    <row r="118" spans="3:56" x14ac:dyDescent="0.25">
      <c r="C118" s="103"/>
      <c r="D118" s="73" t="str">
        <f t="shared" si="40"/>
        <v>Iloilo VERTICAL REQ</v>
      </c>
      <c r="E118" s="76">
        <f t="shared" ref="E118:BD118" si="46">IFERROR(E$112*SUM(E129/SUM(E$124:E$130)),0)</f>
        <v>69.963091270867267</v>
      </c>
      <c r="F118" s="76">
        <f t="shared" si="46"/>
        <v>57.577586867268835</v>
      </c>
      <c r="G118" s="76">
        <f t="shared" si="46"/>
        <v>42.592030556262337</v>
      </c>
      <c r="H118" s="76">
        <f t="shared" si="46"/>
        <v>15.914883694107282</v>
      </c>
      <c r="I118" s="76">
        <f t="shared" si="46"/>
        <v>15.251582136834172</v>
      </c>
      <c r="J118" s="76">
        <f t="shared" si="46"/>
        <v>14.267247735723544</v>
      </c>
      <c r="K118" s="76">
        <f t="shared" si="46"/>
        <v>13.464917150095294</v>
      </c>
      <c r="L118" s="76">
        <f t="shared" si="46"/>
        <v>13.932495834777411</v>
      </c>
      <c r="M118" s="76">
        <f t="shared" si="46"/>
        <v>14.410511219604102</v>
      </c>
      <c r="N118" s="76">
        <f t="shared" si="46"/>
        <v>16.515552207397594</v>
      </c>
      <c r="O118" s="76">
        <f t="shared" si="46"/>
        <v>22.429927851768575</v>
      </c>
      <c r="P118" s="76">
        <f t="shared" si="46"/>
        <v>21.80723529852661</v>
      </c>
      <c r="Q118" s="76">
        <f t="shared" si="46"/>
        <v>17.920053275462912</v>
      </c>
      <c r="R118" s="76">
        <f t="shared" si="46"/>
        <v>20.021529767296485</v>
      </c>
      <c r="S118" s="76">
        <f t="shared" si="46"/>
        <v>19.464691211036001</v>
      </c>
      <c r="T118" s="76">
        <f t="shared" si="46"/>
        <v>20.582751130597693</v>
      </c>
      <c r="U118" s="76">
        <f t="shared" si="46"/>
        <v>21.769966817210886</v>
      </c>
      <c r="V118" s="76">
        <f t="shared" si="46"/>
        <v>23.093464869788566</v>
      </c>
      <c r="W118" s="76">
        <f t="shared" si="46"/>
        <v>22.037649821626989</v>
      </c>
      <c r="X118" s="76">
        <f t="shared" si="46"/>
        <v>23.420113951863978</v>
      </c>
      <c r="Y118" s="76">
        <f t="shared" si="46"/>
        <v>25.078944591857795</v>
      </c>
      <c r="Z118" s="76">
        <f t="shared" si="46"/>
        <v>22.703620983635155</v>
      </c>
      <c r="AA118" s="76">
        <f t="shared" si="46"/>
        <v>31.570576258056683</v>
      </c>
      <c r="AB118" s="76">
        <f t="shared" si="46"/>
        <v>30.071891923437043</v>
      </c>
      <c r="AC118" s="76">
        <f t="shared" si="46"/>
        <v>28.577293122435151</v>
      </c>
      <c r="AD118" s="76">
        <f t="shared" si="46"/>
        <v>22.703612958764197</v>
      </c>
      <c r="AE118" s="76">
        <f t="shared" si="46"/>
        <v>20.555652752645624</v>
      </c>
      <c r="AF118" s="76">
        <f t="shared" si="46"/>
        <v>21.930441822373414</v>
      </c>
      <c r="AG118" s="76">
        <f t="shared" si="46"/>
        <v>19.940201016773067</v>
      </c>
      <c r="AH118" s="76">
        <f t="shared" si="46"/>
        <v>23.477251584069432</v>
      </c>
      <c r="AI118" s="76">
        <f t="shared" si="46"/>
        <v>27.420967400092064</v>
      </c>
      <c r="AJ118" s="76">
        <f t="shared" si="46"/>
        <v>24.785041720242692</v>
      </c>
      <c r="AK118" s="76">
        <f t="shared" si="46"/>
        <v>25.536789231042341</v>
      </c>
      <c r="AL118" s="76">
        <f t="shared" si="46"/>
        <v>28.401327146602892</v>
      </c>
      <c r="AM118" s="76">
        <f t="shared" si="46"/>
        <v>25.252363211568873</v>
      </c>
      <c r="AN118" s="76">
        <f t="shared" si="46"/>
        <v>22.810859243670368</v>
      </c>
      <c r="AO118" s="76">
        <f t="shared" si="46"/>
        <v>23.389643667325721</v>
      </c>
      <c r="AP118" s="76">
        <f t="shared" si="46"/>
        <v>24.627244438876104</v>
      </c>
      <c r="AQ118" s="76">
        <f t="shared" si="46"/>
        <v>26.707471971895803</v>
      </c>
      <c r="AR118" s="76">
        <f t="shared" si="46"/>
        <v>27.337946698552777</v>
      </c>
      <c r="AS118" s="76">
        <f t="shared" si="46"/>
        <v>28.839322585775694</v>
      </c>
      <c r="AT118" s="76">
        <f t="shared" si="46"/>
        <v>34.160150985429468</v>
      </c>
      <c r="AU118" s="76">
        <f t="shared" si="46"/>
        <v>41.115396642964278</v>
      </c>
      <c r="AV118" s="76">
        <f t="shared" si="46"/>
        <v>37.78497450845218</v>
      </c>
      <c r="AW118" s="76">
        <f t="shared" si="46"/>
        <v>33.818582383781596</v>
      </c>
      <c r="AX118" s="76">
        <f t="shared" si="46"/>
        <v>32.594249534699621</v>
      </c>
      <c r="AY118" s="76">
        <f t="shared" si="46"/>
        <v>70.845119701742846</v>
      </c>
      <c r="AZ118" s="76">
        <f t="shared" si="46"/>
        <v>92.797605048745069</v>
      </c>
      <c r="BA118" s="76">
        <f t="shared" si="46"/>
        <v>78.569828001607021</v>
      </c>
      <c r="BB118" s="76">
        <f t="shared" si="46"/>
        <v>67.285657052709652</v>
      </c>
      <c r="BC118" s="76">
        <f t="shared" si="46"/>
        <v>41.642096912260264</v>
      </c>
      <c r="BD118" s="76">
        <f t="shared" si="46"/>
        <v>38.740994239987458</v>
      </c>
    </row>
    <row r="119" spans="3:56" x14ac:dyDescent="0.25">
      <c r="C119" s="103"/>
      <c r="D119" s="73" t="str">
        <f t="shared" si="40"/>
        <v>Belize VERTICAL REQ</v>
      </c>
      <c r="E119" s="76">
        <f t="shared" ref="E119:BD119" si="47">IFERROR(E$112*SUM(E130/SUM(E$124:E$130)),0)</f>
        <v>30.455808168849408</v>
      </c>
      <c r="F119" s="76">
        <f t="shared" si="47"/>
        <v>20.259576274565113</v>
      </c>
      <c r="G119" s="76">
        <f t="shared" si="47"/>
        <v>12.668956027704562</v>
      </c>
      <c r="H119" s="76">
        <f t="shared" si="47"/>
        <v>11.597971492080681</v>
      </c>
      <c r="I119" s="76">
        <f t="shared" si="47"/>
        <v>11.114590482217901</v>
      </c>
      <c r="J119" s="76">
        <f t="shared" si="47"/>
        <v>9.5947241022740819</v>
      </c>
      <c r="K119" s="76">
        <f t="shared" si="47"/>
        <v>7.5403536040533634</v>
      </c>
      <c r="L119" s="76">
        <f t="shared" si="47"/>
        <v>7.0533260163560643</v>
      </c>
      <c r="M119" s="76">
        <f t="shared" si="47"/>
        <v>7.2953213049245766</v>
      </c>
      <c r="N119" s="76">
        <f t="shared" si="47"/>
        <v>7.4319984933289165</v>
      </c>
      <c r="O119" s="76">
        <f t="shared" si="47"/>
        <v>7.6798122535946751</v>
      </c>
      <c r="P119" s="76">
        <f t="shared" si="47"/>
        <v>7.4713484414082467</v>
      </c>
      <c r="Q119" s="76">
        <f t="shared" si="47"/>
        <v>6.1356704149682804</v>
      </c>
      <c r="R119" s="76">
        <f t="shared" si="47"/>
        <v>6.306781876698393</v>
      </c>
      <c r="S119" s="76">
        <f t="shared" si="47"/>
        <v>6.6645410124742828</v>
      </c>
      <c r="T119" s="76">
        <f t="shared" si="47"/>
        <v>7.0473550066720367</v>
      </c>
      <c r="U119" s="76">
        <f t="shared" si="47"/>
        <v>7.4538473341537275</v>
      </c>
      <c r="V119" s="76">
        <f t="shared" si="47"/>
        <v>8.2664107204356796</v>
      </c>
      <c r="W119" s="76">
        <f t="shared" si="47"/>
        <v>8.2641186831101212</v>
      </c>
      <c r="X119" s="76">
        <f t="shared" si="47"/>
        <v>8.7825427319489933</v>
      </c>
      <c r="Y119" s="76">
        <f t="shared" si="47"/>
        <v>7.621582087645284</v>
      </c>
      <c r="Z119" s="76">
        <f t="shared" si="47"/>
        <v>6.9796674178476286</v>
      </c>
      <c r="AA119" s="76">
        <f t="shared" si="47"/>
        <v>7.7915086114432555</v>
      </c>
      <c r="AB119" s="76">
        <f t="shared" si="47"/>
        <v>7.4480030197314075</v>
      </c>
      <c r="AC119" s="76">
        <f t="shared" si="47"/>
        <v>7.1030886674972313</v>
      </c>
      <c r="AD119" s="76">
        <f t="shared" si="47"/>
        <v>6.3224358538309353</v>
      </c>
      <c r="AE119" s="76">
        <f t="shared" si="47"/>
        <v>5.7419457668211962</v>
      </c>
      <c r="AF119" s="76">
        <f t="shared" si="47"/>
        <v>6.4000496006949561</v>
      </c>
      <c r="AG119" s="76">
        <f t="shared" si="47"/>
        <v>5.8369521246703098</v>
      </c>
      <c r="AH119" s="76">
        <f t="shared" si="47"/>
        <v>6.893336740142427</v>
      </c>
      <c r="AI119" s="76">
        <f t="shared" si="47"/>
        <v>6.5822830331574291</v>
      </c>
      <c r="AJ119" s="76">
        <f t="shared" si="47"/>
        <v>6.4289631535424112</v>
      </c>
      <c r="AK119" s="76">
        <f t="shared" si="47"/>
        <v>6.6458004629285776</v>
      </c>
      <c r="AL119" s="76">
        <f t="shared" si="47"/>
        <v>6.2958634198546983</v>
      </c>
      <c r="AM119" s="76">
        <f t="shared" si="47"/>
        <v>5.6176942682035547</v>
      </c>
      <c r="AN119" s="76">
        <f t="shared" si="47"/>
        <v>5.0926433724514499</v>
      </c>
      <c r="AO119" s="76">
        <f t="shared" si="47"/>
        <v>5.2405501099728999</v>
      </c>
      <c r="AP119" s="76">
        <f t="shared" si="47"/>
        <v>5.5376667685016887</v>
      </c>
      <c r="AQ119" s="76">
        <f t="shared" si="47"/>
        <v>6.0270881228918887</v>
      </c>
      <c r="AR119" s="76">
        <f t="shared" si="47"/>
        <v>6.1917073084713188</v>
      </c>
      <c r="AS119" s="76">
        <f t="shared" si="47"/>
        <v>6.4840737793145378</v>
      </c>
      <c r="AT119" s="76">
        <f t="shared" si="47"/>
        <v>5.534105928258839</v>
      </c>
      <c r="AU119" s="76">
        <f t="shared" si="47"/>
        <v>4.0743287757591506</v>
      </c>
      <c r="AV119" s="76">
        <f t="shared" si="47"/>
        <v>20.497099823097013</v>
      </c>
      <c r="AW119" s="76">
        <f t="shared" si="47"/>
        <v>15.523495386208188</v>
      </c>
      <c r="AX119" s="76">
        <f t="shared" si="47"/>
        <v>21.411440666686083</v>
      </c>
      <c r="AY119" s="76">
        <f t="shared" si="47"/>
        <v>34.022737866385064</v>
      </c>
      <c r="AZ119" s="76">
        <f t="shared" si="47"/>
        <v>67.607601144490957</v>
      </c>
      <c r="BA119" s="76">
        <f t="shared" si="47"/>
        <v>62.276347490266112</v>
      </c>
      <c r="BB119" s="76">
        <f t="shared" si="47"/>
        <v>53.73318961758018</v>
      </c>
      <c r="BC119" s="76">
        <f t="shared" si="47"/>
        <v>33.509259262348337</v>
      </c>
      <c r="BD119" s="76">
        <f t="shared" si="47"/>
        <v>31.417667835702417</v>
      </c>
    </row>
    <row r="124" spans="3:56" x14ac:dyDescent="0.25">
      <c r="C124" s="103" t="s">
        <v>53</v>
      </c>
      <c r="D124" s="74" t="s">
        <v>34</v>
      </c>
      <c r="E124" s="44">
        <f>SUM(E18,E40,E61,E81,E98)</f>
        <v>31.862500000000001</v>
      </c>
      <c r="F124" s="44">
        <f t="shared" ref="F124:BD124" si="48">SUM(F18,F40,F61,F81,F98)</f>
        <v>32.862499999999997</v>
      </c>
      <c r="G124" s="44">
        <f t="shared" si="48"/>
        <v>33.862499999999997</v>
      </c>
      <c r="H124" s="44">
        <f t="shared" si="48"/>
        <v>58.112499999999997</v>
      </c>
      <c r="I124" s="44">
        <f t="shared" si="48"/>
        <v>58.112499999999997</v>
      </c>
      <c r="J124" s="44">
        <f t="shared" si="48"/>
        <v>58.112499999999997</v>
      </c>
      <c r="K124" s="44">
        <f t="shared" si="48"/>
        <v>55.112499999999997</v>
      </c>
      <c r="L124" s="44">
        <f t="shared" si="48"/>
        <v>52.6875</v>
      </c>
      <c r="M124" s="44">
        <f t="shared" si="48"/>
        <v>51.462499999999999</v>
      </c>
      <c r="N124" s="44">
        <f t="shared" si="48"/>
        <v>50.95</v>
      </c>
      <c r="O124" s="44">
        <f t="shared" si="48"/>
        <v>47.95</v>
      </c>
      <c r="P124" s="44">
        <f t="shared" si="48"/>
        <v>47.96</v>
      </c>
      <c r="Q124" s="44">
        <f t="shared" si="48"/>
        <v>47.95</v>
      </c>
      <c r="R124" s="44">
        <f t="shared" si="48"/>
        <v>43.95</v>
      </c>
      <c r="S124" s="44">
        <f t="shared" si="48"/>
        <v>43.95</v>
      </c>
      <c r="T124" s="44">
        <f t="shared" si="48"/>
        <v>43.95</v>
      </c>
      <c r="U124" s="44">
        <f t="shared" si="48"/>
        <v>39.712499999999999</v>
      </c>
      <c r="V124" s="44">
        <f t="shared" si="48"/>
        <v>39.212499999999999</v>
      </c>
      <c r="W124" s="44">
        <f t="shared" si="48"/>
        <v>39.3125</v>
      </c>
      <c r="X124" s="44">
        <f t="shared" si="48"/>
        <v>38.012500000000003</v>
      </c>
      <c r="Y124" s="44">
        <f t="shared" si="48"/>
        <v>37.15025</v>
      </c>
      <c r="Z124" s="44">
        <f t="shared" si="48"/>
        <v>36.312476875000002</v>
      </c>
      <c r="AA124" s="44">
        <f t="shared" si="48"/>
        <v>35.751437759375001</v>
      </c>
      <c r="AB124" s="44">
        <f t="shared" si="48"/>
        <v>35.200793373953125</v>
      </c>
      <c r="AC124" s="44">
        <f t="shared" si="48"/>
        <v>34.660339954390857</v>
      </c>
      <c r="AD124" s="44">
        <f t="shared" si="48"/>
        <v>34.129877790980252</v>
      </c>
      <c r="AE124" s="44">
        <f t="shared" si="48"/>
        <v>33.609211147659472</v>
      </c>
      <c r="AF124" s="44">
        <f t="shared" si="48"/>
        <v>33.098148182642618</v>
      </c>
      <c r="AG124" s="44">
        <f t="shared" si="48"/>
        <v>32.596500870636419</v>
      </c>
      <c r="AH124" s="44">
        <f t="shared" si="48"/>
        <v>32.10408492661211</v>
      </c>
      <c r="AI124" s="44">
        <f t="shared" si="48"/>
        <v>31.620719731101342</v>
      </c>
      <c r="AJ124" s="44">
        <f t="shared" si="48"/>
        <v>31.146228256985683</v>
      </c>
      <c r="AK124" s="44">
        <f t="shared" si="48"/>
        <v>30.680436997749808</v>
      </c>
      <c r="AL124" s="44">
        <f t="shared" si="48"/>
        <v>30.223175897169124</v>
      </c>
      <c r="AM124" s="44">
        <f t="shared" si="48"/>
        <v>29.774278280403191</v>
      </c>
      <c r="AN124" s="44">
        <f t="shared" si="48"/>
        <v>28.983389463425297</v>
      </c>
      <c r="AO124" s="44">
        <f t="shared" si="48"/>
        <v>28.220851752704181</v>
      </c>
      <c r="AP124" s="44">
        <f t="shared" si="48"/>
        <v>27.485596319546016</v>
      </c>
      <c r="AQ124" s="44">
        <f t="shared" si="48"/>
        <v>26.776594908180641</v>
      </c>
      <c r="AR124" s="44">
        <f t="shared" si="48"/>
        <v>26.092858294203264</v>
      </c>
      <c r="AS124" s="44">
        <f t="shared" si="48"/>
        <v>25.401376668192061</v>
      </c>
      <c r="AT124" s="44">
        <f t="shared" si="48"/>
        <v>24.735793143692522</v>
      </c>
      <c r="AU124" s="44">
        <f t="shared" si="48"/>
        <v>24.095080602461824</v>
      </c>
      <c r="AV124" s="44">
        <f t="shared" si="48"/>
        <v>23.478252966957776</v>
      </c>
      <c r="AW124" s="44">
        <f t="shared" si="48"/>
        <v>44.567509599173064</v>
      </c>
      <c r="AX124" s="44">
        <f t="shared" si="48"/>
        <v>41.043155158522275</v>
      </c>
      <c r="AY124" s="44">
        <f t="shared" si="48"/>
        <v>37.866574179340226</v>
      </c>
      <c r="AZ124" s="44">
        <f t="shared" si="48"/>
        <v>35.003012625393033</v>
      </c>
      <c r="BA124" s="44">
        <f t="shared" si="48"/>
        <v>32.101578476110781</v>
      </c>
      <c r="BB124" s="44">
        <f t="shared" si="48"/>
        <v>29.508262394415542</v>
      </c>
      <c r="BC124" s="44">
        <f t="shared" si="48"/>
        <v>27.189321019356456</v>
      </c>
      <c r="BD124" s="44">
        <f t="shared" si="48"/>
        <v>25.114720595134258</v>
      </c>
    </row>
    <row r="125" spans="3:56" x14ac:dyDescent="0.25">
      <c r="C125" s="103"/>
      <c r="D125" s="74" t="s">
        <v>35</v>
      </c>
      <c r="E125" s="44">
        <f t="shared" ref="E125:BD125" si="49">SUM(E19,E41,E62,E82,E99)</f>
        <v>31.799999999999997</v>
      </c>
      <c r="F125" s="44">
        <f t="shared" si="49"/>
        <v>19.55</v>
      </c>
      <c r="G125" s="44">
        <f t="shared" si="49"/>
        <v>10.25</v>
      </c>
      <c r="H125" s="44">
        <f t="shared" si="49"/>
        <v>11.25</v>
      </c>
      <c r="I125" s="44">
        <f t="shared" si="49"/>
        <v>10.25</v>
      </c>
      <c r="J125" s="44">
        <f t="shared" si="49"/>
        <v>10.25</v>
      </c>
      <c r="K125" s="44">
        <f t="shared" si="49"/>
        <v>8.85825</v>
      </c>
      <c r="L125" s="44">
        <f t="shared" si="49"/>
        <v>8.9582499999999996</v>
      </c>
      <c r="M125" s="44">
        <f t="shared" si="49"/>
        <v>20.158250000000002</v>
      </c>
      <c r="N125" s="44">
        <f t="shared" si="49"/>
        <v>19.420749999999998</v>
      </c>
      <c r="O125" s="44">
        <f t="shared" si="49"/>
        <v>16.620750000000001</v>
      </c>
      <c r="P125" s="44">
        <f t="shared" si="49"/>
        <v>17.420000000000002</v>
      </c>
      <c r="Q125" s="44">
        <f t="shared" si="49"/>
        <v>17.420749999999998</v>
      </c>
      <c r="R125" s="44">
        <f t="shared" si="49"/>
        <v>17.420749999999998</v>
      </c>
      <c r="S125" s="44">
        <f t="shared" si="49"/>
        <v>17.620750000000001</v>
      </c>
      <c r="T125" s="44">
        <f t="shared" si="49"/>
        <v>16.620750000000001</v>
      </c>
      <c r="U125" s="44">
        <f t="shared" si="49"/>
        <v>17.720750000000002</v>
      </c>
      <c r="V125" s="44">
        <f t="shared" si="49"/>
        <v>17.77075</v>
      </c>
      <c r="W125" s="44">
        <f t="shared" si="49"/>
        <v>17.27075</v>
      </c>
      <c r="X125" s="44">
        <f t="shared" si="49"/>
        <v>17.07075</v>
      </c>
      <c r="Y125" s="44">
        <f t="shared" si="49"/>
        <v>16.708627499999999</v>
      </c>
      <c r="Z125" s="44">
        <f t="shared" si="49"/>
        <v>16.356618675</v>
      </c>
      <c r="AA125" s="44">
        <f t="shared" si="49"/>
        <v>16.1185885515</v>
      </c>
      <c r="AB125" s="44">
        <f t="shared" si="49"/>
        <v>15.884873519219997</v>
      </c>
      <c r="AC125" s="44">
        <f t="shared" si="49"/>
        <v>15.655389503891847</v>
      </c>
      <c r="AD125" s="44">
        <f t="shared" si="49"/>
        <v>15.43005410159498</v>
      </c>
      <c r="AE125" s="44">
        <f t="shared" si="49"/>
        <v>15.163786545405143</v>
      </c>
      <c r="AF125" s="44">
        <f t="shared" si="49"/>
        <v>14.902632672709897</v>
      </c>
      <c r="AG125" s="44">
        <f t="shared" si="49"/>
        <v>14.646491268177487</v>
      </c>
      <c r="AH125" s="44">
        <f t="shared" si="49"/>
        <v>14.395263135491117</v>
      </c>
      <c r="AI125" s="44">
        <f t="shared" si="49"/>
        <v>14.148851056995088</v>
      </c>
      <c r="AJ125" s="44">
        <f t="shared" si="49"/>
        <v>27.157159754147909</v>
      </c>
      <c r="AK125" s="44">
        <f t="shared" si="49"/>
        <v>26.685095848766213</v>
      </c>
      <c r="AL125" s="44">
        <f t="shared" si="49"/>
        <v>26.222117825043647</v>
      </c>
      <c r="AM125" s="44">
        <f t="shared" si="49"/>
        <v>25.768045742329267</v>
      </c>
      <c r="AN125" s="44">
        <f t="shared" si="49"/>
        <v>24.942900533439389</v>
      </c>
      <c r="AO125" s="44">
        <f t="shared" si="49"/>
        <v>24.148340639840729</v>
      </c>
      <c r="AP125" s="44">
        <f t="shared" si="49"/>
        <v>23.383207670565458</v>
      </c>
      <c r="AQ125" s="44">
        <f t="shared" si="49"/>
        <v>22.646387234247452</v>
      </c>
      <c r="AR125" s="44">
        <f t="shared" si="49"/>
        <v>21.936807267233711</v>
      </c>
      <c r="AS125" s="44">
        <f t="shared" si="49"/>
        <v>21.191529213505458</v>
      </c>
      <c r="AT125" s="44">
        <f t="shared" si="49"/>
        <v>25.475265619169488</v>
      </c>
      <c r="AU125" s="44">
        <f t="shared" si="49"/>
        <v>47.086864638368915</v>
      </c>
      <c r="AV125" s="44">
        <f t="shared" si="49"/>
        <v>60.333220289196362</v>
      </c>
      <c r="AW125" s="44">
        <f t="shared" si="49"/>
        <v>101.59054532616024</v>
      </c>
      <c r="AX125" s="44">
        <f t="shared" si="49"/>
        <v>93.70915492687044</v>
      </c>
      <c r="AY125" s="44">
        <f t="shared" si="49"/>
        <v>126.05303908901813</v>
      </c>
      <c r="AZ125" s="44">
        <f t="shared" si="49"/>
        <v>116.64503634437584</v>
      </c>
      <c r="BA125" s="44">
        <f t="shared" si="49"/>
        <v>107.01443041360086</v>
      </c>
      <c r="BB125" s="44">
        <f t="shared" si="49"/>
        <v>97.825185914204525</v>
      </c>
      <c r="BC125" s="44">
        <f t="shared" si="49"/>
        <v>89.133023167050311</v>
      </c>
      <c r="BD125" s="44">
        <f t="shared" si="49"/>
        <v>80.130969206531944</v>
      </c>
    </row>
    <row r="126" spans="3:56" x14ac:dyDescent="0.25">
      <c r="C126" s="103"/>
      <c r="D126" s="74" t="s">
        <v>36</v>
      </c>
      <c r="E126" s="44">
        <f t="shared" ref="E126:BD126" si="50">SUM(E20,E42,E63,E83,E100)</f>
        <v>0</v>
      </c>
      <c r="F126" s="44">
        <f t="shared" si="50"/>
        <v>0</v>
      </c>
      <c r="G126" s="44">
        <f t="shared" si="50"/>
        <v>0</v>
      </c>
      <c r="H126" s="44">
        <f t="shared" si="50"/>
        <v>0</v>
      </c>
      <c r="I126" s="44">
        <f t="shared" si="50"/>
        <v>0</v>
      </c>
      <c r="J126" s="44">
        <f t="shared" si="50"/>
        <v>0</v>
      </c>
      <c r="K126" s="44">
        <f t="shared" si="50"/>
        <v>0</v>
      </c>
      <c r="L126" s="44">
        <f t="shared" si="50"/>
        <v>0</v>
      </c>
      <c r="M126" s="44">
        <f t="shared" si="50"/>
        <v>0</v>
      </c>
      <c r="N126" s="44">
        <f t="shared" si="50"/>
        <v>0</v>
      </c>
      <c r="O126" s="44">
        <f t="shared" si="50"/>
        <v>0</v>
      </c>
      <c r="P126" s="44">
        <f t="shared" si="50"/>
        <v>0</v>
      </c>
      <c r="Q126" s="44">
        <f t="shared" si="50"/>
        <v>0</v>
      </c>
      <c r="R126" s="44">
        <f t="shared" si="50"/>
        <v>0</v>
      </c>
      <c r="S126" s="44">
        <f t="shared" si="50"/>
        <v>0</v>
      </c>
      <c r="T126" s="44">
        <f t="shared" si="50"/>
        <v>0</v>
      </c>
      <c r="U126" s="44">
        <f t="shared" si="50"/>
        <v>0</v>
      </c>
      <c r="V126" s="44">
        <f t="shared" si="50"/>
        <v>0</v>
      </c>
      <c r="W126" s="44">
        <f t="shared" si="50"/>
        <v>0</v>
      </c>
      <c r="X126" s="44">
        <f t="shared" si="50"/>
        <v>0</v>
      </c>
      <c r="Y126" s="44">
        <f t="shared" si="50"/>
        <v>0</v>
      </c>
      <c r="Z126" s="44">
        <f t="shared" si="50"/>
        <v>0</v>
      </c>
      <c r="AA126" s="44">
        <f t="shared" si="50"/>
        <v>0</v>
      </c>
      <c r="AB126" s="44">
        <f t="shared" si="50"/>
        <v>0</v>
      </c>
      <c r="AC126" s="44">
        <f t="shared" si="50"/>
        <v>0</v>
      </c>
      <c r="AD126" s="44">
        <f t="shared" si="50"/>
        <v>0</v>
      </c>
      <c r="AE126" s="44">
        <f t="shared" si="50"/>
        <v>0</v>
      </c>
      <c r="AF126" s="44">
        <f t="shared" si="50"/>
        <v>0</v>
      </c>
      <c r="AG126" s="44">
        <f t="shared" si="50"/>
        <v>0</v>
      </c>
      <c r="AH126" s="44">
        <f t="shared" si="50"/>
        <v>0</v>
      </c>
      <c r="AI126" s="44">
        <f t="shared" si="50"/>
        <v>0</v>
      </c>
      <c r="AJ126" s="44">
        <f t="shared" si="50"/>
        <v>0</v>
      </c>
      <c r="AK126" s="44">
        <f t="shared" si="50"/>
        <v>0</v>
      </c>
      <c r="AL126" s="44">
        <f t="shared" si="50"/>
        <v>0</v>
      </c>
      <c r="AM126" s="44">
        <f t="shared" si="50"/>
        <v>0</v>
      </c>
      <c r="AN126" s="44">
        <f t="shared" si="50"/>
        <v>0</v>
      </c>
      <c r="AO126" s="44">
        <f t="shared" si="50"/>
        <v>0</v>
      </c>
      <c r="AP126" s="44">
        <f t="shared" si="50"/>
        <v>0</v>
      </c>
      <c r="AQ126" s="44">
        <f t="shared" si="50"/>
        <v>0</v>
      </c>
      <c r="AR126" s="44">
        <f t="shared" si="50"/>
        <v>0</v>
      </c>
      <c r="AS126" s="44">
        <f t="shared" si="50"/>
        <v>0</v>
      </c>
      <c r="AT126" s="44">
        <f t="shared" si="50"/>
        <v>0</v>
      </c>
      <c r="AU126" s="44">
        <f t="shared" si="50"/>
        <v>0</v>
      </c>
      <c r="AV126" s="44">
        <f t="shared" si="50"/>
        <v>0</v>
      </c>
      <c r="AW126" s="44">
        <f t="shared" si="50"/>
        <v>0</v>
      </c>
      <c r="AX126" s="44">
        <f t="shared" si="50"/>
        <v>0</v>
      </c>
      <c r="AY126" s="44">
        <f t="shared" si="50"/>
        <v>0</v>
      </c>
      <c r="AZ126" s="44">
        <f t="shared" si="50"/>
        <v>0</v>
      </c>
      <c r="BA126" s="44">
        <f t="shared" si="50"/>
        <v>0</v>
      </c>
      <c r="BB126" s="44">
        <f t="shared" si="50"/>
        <v>0</v>
      </c>
      <c r="BC126" s="44">
        <f t="shared" si="50"/>
        <v>0</v>
      </c>
      <c r="BD126" s="44">
        <f t="shared" si="50"/>
        <v>0</v>
      </c>
    </row>
    <row r="127" spans="3:56" x14ac:dyDescent="0.25">
      <c r="C127" s="103"/>
      <c r="D127" s="74" t="s">
        <v>37</v>
      </c>
      <c r="E127" s="44">
        <f t="shared" ref="E127:BD127" si="51">SUM(E21,E43,E64,E84,E101)</f>
        <v>0</v>
      </c>
      <c r="F127" s="44">
        <f t="shared" si="51"/>
        <v>0</v>
      </c>
      <c r="G127" s="44">
        <f t="shared" si="51"/>
        <v>0</v>
      </c>
      <c r="H127" s="44">
        <f t="shared" si="51"/>
        <v>0</v>
      </c>
      <c r="I127" s="44">
        <f t="shared" si="51"/>
        <v>0</v>
      </c>
      <c r="J127" s="44">
        <f t="shared" si="51"/>
        <v>0</v>
      </c>
      <c r="K127" s="44">
        <f t="shared" si="51"/>
        <v>0</v>
      </c>
      <c r="L127" s="44">
        <f t="shared" si="51"/>
        <v>0</v>
      </c>
      <c r="M127" s="44">
        <f t="shared" si="51"/>
        <v>0</v>
      </c>
      <c r="N127" s="44">
        <f t="shared" si="51"/>
        <v>0</v>
      </c>
      <c r="O127" s="44">
        <f t="shared" si="51"/>
        <v>0</v>
      </c>
      <c r="P127" s="44">
        <f t="shared" si="51"/>
        <v>0</v>
      </c>
      <c r="Q127" s="44">
        <f t="shared" si="51"/>
        <v>0</v>
      </c>
      <c r="R127" s="44">
        <f t="shared" si="51"/>
        <v>0</v>
      </c>
      <c r="S127" s="44">
        <f t="shared" si="51"/>
        <v>0</v>
      </c>
      <c r="T127" s="44">
        <f t="shared" si="51"/>
        <v>0</v>
      </c>
      <c r="U127" s="44">
        <f t="shared" si="51"/>
        <v>0</v>
      </c>
      <c r="V127" s="44">
        <f t="shared" si="51"/>
        <v>0</v>
      </c>
      <c r="W127" s="44">
        <f t="shared" si="51"/>
        <v>0</v>
      </c>
      <c r="X127" s="44">
        <f t="shared" si="51"/>
        <v>0</v>
      </c>
      <c r="Y127" s="44">
        <f t="shared" si="51"/>
        <v>0</v>
      </c>
      <c r="Z127" s="44">
        <f t="shared" si="51"/>
        <v>0</v>
      </c>
      <c r="AA127" s="44">
        <f t="shared" si="51"/>
        <v>0</v>
      </c>
      <c r="AB127" s="44">
        <f t="shared" si="51"/>
        <v>0</v>
      </c>
      <c r="AC127" s="44">
        <f t="shared" si="51"/>
        <v>0</v>
      </c>
      <c r="AD127" s="44">
        <f t="shared" si="51"/>
        <v>0</v>
      </c>
      <c r="AE127" s="44">
        <f t="shared" si="51"/>
        <v>0</v>
      </c>
      <c r="AF127" s="44">
        <f t="shared" si="51"/>
        <v>0</v>
      </c>
      <c r="AG127" s="44">
        <f t="shared" si="51"/>
        <v>0</v>
      </c>
      <c r="AH127" s="44">
        <f t="shared" si="51"/>
        <v>0</v>
      </c>
      <c r="AI127" s="44">
        <f t="shared" si="51"/>
        <v>0</v>
      </c>
      <c r="AJ127" s="44">
        <f t="shared" si="51"/>
        <v>0</v>
      </c>
      <c r="AK127" s="44">
        <f t="shared" si="51"/>
        <v>0</v>
      </c>
      <c r="AL127" s="44">
        <f t="shared" si="51"/>
        <v>0</v>
      </c>
      <c r="AM127" s="44">
        <f t="shared" si="51"/>
        <v>0</v>
      </c>
      <c r="AN127" s="44">
        <f t="shared" si="51"/>
        <v>0</v>
      </c>
      <c r="AO127" s="44">
        <f t="shared" si="51"/>
        <v>0</v>
      </c>
      <c r="AP127" s="44">
        <f t="shared" si="51"/>
        <v>0</v>
      </c>
      <c r="AQ127" s="44">
        <f t="shared" si="51"/>
        <v>0</v>
      </c>
      <c r="AR127" s="44">
        <f t="shared" si="51"/>
        <v>0</v>
      </c>
      <c r="AS127" s="44">
        <f t="shared" si="51"/>
        <v>0</v>
      </c>
      <c r="AT127" s="44">
        <f t="shared" si="51"/>
        <v>0</v>
      </c>
      <c r="AU127" s="44">
        <f t="shared" si="51"/>
        <v>0</v>
      </c>
      <c r="AV127" s="44">
        <f t="shared" si="51"/>
        <v>0</v>
      </c>
      <c r="AW127" s="44">
        <f t="shared" si="51"/>
        <v>0</v>
      </c>
      <c r="AX127" s="44">
        <f t="shared" si="51"/>
        <v>0</v>
      </c>
      <c r="AY127" s="44">
        <f t="shared" si="51"/>
        <v>0</v>
      </c>
      <c r="AZ127" s="44">
        <f t="shared" si="51"/>
        <v>0</v>
      </c>
      <c r="BA127" s="44">
        <f t="shared" si="51"/>
        <v>0</v>
      </c>
      <c r="BB127" s="44">
        <f t="shared" si="51"/>
        <v>0</v>
      </c>
      <c r="BC127" s="44">
        <f t="shared" si="51"/>
        <v>0</v>
      </c>
      <c r="BD127" s="44">
        <f t="shared" si="51"/>
        <v>0</v>
      </c>
    </row>
    <row r="128" spans="3:56" x14ac:dyDescent="0.25">
      <c r="C128" s="103"/>
      <c r="D128" s="74" t="s">
        <v>38</v>
      </c>
      <c r="E128" s="44">
        <f t="shared" ref="E128:BD128" si="52">SUM(E22,E44,E65,E85,E102)</f>
        <v>3.4</v>
      </c>
      <c r="F128" s="44">
        <f t="shared" si="52"/>
        <v>4</v>
      </c>
      <c r="G128" s="44">
        <f t="shared" si="52"/>
        <v>7.8707500000000001</v>
      </c>
      <c r="H128" s="44">
        <f t="shared" si="52"/>
        <v>13.870749999999999</v>
      </c>
      <c r="I128" s="44">
        <f t="shared" si="52"/>
        <v>15.720750000000001</v>
      </c>
      <c r="J128" s="44">
        <f t="shared" si="52"/>
        <v>14.720750000000001</v>
      </c>
      <c r="K128" s="44">
        <f t="shared" si="52"/>
        <v>10.7125</v>
      </c>
      <c r="L128" s="44">
        <f t="shared" si="52"/>
        <v>11.2</v>
      </c>
      <c r="M128" s="44">
        <f t="shared" si="52"/>
        <v>0</v>
      </c>
      <c r="N128" s="44">
        <f t="shared" si="52"/>
        <v>0</v>
      </c>
      <c r="O128" s="44">
        <f t="shared" si="52"/>
        <v>0</v>
      </c>
      <c r="P128" s="44">
        <f t="shared" si="52"/>
        <v>0</v>
      </c>
      <c r="Q128" s="44">
        <f t="shared" si="52"/>
        <v>0</v>
      </c>
      <c r="R128" s="44">
        <f t="shared" si="52"/>
        <v>0</v>
      </c>
      <c r="S128" s="44">
        <f t="shared" si="52"/>
        <v>0</v>
      </c>
      <c r="T128" s="44">
        <f t="shared" si="52"/>
        <v>0</v>
      </c>
      <c r="U128" s="44">
        <f t="shared" si="52"/>
        <v>0</v>
      </c>
      <c r="V128" s="44">
        <f t="shared" si="52"/>
        <v>0</v>
      </c>
      <c r="W128" s="44">
        <f t="shared" si="52"/>
        <v>0</v>
      </c>
      <c r="X128" s="44">
        <f t="shared" si="52"/>
        <v>0</v>
      </c>
      <c r="Y128" s="44">
        <f t="shared" si="52"/>
        <v>0</v>
      </c>
      <c r="Z128" s="44">
        <f t="shared" si="52"/>
        <v>0</v>
      </c>
      <c r="AA128" s="44">
        <f t="shared" si="52"/>
        <v>0</v>
      </c>
      <c r="AB128" s="44">
        <f t="shared" si="52"/>
        <v>0</v>
      </c>
      <c r="AC128" s="44">
        <f t="shared" si="52"/>
        <v>0</v>
      </c>
      <c r="AD128" s="44">
        <f t="shared" si="52"/>
        <v>0</v>
      </c>
      <c r="AE128" s="44">
        <f t="shared" si="52"/>
        <v>0</v>
      </c>
      <c r="AF128" s="44">
        <f t="shared" si="52"/>
        <v>0</v>
      </c>
      <c r="AG128" s="44">
        <f t="shared" si="52"/>
        <v>0</v>
      </c>
      <c r="AH128" s="44">
        <f t="shared" si="52"/>
        <v>0</v>
      </c>
      <c r="AI128" s="44">
        <f t="shared" si="52"/>
        <v>0</v>
      </c>
      <c r="AJ128" s="44">
        <f t="shared" si="52"/>
        <v>0</v>
      </c>
      <c r="AK128" s="44">
        <f t="shared" si="52"/>
        <v>0</v>
      </c>
      <c r="AL128" s="44">
        <f t="shared" si="52"/>
        <v>0</v>
      </c>
      <c r="AM128" s="44">
        <f t="shared" si="52"/>
        <v>0</v>
      </c>
      <c r="AN128" s="44">
        <f t="shared" si="52"/>
        <v>0</v>
      </c>
      <c r="AO128" s="44">
        <f t="shared" si="52"/>
        <v>0</v>
      </c>
      <c r="AP128" s="44">
        <f t="shared" si="52"/>
        <v>0</v>
      </c>
      <c r="AQ128" s="44">
        <f t="shared" si="52"/>
        <v>0</v>
      </c>
      <c r="AR128" s="44">
        <f t="shared" si="52"/>
        <v>0</v>
      </c>
      <c r="AS128" s="44">
        <f t="shared" si="52"/>
        <v>0</v>
      </c>
      <c r="AT128" s="44">
        <f t="shared" si="52"/>
        <v>0</v>
      </c>
      <c r="AU128" s="44">
        <f t="shared" si="52"/>
        <v>0</v>
      </c>
      <c r="AV128" s="44">
        <f t="shared" si="52"/>
        <v>0</v>
      </c>
      <c r="AW128" s="44">
        <f t="shared" si="52"/>
        <v>0</v>
      </c>
      <c r="AX128" s="44">
        <f t="shared" si="52"/>
        <v>0</v>
      </c>
      <c r="AY128" s="44">
        <f t="shared" si="52"/>
        <v>0</v>
      </c>
      <c r="AZ128" s="44">
        <f t="shared" si="52"/>
        <v>0</v>
      </c>
      <c r="BA128" s="44">
        <f t="shared" si="52"/>
        <v>0</v>
      </c>
      <c r="BB128" s="44">
        <f t="shared" si="52"/>
        <v>0</v>
      </c>
      <c r="BC128" s="44">
        <f t="shared" si="52"/>
        <v>0</v>
      </c>
      <c r="BD128" s="44">
        <f t="shared" si="52"/>
        <v>0</v>
      </c>
    </row>
    <row r="129" spans="3:56" x14ac:dyDescent="0.25">
      <c r="C129" s="103"/>
      <c r="D129" s="74" t="s">
        <v>39</v>
      </c>
      <c r="E129" s="44">
        <f t="shared" ref="E129:BD129" si="53">SUM(E23,E45,E66,E86,E103)</f>
        <v>80</v>
      </c>
      <c r="F129" s="44">
        <f t="shared" si="53"/>
        <v>67</v>
      </c>
      <c r="G129" s="44">
        <f t="shared" si="53"/>
        <v>49</v>
      </c>
      <c r="H129" s="44">
        <f t="shared" si="53"/>
        <v>20</v>
      </c>
      <c r="I129" s="44">
        <f t="shared" si="53"/>
        <v>20</v>
      </c>
      <c r="J129" s="44">
        <f t="shared" si="53"/>
        <v>20</v>
      </c>
      <c r="K129" s="44">
        <f t="shared" si="53"/>
        <v>20</v>
      </c>
      <c r="L129" s="44">
        <f t="shared" si="53"/>
        <v>20</v>
      </c>
      <c r="M129" s="44">
        <f t="shared" si="53"/>
        <v>20</v>
      </c>
      <c r="N129" s="44">
        <f t="shared" si="53"/>
        <v>20</v>
      </c>
      <c r="O129" s="44">
        <f t="shared" si="53"/>
        <v>23</v>
      </c>
      <c r="P129" s="44">
        <f t="shared" si="53"/>
        <v>23</v>
      </c>
      <c r="Q129" s="44">
        <f t="shared" si="53"/>
        <v>23</v>
      </c>
      <c r="R129" s="44">
        <f t="shared" si="53"/>
        <v>25</v>
      </c>
      <c r="S129" s="44">
        <f t="shared" si="53"/>
        <v>23</v>
      </c>
      <c r="T129" s="44">
        <f t="shared" si="53"/>
        <v>23</v>
      </c>
      <c r="U129" s="44">
        <f t="shared" si="53"/>
        <v>23</v>
      </c>
      <c r="V129" s="44">
        <f t="shared" si="53"/>
        <v>22</v>
      </c>
      <c r="W129" s="44">
        <f t="shared" si="53"/>
        <v>21</v>
      </c>
      <c r="X129" s="44">
        <f t="shared" si="53"/>
        <v>21</v>
      </c>
      <c r="Y129" s="44">
        <f t="shared" si="53"/>
        <v>25.265000000000001</v>
      </c>
      <c r="Z129" s="44">
        <f t="shared" si="53"/>
        <v>24.358875000000001</v>
      </c>
      <c r="AA129" s="44">
        <f t="shared" si="53"/>
        <v>30.023192625</v>
      </c>
      <c r="AB129" s="44">
        <f t="shared" si="53"/>
        <v>29.602396981875</v>
      </c>
      <c r="AC129" s="44">
        <f t="shared" si="53"/>
        <v>29.187765512165623</v>
      </c>
      <c r="AD129" s="44">
        <f t="shared" si="53"/>
        <v>25.779206492076796</v>
      </c>
      <c r="AE129" s="44">
        <f t="shared" si="53"/>
        <v>25.43162956997633</v>
      </c>
      <c r="AF129" s="44">
        <f t="shared" si="53"/>
        <v>24.08907074583097</v>
      </c>
      <c r="AG129" s="44">
        <f t="shared" si="53"/>
        <v>23.76645572595077</v>
      </c>
      <c r="AH129" s="44">
        <f t="shared" si="53"/>
        <v>23.448486326162239</v>
      </c>
      <c r="AI129" s="44">
        <f t="shared" si="53"/>
        <v>28.385093830190026</v>
      </c>
      <c r="AJ129" s="44">
        <f t="shared" si="53"/>
        <v>25.997460547662797</v>
      </c>
      <c r="AK129" s="44">
        <f t="shared" si="53"/>
        <v>25.64545104874885</v>
      </c>
      <c r="AL129" s="44">
        <f t="shared" si="53"/>
        <v>29.798531930272105</v>
      </c>
      <c r="AM129" s="44">
        <f t="shared" si="53"/>
        <v>29.389127785336239</v>
      </c>
      <c r="AN129" s="44">
        <f t="shared" si="53"/>
        <v>28.98567683340432</v>
      </c>
      <c r="AO129" s="44">
        <f t="shared" si="53"/>
        <v>28.588090715927141</v>
      </c>
      <c r="AP129" s="44">
        <f t="shared" si="53"/>
        <v>28.196282395036999</v>
      </c>
      <c r="AQ129" s="44">
        <f t="shared" si="53"/>
        <v>27.810166133760966</v>
      </c>
      <c r="AR129" s="44">
        <f t="shared" si="53"/>
        <v>27.429657476530828</v>
      </c>
      <c r="AS129" s="44">
        <f t="shared" si="53"/>
        <v>26.94529138317808</v>
      </c>
      <c r="AT129" s="44">
        <f t="shared" si="53"/>
        <v>36.470743024317791</v>
      </c>
      <c r="AU129" s="44">
        <f t="shared" si="53"/>
        <v>58.155775805424341</v>
      </c>
      <c r="AV129" s="44">
        <f t="shared" si="53"/>
        <v>57.024909807387807</v>
      </c>
      <c r="AW129" s="44">
        <f t="shared" si="53"/>
        <v>65.474546645542233</v>
      </c>
      <c r="AX129" s="44">
        <f t="shared" si="53"/>
        <v>63.717308477325943</v>
      </c>
      <c r="AY129" s="44">
        <f t="shared" si="53"/>
        <v>84.508214370887771</v>
      </c>
      <c r="AZ129" s="44">
        <f t="shared" si="53"/>
        <v>85.283413265918227</v>
      </c>
      <c r="BA129" s="44">
        <f t="shared" si="53"/>
        <v>75.397845983715101</v>
      </c>
      <c r="BB129" s="44">
        <f t="shared" si="53"/>
        <v>72.000878014905737</v>
      </c>
      <c r="BC129" s="44">
        <f t="shared" si="53"/>
        <v>68.768164579581182</v>
      </c>
      <c r="BD129" s="44">
        <f t="shared" si="53"/>
        <v>65.691576859041561</v>
      </c>
    </row>
    <row r="130" spans="3:56" x14ac:dyDescent="0.25">
      <c r="C130" s="103"/>
      <c r="D130" s="74" t="s">
        <v>40</v>
      </c>
      <c r="E130" s="44">
        <f t="shared" ref="E130:BD131" si="54">SUM(E24,E46,E67,E87,E104)</f>
        <v>34.825000000000003</v>
      </c>
      <c r="F130" s="44">
        <f t="shared" si="54"/>
        <v>23.574999999999999</v>
      </c>
      <c r="G130" s="44">
        <f t="shared" si="54"/>
        <v>14.574999999999999</v>
      </c>
      <c r="H130" s="44">
        <f t="shared" si="54"/>
        <v>14.574999999999999</v>
      </c>
      <c r="I130" s="44">
        <f t="shared" si="54"/>
        <v>14.574999999999999</v>
      </c>
      <c r="J130" s="44">
        <f t="shared" si="54"/>
        <v>13.45</v>
      </c>
      <c r="K130" s="44">
        <f t="shared" si="54"/>
        <v>11.2</v>
      </c>
      <c r="L130" s="44">
        <f t="shared" si="54"/>
        <v>10.125</v>
      </c>
      <c r="M130" s="44">
        <f t="shared" si="54"/>
        <v>10.125</v>
      </c>
      <c r="N130" s="44">
        <f t="shared" si="54"/>
        <v>9</v>
      </c>
      <c r="O130" s="44">
        <f t="shared" si="54"/>
        <v>7.875</v>
      </c>
      <c r="P130" s="44">
        <f t="shared" si="54"/>
        <v>7.88</v>
      </c>
      <c r="Q130" s="44">
        <f t="shared" si="54"/>
        <v>7.875</v>
      </c>
      <c r="R130" s="44">
        <f t="shared" si="54"/>
        <v>7.875</v>
      </c>
      <c r="S130" s="44">
        <f t="shared" si="54"/>
        <v>7.875</v>
      </c>
      <c r="T130" s="44">
        <f t="shared" si="54"/>
        <v>7.875</v>
      </c>
      <c r="U130" s="44">
        <f t="shared" si="54"/>
        <v>7.875</v>
      </c>
      <c r="V130" s="44">
        <f t="shared" si="54"/>
        <v>7.875</v>
      </c>
      <c r="W130" s="44">
        <f t="shared" si="54"/>
        <v>7.875</v>
      </c>
      <c r="X130" s="44">
        <f t="shared" si="54"/>
        <v>7.875</v>
      </c>
      <c r="Y130" s="44">
        <f t="shared" si="54"/>
        <v>7.6781249999999996</v>
      </c>
      <c r="Z130" s="44">
        <f t="shared" si="54"/>
        <v>7.4885343750000004</v>
      </c>
      <c r="AA130" s="44">
        <f t="shared" si="54"/>
        <v>7.4096197031250002</v>
      </c>
      <c r="AB130" s="44">
        <f t="shared" si="54"/>
        <v>7.3317216846093753</v>
      </c>
      <c r="AC130" s="44">
        <f t="shared" si="54"/>
        <v>7.254825904986328</v>
      </c>
      <c r="AD130" s="44">
        <f t="shared" si="54"/>
        <v>7.1789181618293973</v>
      </c>
      <c r="AE130" s="44">
        <f t="shared" si="54"/>
        <v>7.1039844615927299</v>
      </c>
      <c r="AF130" s="44">
        <f t="shared" si="54"/>
        <v>7.0300110164986593</v>
      </c>
      <c r="AG130" s="44">
        <f t="shared" si="54"/>
        <v>6.9569842414718508</v>
      </c>
      <c r="AH130" s="44">
        <f t="shared" si="54"/>
        <v>6.8848907511193396</v>
      </c>
      <c r="AI130" s="44">
        <f t="shared" si="54"/>
        <v>6.8137173567557703</v>
      </c>
      <c r="AJ130" s="44">
        <f t="shared" si="54"/>
        <v>6.7434510634731364</v>
      </c>
      <c r="AK130" s="44">
        <f t="shared" si="54"/>
        <v>6.6740790672544001</v>
      </c>
      <c r="AL130" s="44">
        <f t="shared" si="54"/>
        <v>6.6055887521302772</v>
      </c>
      <c r="AM130" s="44">
        <f t="shared" si="54"/>
        <v>6.5379676873785932</v>
      </c>
      <c r="AN130" s="44">
        <f t="shared" si="54"/>
        <v>6.4712036247655327</v>
      </c>
      <c r="AO130" s="44">
        <f t="shared" si="54"/>
        <v>6.4052844958281803</v>
      </c>
      <c r="AP130" s="44">
        <f t="shared" si="54"/>
        <v>6.3401984091977166</v>
      </c>
      <c r="AQ130" s="44">
        <f t="shared" si="54"/>
        <v>6.2759336479626757</v>
      </c>
      <c r="AR130" s="44">
        <f t="shared" si="54"/>
        <v>6.2124786670716468</v>
      </c>
      <c r="AS130" s="44">
        <f t="shared" si="54"/>
        <v>6.0582302796470344</v>
      </c>
      <c r="AT130" s="44">
        <f t="shared" si="54"/>
        <v>5.9084327602934419</v>
      </c>
      <c r="AU130" s="44">
        <f t="shared" si="54"/>
        <v>5.7629445460107132</v>
      </c>
      <c r="AV130" s="44">
        <f t="shared" si="54"/>
        <v>30.934128815242968</v>
      </c>
      <c r="AW130" s="44">
        <f t="shared" si="54"/>
        <v>30.054300065918209</v>
      </c>
      <c r="AX130" s="44">
        <f t="shared" si="54"/>
        <v>41.856443678839597</v>
      </c>
      <c r="AY130" s="44">
        <f t="shared" si="54"/>
        <v>40.584317412428021</v>
      </c>
      <c r="AZ130" s="44">
        <f t="shared" si="54"/>
        <v>62.133144333782155</v>
      </c>
      <c r="BA130" s="44">
        <f t="shared" si="54"/>
        <v>59.762157763707563</v>
      </c>
      <c r="BB130" s="44">
        <f t="shared" si="54"/>
        <v>57.498685462437479</v>
      </c>
      <c r="BC130" s="44">
        <f t="shared" si="54"/>
        <v>55.337517242427168</v>
      </c>
      <c r="BD130" s="44">
        <f t="shared" si="54"/>
        <v>53.273700942620707</v>
      </c>
    </row>
    <row r="131" spans="3:56" x14ac:dyDescent="0.25">
      <c r="D131" s="50" t="s">
        <v>41</v>
      </c>
      <c r="E131" s="44">
        <f t="shared" si="54"/>
        <v>0</v>
      </c>
      <c r="F131" s="44">
        <f t="shared" si="54"/>
        <v>0</v>
      </c>
      <c r="G131" s="44">
        <f t="shared" si="54"/>
        <v>0</v>
      </c>
      <c r="H131" s="44">
        <f t="shared" si="54"/>
        <v>-8.3778913043478251</v>
      </c>
      <c r="I131" s="44">
        <f t="shared" si="54"/>
        <v>-4.9202826086956524</v>
      </c>
      <c r="J131" s="44">
        <f t="shared" si="54"/>
        <v>0</v>
      </c>
      <c r="K131" s="44">
        <f t="shared" si="54"/>
        <v>-15.262304347826086</v>
      </c>
      <c r="L131" s="44">
        <f t="shared" si="54"/>
        <v>-9.0572391304347821</v>
      </c>
      <c r="M131" s="44">
        <f t="shared" si="54"/>
        <v>-7.7713695652173911</v>
      </c>
      <c r="N131" s="44">
        <f t="shared" si="54"/>
        <v>-5.0485434782608696</v>
      </c>
      <c r="O131" s="44">
        <f t="shared" si="54"/>
        <v>-1.5713695652173914</v>
      </c>
      <c r="P131" s="44">
        <f t="shared" si="54"/>
        <v>0</v>
      </c>
      <c r="Q131" s="44">
        <f t="shared" si="54"/>
        <v>-5.162673913043478</v>
      </c>
      <c r="R131" s="44">
        <f t="shared" si="54"/>
        <v>0</v>
      </c>
      <c r="S131" s="44">
        <f t="shared" si="54"/>
        <v>-0.375</v>
      </c>
      <c r="T131" s="44">
        <f t="shared" si="54"/>
        <v>-6.7429239130434784</v>
      </c>
      <c r="U131" s="44">
        <f t="shared" si="54"/>
        <v>2.7322500000000005</v>
      </c>
      <c r="V131" s="44">
        <f t="shared" si="54"/>
        <v>5.3695652173913047</v>
      </c>
      <c r="W131" s="44">
        <f t="shared" si="54"/>
        <v>5.195652173913043</v>
      </c>
      <c r="X131" s="44">
        <f t="shared" si="54"/>
        <v>5.5470978260869561</v>
      </c>
      <c r="Y131" s="44">
        <f t="shared" si="54"/>
        <v>0</v>
      </c>
      <c r="Z131" s="44">
        <f t="shared" si="54"/>
        <v>-2.8554290760869563</v>
      </c>
      <c r="AA131" s="44">
        <f t="shared" si="54"/>
        <v>6.0870641872173916</v>
      </c>
      <c r="AB131" s="44">
        <f t="shared" si="54"/>
        <v>4.4739921776047824</v>
      </c>
      <c r="AC131" s="44">
        <f t="shared" si="54"/>
        <v>2.265934731049617</v>
      </c>
      <c r="AD131" s="44">
        <f t="shared" si="54"/>
        <v>-3.8629936487534606</v>
      </c>
      <c r="AE131" s="44">
        <f t="shared" si="54"/>
        <v>-5.9760514169418038</v>
      </c>
      <c r="AF131" s="44">
        <f t="shared" si="54"/>
        <v>0</v>
      </c>
      <c r="AG131" s="44">
        <f t="shared" si="54"/>
        <v>-2.9416180638644081</v>
      </c>
      <c r="AH131" s="44">
        <f t="shared" si="54"/>
        <v>3.0378131080352975</v>
      </c>
      <c r="AI131" s="44">
        <f t="shared" si="54"/>
        <v>0</v>
      </c>
      <c r="AJ131" s="44">
        <f t="shared" si="54"/>
        <v>4.48133803612183</v>
      </c>
      <c r="AK131" s="44">
        <f t="shared" si="54"/>
        <v>4.4141179655800027</v>
      </c>
      <c r="AL131" s="44">
        <f t="shared" si="54"/>
        <v>1.2826287229371192</v>
      </c>
      <c r="AM131" s="44">
        <f t="shared" si="54"/>
        <v>0</v>
      </c>
      <c r="AN131" s="44">
        <f t="shared" si="54"/>
        <v>0</v>
      </c>
      <c r="AO131" s="44">
        <f t="shared" si="54"/>
        <v>0</v>
      </c>
      <c r="AP131" s="44">
        <f t="shared" si="54"/>
        <v>0</v>
      </c>
      <c r="AQ131" s="44">
        <f t="shared" si="54"/>
        <v>0</v>
      </c>
      <c r="AR131" s="44">
        <f t="shared" si="54"/>
        <v>0</v>
      </c>
      <c r="AS131" s="44">
        <f t="shared" si="54"/>
        <v>0</v>
      </c>
      <c r="AT131" s="44">
        <f t="shared" si="54"/>
        <v>0</v>
      </c>
      <c r="AU131" s="44">
        <f t="shared" si="54"/>
        <v>0</v>
      </c>
      <c r="AV131" s="44">
        <f t="shared" si="54"/>
        <v>0</v>
      </c>
      <c r="AW131" s="44">
        <f t="shared" si="54"/>
        <v>0</v>
      </c>
      <c r="AX131" s="44">
        <f t="shared" si="54"/>
        <v>0</v>
      </c>
      <c r="AY131" s="44">
        <f t="shared" si="54"/>
        <v>0</v>
      </c>
      <c r="AZ131" s="44">
        <f t="shared" si="54"/>
        <v>39.564129830615521</v>
      </c>
      <c r="BA131" s="44">
        <f t="shared" si="54"/>
        <v>26.954968899012563</v>
      </c>
      <c r="BB131" s="44">
        <f t="shared" si="54"/>
        <v>0</v>
      </c>
      <c r="BC131" s="44">
        <f t="shared" si="54"/>
        <v>0</v>
      </c>
      <c r="BD131" s="44">
        <f t="shared" si="54"/>
        <v>0</v>
      </c>
    </row>
    <row r="132" spans="3:56" x14ac:dyDescent="0.25">
      <c r="D132" s="50" t="s">
        <v>42</v>
      </c>
      <c r="E132" s="62">
        <v>0.85</v>
      </c>
      <c r="F132" s="62">
        <v>0.85</v>
      </c>
      <c r="G132" s="62">
        <v>0.85</v>
      </c>
      <c r="H132" s="62">
        <v>0.85</v>
      </c>
      <c r="I132" s="62">
        <v>0.85</v>
      </c>
      <c r="J132" s="62">
        <v>0.85</v>
      </c>
      <c r="K132" s="62">
        <v>0.85</v>
      </c>
      <c r="L132" s="62">
        <v>0.85</v>
      </c>
      <c r="M132" s="71">
        <v>0.85</v>
      </c>
      <c r="N132" s="71">
        <v>0.85</v>
      </c>
      <c r="O132" s="71">
        <v>0.85</v>
      </c>
      <c r="P132" s="71">
        <v>0.85</v>
      </c>
      <c r="Q132" s="71">
        <v>0.85</v>
      </c>
      <c r="R132" s="71">
        <v>0.85</v>
      </c>
      <c r="S132" s="71">
        <v>0.85</v>
      </c>
      <c r="T132" s="71">
        <v>0.85</v>
      </c>
      <c r="U132" s="71">
        <v>0.85</v>
      </c>
      <c r="V132" s="71">
        <v>0.85</v>
      </c>
      <c r="W132" s="71">
        <v>0.85</v>
      </c>
      <c r="X132" s="71">
        <v>0.85</v>
      </c>
      <c r="Y132" s="71">
        <v>0.85</v>
      </c>
      <c r="Z132" s="71">
        <v>0.85</v>
      </c>
      <c r="AA132" s="71">
        <v>0.85</v>
      </c>
      <c r="AB132" s="71">
        <v>0.85</v>
      </c>
      <c r="AC132" s="71">
        <v>0.85</v>
      </c>
      <c r="AD132" s="71">
        <v>0.85</v>
      </c>
      <c r="AE132" s="71">
        <v>0.85</v>
      </c>
      <c r="AF132" s="71">
        <v>0.85</v>
      </c>
      <c r="AG132" s="71">
        <v>0.85</v>
      </c>
      <c r="AH132" s="71">
        <v>0.85</v>
      </c>
      <c r="AI132" s="71">
        <v>0.85</v>
      </c>
      <c r="AJ132" s="71">
        <v>0.85</v>
      </c>
      <c r="AK132" s="71">
        <v>0.85</v>
      </c>
      <c r="AL132" s="71">
        <v>0.85</v>
      </c>
      <c r="AM132" s="71">
        <v>0.85</v>
      </c>
      <c r="AN132" s="71">
        <v>0.85</v>
      </c>
      <c r="AO132" s="71">
        <v>0.85</v>
      </c>
      <c r="AP132" s="71">
        <v>0.85</v>
      </c>
      <c r="AQ132" s="71">
        <v>0.85</v>
      </c>
      <c r="AR132" s="71">
        <v>0.85</v>
      </c>
      <c r="AS132" s="71">
        <v>0.85</v>
      </c>
      <c r="AT132" s="71">
        <v>0.85</v>
      </c>
      <c r="AU132" s="71">
        <v>0.85</v>
      </c>
      <c r="AV132" s="71">
        <v>0.85</v>
      </c>
      <c r="AW132" s="71">
        <v>0.85</v>
      </c>
      <c r="AX132" s="71">
        <v>0.85</v>
      </c>
      <c r="AY132" s="71">
        <v>0.85</v>
      </c>
      <c r="AZ132" s="71">
        <v>0.85</v>
      </c>
      <c r="BA132" s="71">
        <v>0.85</v>
      </c>
      <c r="BB132" s="71">
        <v>0.85</v>
      </c>
      <c r="BC132" s="71">
        <v>0.85</v>
      </c>
      <c r="BD132" s="71">
        <v>0.85</v>
      </c>
    </row>
    <row r="133" spans="3:56" x14ac:dyDescent="0.25">
      <c r="D133" s="50" t="s">
        <v>43</v>
      </c>
      <c r="E133" s="63">
        <f t="shared" ref="E133:BD133" si="55">(E131*(40*(1-E132)+40))/SUM(E124:E130)</f>
        <v>0</v>
      </c>
      <c r="F133" s="63">
        <f t="shared" si="55"/>
        <v>0</v>
      </c>
      <c r="G133" s="63">
        <f t="shared" si="55"/>
        <v>0</v>
      </c>
      <c r="H133" s="63">
        <f t="shared" si="55"/>
        <v>-3.2712734464691562</v>
      </c>
      <c r="I133" s="63">
        <f t="shared" si="55"/>
        <v>-1.9074358504360212</v>
      </c>
      <c r="J133" s="63">
        <f t="shared" si="55"/>
        <v>0</v>
      </c>
      <c r="K133" s="63">
        <f t="shared" si="55"/>
        <v>-6.6305671576949141</v>
      </c>
      <c r="L133" s="63">
        <f t="shared" si="55"/>
        <v>-4.0461296047664019</v>
      </c>
      <c r="M133" s="63">
        <f t="shared" si="55"/>
        <v>-3.5134931925903539</v>
      </c>
      <c r="N133" s="63">
        <f t="shared" si="55"/>
        <v>-2.3370357977573883</v>
      </c>
      <c r="O133" s="63">
        <f t="shared" si="55"/>
        <v>-0.75732025784280599</v>
      </c>
      <c r="P133" s="63">
        <f t="shared" si="55"/>
        <v>0</v>
      </c>
      <c r="Q133" s="63">
        <f t="shared" si="55"/>
        <v>-2.4674647971468868</v>
      </c>
      <c r="R133" s="63">
        <f t="shared" si="55"/>
        <v>0</v>
      </c>
      <c r="S133" s="63">
        <f t="shared" si="55"/>
        <v>-0.18659592247345064</v>
      </c>
      <c r="T133" s="63">
        <f t="shared" si="55"/>
        <v>-3.391896288236468</v>
      </c>
      <c r="U133" s="63">
        <f t="shared" si="55"/>
        <v>1.4232362208513929</v>
      </c>
      <c r="V133" s="63">
        <f t="shared" si="55"/>
        <v>2.8437137520039837</v>
      </c>
      <c r="W133" s="63">
        <f t="shared" si="55"/>
        <v>2.7966872712698891</v>
      </c>
      <c r="X133" s="63">
        <f t="shared" si="55"/>
        <v>3.0392069868059419</v>
      </c>
      <c r="Y133" s="63">
        <f t="shared" si="55"/>
        <v>0</v>
      </c>
      <c r="Z133" s="63">
        <f t="shared" si="55"/>
        <v>-1.5541312033260228</v>
      </c>
      <c r="AA133" s="63">
        <f t="shared" si="55"/>
        <v>3.1354541118664647</v>
      </c>
      <c r="AB133" s="63">
        <f t="shared" si="55"/>
        <v>2.33815202867464</v>
      </c>
      <c r="AC133" s="63">
        <f t="shared" si="55"/>
        <v>1.2014178764240655</v>
      </c>
      <c r="AD133" s="63">
        <f t="shared" si="55"/>
        <v>-2.1534402927020486</v>
      </c>
      <c r="AE133" s="63">
        <f t="shared" si="55"/>
        <v>-3.3809255790803072</v>
      </c>
      <c r="AF133" s="63">
        <f t="shared" si="55"/>
        <v>0</v>
      </c>
      <c r="AG133" s="63">
        <f t="shared" si="55"/>
        <v>-1.7355473026312696</v>
      </c>
      <c r="AH133" s="63">
        <f t="shared" si="55"/>
        <v>1.8187484918193098</v>
      </c>
      <c r="AI133" s="63">
        <f t="shared" si="55"/>
        <v>0</v>
      </c>
      <c r="AJ133" s="63">
        <f t="shared" si="55"/>
        <v>2.2641895266025176</v>
      </c>
      <c r="AK133" s="63">
        <f t="shared" si="55"/>
        <v>2.2640272494600078</v>
      </c>
      <c r="AL133" s="63">
        <f t="shared" si="55"/>
        <v>0.63544742455774494</v>
      </c>
      <c r="AM133" s="63">
        <f t="shared" si="55"/>
        <v>0</v>
      </c>
      <c r="AN133" s="63">
        <f t="shared" si="55"/>
        <v>0</v>
      </c>
      <c r="AO133" s="63">
        <f t="shared" si="55"/>
        <v>0</v>
      </c>
      <c r="AP133" s="63">
        <f t="shared" si="55"/>
        <v>0</v>
      </c>
      <c r="AQ133" s="63">
        <f t="shared" si="55"/>
        <v>0</v>
      </c>
      <c r="AR133" s="63">
        <f t="shared" si="55"/>
        <v>0</v>
      </c>
      <c r="AS133" s="63">
        <f t="shared" si="55"/>
        <v>0</v>
      </c>
      <c r="AT133" s="63">
        <f t="shared" si="55"/>
        <v>0</v>
      </c>
      <c r="AU133" s="63">
        <f t="shared" si="55"/>
        <v>0</v>
      </c>
      <c r="AV133" s="63">
        <f t="shared" si="55"/>
        <v>0</v>
      </c>
      <c r="AW133" s="63">
        <f t="shared" si="55"/>
        <v>0</v>
      </c>
      <c r="AX133" s="63">
        <f t="shared" si="55"/>
        <v>0</v>
      </c>
      <c r="AY133" s="63">
        <f t="shared" si="55"/>
        <v>0</v>
      </c>
      <c r="AZ133" s="63">
        <f t="shared" si="55"/>
        <v>6.0854742829140527</v>
      </c>
      <c r="BA133" s="63">
        <f t="shared" si="55"/>
        <v>4.5207328101090516</v>
      </c>
      <c r="BB133" s="63">
        <f t="shared" si="55"/>
        <v>0</v>
      </c>
      <c r="BC133" s="63">
        <f t="shared" si="55"/>
        <v>0</v>
      </c>
      <c r="BD133" s="63">
        <f t="shared" si="55"/>
        <v>0</v>
      </c>
    </row>
    <row r="134" spans="3:56" x14ac:dyDescent="0.25">
      <c r="D134" s="51" t="s">
        <v>44</v>
      </c>
      <c r="E134" s="61">
        <f t="shared" ref="E134:L134" si="56">SUM(E124:E131)</f>
        <v>181.88749999999999</v>
      </c>
      <c r="F134" s="61">
        <f t="shared" si="56"/>
        <v>146.98749999999998</v>
      </c>
      <c r="G134" s="61">
        <f t="shared" si="56"/>
        <v>115.55825</v>
      </c>
      <c r="H134" s="61">
        <f t="shared" si="56"/>
        <v>109.43035869565217</v>
      </c>
      <c r="I134" s="61">
        <f t="shared" si="56"/>
        <v>113.73796739130434</v>
      </c>
      <c r="J134" s="61">
        <f t="shared" si="56"/>
        <v>116.53325</v>
      </c>
      <c r="K134" s="61">
        <f t="shared" si="56"/>
        <v>90.620945652173916</v>
      </c>
      <c r="L134" s="61">
        <f t="shared" si="56"/>
        <v>93.913510869565215</v>
      </c>
      <c r="M134" s="61">
        <f t="shared" ref="M134:BD134" si="57">SUM(M124:M131)</f>
        <v>93.974380434782603</v>
      </c>
      <c r="N134" s="61">
        <f t="shared" si="57"/>
        <v>94.322206521739133</v>
      </c>
      <c r="O134" s="61">
        <f t="shared" si="57"/>
        <v>93.874380434782609</v>
      </c>
      <c r="P134" s="61">
        <f t="shared" si="57"/>
        <v>96.259999999999991</v>
      </c>
      <c r="Q134" s="61">
        <f t="shared" si="57"/>
        <v>91.083076086956524</v>
      </c>
      <c r="R134" s="61">
        <f t="shared" si="57"/>
        <v>94.245750000000001</v>
      </c>
      <c r="S134" s="61">
        <f t="shared" si="57"/>
        <v>92.070750000000004</v>
      </c>
      <c r="T134" s="61">
        <f t="shared" si="57"/>
        <v>84.70282608695652</v>
      </c>
      <c r="U134" s="61">
        <f t="shared" si="57"/>
        <v>91.040500000000009</v>
      </c>
      <c r="V134" s="61">
        <f t="shared" si="57"/>
        <v>92.22781521739131</v>
      </c>
      <c r="W134" s="61">
        <f t="shared" si="57"/>
        <v>90.653902173913039</v>
      </c>
      <c r="X134" s="61">
        <f t="shared" si="57"/>
        <v>89.505347826086961</v>
      </c>
      <c r="Y134" s="61">
        <f t="shared" si="57"/>
        <v>86.802002499999986</v>
      </c>
      <c r="Z134" s="61">
        <f t="shared" si="57"/>
        <v>81.661075848913043</v>
      </c>
      <c r="AA134" s="61">
        <f t="shared" si="57"/>
        <v>95.389902826217408</v>
      </c>
      <c r="AB134" s="61">
        <f t="shared" si="57"/>
        <v>92.493777737262292</v>
      </c>
      <c r="AC134" s="61">
        <f t="shared" si="57"/>
        <v>89.024255606484274</v>
      </c>
      <c r="AD134" s="61">
        <f t="shared" si="57"/>
        <v>78.655062897727973</v>
      </c>
      <c r="AE134" s="61">
        <f t="shared" si="57"/>
        <v>75.332560307691878</v>
      </c>
      <c r="AF134" s="61">
        <f t="shared" si="57"/>
        <v>79.119862617682145</v>
      </c>
      <c r="AG134" s="61">
        <f t="shared" si="57"/>
        <v>75.0248140423721</v>
      </c>
      <c r="AH134" s="61">
        <f t="shared" si="57"/>
        <v>79.8705382474201</v>
      </c>
      <c r="AI134" s="61">
        <f t="shared" si="57"/>
        <v>80.968381975042234</v>
      </c>
      <c r="AJ134" s="61">
        <f t="shared" si="57"/>
        <v>95.525637658391346</v>
      </c>
      <c r="AK134" s="61">
        <f t="shared" si="57"/>
        <v>94.099180928099273</v>
      </c>
      <c r="AL134" s="61">
        <f t="shared" si="57"/>
        <v>94.132043127552265</v>
      </c>
      <c r="AM134" s="61">
        <f t="shared" si="57"/>
        <v>91.469419495447298</v>
      </c>
      <c r="AN134" s="61">
        <f t="shared" si="57"/>
        <v>89.383170455034531</v>
      </c>
      <c r="AO134" s="61">
        <f t="shared" si="57"/>
        <v>87.362567604300239</v>
      </c>
      <c r="AP134" s="61">
        <f t="shared" si="57"/>
        <v>85.405284794346187</v>
      </c>
      <c r="AQ134" s="61">
        <f t="shared" si="57"/>
        <v>83.509081924151744</v>
      </c>
      <c r="AR134" s="61">
        <f t="shared" si="57"/>
        <v>81.671801705039456</v>
      </c>
      <c r="AS134" s="61">
        <f t="shared" si="57"/>
        <v>79.596427544522641</v>
      </c>
      <c r="AT134" s="61">
        <f t="shared" si="57"/>
        <v>92.590234547473244</v>
      </c>
      <c r="AU134" s="61">
        <f t="shared" si="57"/>
        <v>135.10066559226578</v>
      </c>
      <c r="AV134" s="61">
        <f t="shared" si="57"/>
        <v>171.7705118787849</v>
      </c>
      <c r="AW134" s="61">
        <f t="shared" si="57"/>
        <v>241.68690163679375</v>
      </c>
      <c r="AX134" s="61">
        <f t="shared" si="57"/>
        <v>240.32606224155825</v>
      </c>
      <c r="AY134" s="61">
        <f t="shared" si="57"/>
        <v>289.01214505167411</v>
      </c>
      <c r="AZ134" s="61">
        <f t="shared" si="57"/>
        <v>338.62873640008473</v>
      </c>
      <c r="BA134" s="61">
        <f t="shared" si="57"/>
        <v>301.23098153614683</v>
      </c>
      <c r="BB134" s="61">
        <f t="shared" si="57"/>
        <v>256.83301178596327</v>
      </c>
      <c r="BC134" s="61">
        <f t="shared" si="57"/>
        <v>240.42802600841512</v>
      </c>
      <c r="BD134" s="61">
        <f t="shared" si="57"/>
        <v>224.21096760332847</v>
      </c>
    </row>
    <row r="135" spans="3:56" x14ac:dyDescent="0.25">
      <c r="D135" s="52" t="s">
        <v>45</v>
      </c>
      <c r="E135" s="56">
        <f t="shared" ref="E135:AJ135" si="58">E134-E112</f>
        <v>22.819852955876627</v>
      </c>
      <c r="F135" s="56">
        <f t="shared" si="58"/>
        <v>20.671297766377947</v>
      </c>
      <c r="G135" s="56">
        <f t="shared" si="58"/>
        <v>15.112117040240776</v>
      </c>
      <c r="H135" s="56">
        <f t="shared" si="58"/>
        <v>15.685128847836467</v>
      </c>
      <c r="I135" s="56">
        <f t="shared" si="58"/>
        <v>23.251665086904183</v>
      </c>
      <c r="J135" s="56">
        <f t="shared" si="58"/>
        <v>33.402812640049717</v>
      </c>
      <c r="K135" s="56">
        <f t="shared" si="58"/>
        <v>19.335486210532537</v>
      </c>
      <c r="L135" s="56">
        <f t="shared" si="58"/>
        <v>22.181533595619911</v>
      </c>
      <c r="M135" s="56">
        <f t="shared" si="58"/>
        <v>20.663966838680906</v>
      </c>
      <c r="N135" s="56">
        <f t="shared" si="58"/>
        <v>12.264066046076408</v>
      </c>
      <c r="O135" s="56">
        <f t="shared" si="58"/>
        <v>0.79432451052431929</v>
      </c>
      <c r="P135" s="56">
        <f t="shared" si="58"/>
        <v>4.9919795723403695</v>
      </c>
      <c r="Q135" s="56">
        <f t="shared" si="58"/>
        <v>16.094860107091975</v>
      </c>
      <c r="R135" s="56">
        <f t="shared" si="58"/>
        <v>18.76798643735269</v>
      </c>
      <c r="S135" s="56">
        <f t="shared" si="58"/>
        <v>13.834750977276897</v>
      </c>
      <c r="T135" s="56">
        <f t="shared" si="58"/>
        <v>2.8678211217019935</v>
      </c>
      <c r="U135" s="56">
        <f t="shared" si="58"/>
        <v>7.4549490353929144</v>
      </c>
      <c r="V135" s="56">
        <f t="shared" si="58"/>
        <v>1.052454079831648</v>
      </c>
      <c r="W135" s="56">
        <f t="shared" si="58"/>
        <v>0.97299798967235063</v>
      </c>
      <c r="X135" s="56">
        <f t="shared" si="58"/>
        <v>-4.1285465643456263</v>
      </c>
      <c r="Y135" s="56">
        <f t="shared" si="58"/>
        <v>0.63922351089247798</v>
      </c>
      <c r="Z135" s="56">
        <f t="shared" si="58"/>
        <v>2.8877049654574733</v>
      </c>
      <c r="AA135" s="56">
        <f t="shared" si="58"/>
        <v>1.4844307290945977</v>
      </c>
      <c r="AB135" s="56">
        <f t="shared" si="58"/>
        <v>3.0779956269559534</v>
      </c>
      <c r="AC135" s="56">
        <f t="shared" si="58"/>
        <v>4.0805155509398503</v>
      </c>
      <c r="AD135" s="56">
        <f t="shared" si="58"/>
        <v>5.9818400614650642</v>
      </c>
      <c r="AE135" s="56">
        <f t="shared" si="58"/>
        <v>9.6131543289103121</v>
      </c>
      <c r="AF135" s="56">
        <f t="shared" si="58"/>
        <v>7.089954845853697</v>
      </c>
      <c r="AG135" s="56">
        <f t="shared" si="58"/>
        <v>9.6105029357566707</v>
      </c>
      <c r="AH135" s="56">
        <f t="shared" si="58"/>
        <v>2.9435591283282605</v>
      </c>
      <c r="AI135" s="56">
        <f t="shared" si="58"/>
        <v>2.7501673072286366</v>
      </c>
      <c r="AJ135" s="56">
        <f t="shared" si="58"/>
        <v>8.7272843964958753</v>
      </c>
      <c r="AK135" s="56">
        <f t="shared" ref="AK135:BD135" si="59">AK134-AK112</f>
        <v>4.7941207171052298</v>
      </c>
      <c r="AL135" s="56">
        <f t="shared" si="59"/>
        <v>5.6361870213988681</v>
      </c>
      <c r="AM135" s="56">
        <f t="shared" si="59"/>
        <v>12.87508281687181</v>
      </c>
      <c r="AN135" s="56">
        <f t="shared" si="59"/>
        <v>19.041293267848545</v>
      </c>
      <c r="AO135" s="56">
        <f t="shared" si="59"/>
        <v>15.885974556104173</v>
      </c>
      <c r="AP135" s="56">
        <f t="shared" si="59"/>
        <v>10.810457166559118</v>
      </c>
      <c r="AQ135" s="56">
        <f t="shared" si="59"/>
        <v>3.311198381828163</v>
      </c>
      <c r="AR135" s="56">
        <f t="shared" si="59"/>
        <v>0.27306882995702608</v>
      </c>
      <c r="AS135" s="56">
        <f t="shared" si="59"/>
        <v>-5.5949707591117175</v>
      </c>
      <c r="AT135" s="56">
        <f t="shared" si="59"/>
        <v>5.8660241356077023</v>
      </c>
      <c r="AU135" s="56">
        <f t="shared" si="59"/>
        <v>39.58620678529752</v>
      </c>
      <c r="AV135" s="56">
        <f t="shared" si="59"/>
        <v>57.954559612205074</v>
      </c>
      <c r="AW135" s="56">
        <f t="shared" si="59"/>
        <v>116.85200299544037</v>
      </c>
      <c r="AX135" s="56">
        <f t="shared" si="59"/>
        <v>117.38854605346322</v>
      </c>
      <c r="AY135" s="56">
        <f t="shared" si="59"/>
        <v>46.726822093805708</v>
      </c>
      <c r="AZ135" s="56">
        <f t="shared" si="59"/>
        <v>13.214002377207123</v>
      </c>
      <c r="BA135" s="56">
        <f t="shared" si="59"/>
        <v>15.416196555144893</v>
      </c>
      <c r="BB135" s="56">
        <f t="shared" si="59"/>
        <v>16.819578237732344</v>
      </c>
      <c r="BC135" s="56">
        <f t="shared" si="59"/>
        <v>94.838461117822987</v>
      </c>
      <c r="BD135" s="56">
        <f t="shared" si="59"/>
        <v>91.984642406401321</v>
      </c>
    </row>
  </sheetData>
  <mergeCells count="7">
    <mergeCell ref="C124:C130"/>
    <mergeCell ref="C3:C7"/>
    <mergeCell ref="C113:C119"/>
    <mergeCell ref="C34:C51"/>
    <mergeCell ref="C54:C72"/>
    <mergeCell ref="C75:C92"/>
    <mergeCell ref="C95:C109"/>
  </mergeCells>
  <conditionalFormatting sqref="E25:L25 E93:BD93 E95:BD104 E92:O92 Q92:BD92">
    <cfRule type="expression" dxfId="300" priority="154">
      <formula>IF(E$3=TODAY()-WEEKDAY(TODAY())+7,TRUE,FALSE)</formula>
    </cfRule>
  </conditionalFormatting>
  <conditionalFormatting sqref="E28:L28">
    <cfRule type="expression" dxfId="299" priority="151">
      <formula>IF(E$3=TODAY()-WEEKDAY(TODAY())+7,TRUE,FALSE)</formula>
    </cfRule>
  </conditionalFormatting>
  <conditionalFormatting sqref="E9:M9">
    <cfRule type="expression" dxfId="298" priority="148">
      <formula>IF(E$3=TODAY()-WEEKDAY(TODAY())+7,TRUE,FALSE)</formula>
    </cfRule>
  </conditionalFormatting>
  <conditionalFormatting sqref="E50:L50">
    <cfRule type="expression" dxfId="297" priority="145">
      <formula>IF(E$3=TODAY()-WEEKDAY(TODAY())+7,TRUE,FALSE)</formula>
    </cfRule>
  </conditionalFormatting>
  <conditionalFormatting sqref="E47:L47">
    <cfRule type="expression" dxfId="296" priority="146">
      <formula>IF(E$3=TODAY()-WEEKDAY(TODAY())+7,TRUE,FALSE)</formula>
    </cfRule>
  </conditionalFormatting>
  <conditionalFormatting sqref="E68:L68">
    <cfRule type="expression" dxfId="295" priority="144">
      <formula>IF(E$3=TODAY()-WEEKDAY(TODAY())+7,TRUE,FALSE)</formula>
    </cfRule>
  </conditionalFormatting>
  <conditionalFormatting sqref="E71:L71">
    <cfRule type="expression" dxfId="294" priority="140">
      <formula>IF(E$3=TODAY()-WEEKDAY(TODAY())+7,TRUE,FALSE)</formula>
    </cfRule>
  </conditionalFormatting>
  <conditionalFormatting sqref="F88:BD88">
    <cfRule type="expression" dxfId="293" priority="138">
      <formula>IF(F$3=TODAY()-WEEKDAY(TODAY())+7,TRUE,FALSE)</formula>
    </cfRule>
  </conditionalFormatting>
  <conditionalFormatting sqref="E91:BD91">
    <cfRule type="expression" dxfId="292" priority="136">
      <formula>IF(E$3=TODAY()-WEEKDAY(TODAY())+7,TRUE,FALSE)</formula>
    </cfRule>
  </conditionalFormatting>
  <conditionalFormatting sqref="E132:L132">
    <cfRule type="expression" dxfId="291" priority="134">
      <formula>IF(E$3=TODAY()-WEEKDAY(TODAY())+7,TRUE,FALSE)</formula>
    </cfRule>
  </conditionalFormatting>
  <conditionalFormatting sqref="E133:L133">
    <cfRule type="expression" dxfId="290" priority="133">
      <formula>IF(E$3=TODAY()-WEEKDAY(TODAY())+7,TRUE,FALSE)</formula>
    </cfRule>
  </conditionalFormatting>
  <conditionalFormatting sqref="E134:L134">
    <cfRule type="expression" dxfId="289" priority="132">
      <formula>IF(E$3=TODAY()-WEEKDAY(TODAY())+7,TRUE,FALSE)</formula>
    </cfRule>
  </conditionalFormatting>
  <conditionalFormatting sqref="E135:L135">
    <cfRule type="expression" dxfId="288" priority="126">
      <formula>IF(E$3=TODAY()-WEEKDAY(TODAY())+7,TRUE,FALSE)</formula>
    </cfRule>
  </conditionalFormatting>
  <conditionalFormatting sqref="E72:L72">
    <cfRule type="expression" dxfId="287" priority="125">
      <formula>IF(E$3=TODAY()-WEEKDAY(TODAY())+7,TRUE,FALSE)</formula>
    </cfRule>
  </conditionalFormatting>
  <conditionalFormatting sqref="E51:L51">
    <cfRule type="expression" dxfId="286" priority="124">
      <formula>IF(E$3=TODAY()-WEEKDAY(TODAY())+7,TRUE,FALSE)</formula>
    </cfRule>
  </conditionalFormatting>
  <conditionalFormatting sqref="E29:L29">
    <cfRule type="expression" dxfId="285" priority="123">
      <formula>IF(E$3=TODAY()-WEEKDAY(TODAY())+7,TRUE,FALSE)</formula>
    </cfRule>
  </conditionalFormatting>
  <conditionalFormatting sqref="E30:BD30">
    <cfRule type="expression" dxfId="284" priority="122">
      <formula>IF(E$3=TODAY()-WEEKDAY(TODAY())+7,TRUE,FALSE)</formula>
    </cfRule>
  </conditionalFormatting>
  <conditionalFormatting sqref="E18:BD24">
    <cfRule type="cellIs" dxfId="283" priority="109" operator="lessThan">
      <formula>0</formula>
    </cfRule>
  </conditionalFormatting>
  <conditionalFormatting sqref="E18:BD24">
    <cfRule type="expression" dxfId="282" priority="110">
      <formula>IF(E$3=TODAY()-WEEKDAY(TODAY())+7,TRUE,FALSE)</formula>
    </cfRule>
  </conditionalFormatting>
  <conditionalFormatting sqref="M25:BD25">
    <cfRule type="expression" dxfId="281" priority="108">
      <formula>IF(M$3=TODAY()-WEEKDAY(TODAY())+7,TRUE,FALSE)</formula>
    </cfRule>
  </conditionalFormatting>
  <conditionalFormatting sqref="E26:BD26">
    <cfRule type="expression" dxfId="280" priority="107">
      <formula>IF(E$3=TODAY()-WEEKDAY(TODAY())+7,TRUE,FALSE)</formula>
    </cfRule>
  </conditionalFormatting>
  <conditionalFormatting sqref="M28:BD28">
    <cfRule type="expression" dxfId="279" priority="105">
      <formula>IF(M$3=TODAY()-WEEKDAY(TODAY())+7,TRUE,FALSE)</formula>
    </cfRule>
  </conditionalFormatting>
  <conditionalFormatting sqref="M29:BD29">
    <cfRule type="expression" dxfId="278" priority="104">
      <formula>IF(M$3=TODAY()-WEEKDAY(TODAY())+7,TRUE,FALSE)</formula>
    </cfRule>
  </conditionalFormatting>
  <conditionalFormatting sqref="E40:BD46">
    <cfRule type="cellIs" dxfId="277" priority="98" operator="lessThan">
      <formula>0</formula>
    </cfRule>
  </conditionalFormatting>
  <conditionalFormatting sqref="E40:BD46">
    <cfRule type="expression" dxfId="276" priority="99">
      <formula>IF(E$3=TODAY()-WEEKDAY(TODAY())+7,TRUE,FALSE)</formula>
    </cfRule>
  </conditionalFormatting>
  <conditionalFormatting sqref="M47:BD47">
    <cfRule type="expression" dxfId="275" priority="97">
      <formula>IF(M$3=TODAY()-WEEKDAY(TODAY())+7,TRUE,FALSE)</formula>
    </cfRule>
  </conditionalFormatting>
  <conditionalFormatting sqref="M51:BD51">
    <cfRule type="expression" dxfId="274" priority="93">
      <formula>IF(M$3=TODAY()-WEEKDAY(TODAY())+7,TRUE,FALSE)</formula>
    </cfRule>
  </conditionalFormatting>
  <conditionalFormatting sqref="M50:BD50">
    <cfRule type="expression" dxfId="273" priority="94">
      <formula>IF(M$3=TODAY()-WEEKDAY(TODAY())+7,TRUE,FALSE)</formula>
    </cfRule>
  </conditionalFormatting>
  <conditionalFormatting sqref="E58:BD58">
    <cfRule type="expression" dxfId="272" priority="88">
      <formula>IF(E$3=TODAY()-WEEKDAY(TODAY())+7,TRUE,FALSE)</formula>
    </cfRule>
  </conditionalFormatting>
  <conditionalFormatting sqref="E61:BD67">
    <cfRule type="cellIs" dxfId="271" priority="86" operator="lessThan">
      <formula>0</formula>
    </cfRule>
  </conditionalFormatting>
  <conditionalFormatting sqref="E61:BD67">
    <cfRule type="expression" dxfId="270" priority="87">
      <formula>IF(E$3=TODAY()-WEEKDAY(TODAY())+7,TRUE,FALSE)</formula>
    </cfRule>
  </conditionalFormatting>
  <conditionalFormatting sqref="M68:BD68">
    <cfRule type="expression" dxfId="269" priority="85">
      <formula>IF(M$3=TODAY()-WEEKDAY(TODAY())+7,TRUE,FALSE)</formula>
    </cfRule>
  </conditionalFormatting>
  <conditionalFormatting sqref="M72:BD72">
    <cfRule type="expression" dxfId="268" priority="82">
      <formula>IF(M$3=TODAY()-WEEKDAY(TODAY())+7,TRUE,FALSE)</formula>
    </cfRule>
  </conditionalFormatting>
  <conditionalFormatting sqref="M71:BD71">
    <cfRule type="expression" dxfId="267" priority="83">
      <formula>IF(M$3=TODAY()-WEEKDAY(TODAY())+7,TRUE,FALSE)</formula>
    </cfRule>
  </conditionalFormatting>
  <conditionalFormatting sqref="E81:BD87">
    <cfRule type="cellIs" dxfId="266" priority="76" operator="lessThan">
      <formula>0</formula>
    </cfRule>
  </conditionalFormatting>
  <conditionalFormatting sqref="E81:BD87">
    <cfRule type="expression" dxfId="265" priority="77">
      <formula>IF(E$3=TODAY()-WEEKDAY(TODAY())+7,TRUE,FALSE)</formula>
    </cfRule>
  </conditionalFormatting>
  <conditionalFormatting sqref="E91:BD91">
    <cfRule type="expression" dxfId="264" priority="74">
      <formula>IF(E$3=TODAY()-WEEKDAY(TODAY())+7,TRUE,FALSE)</formula>
    </cfRule>
  </conditionalFormatting>
  <conditionalFormatting sqref="M132:BD132">
    <cfRule type="expression" dxfId="263" priority="72">
      <formula>IF(M$3=TODAY()-WEEKDAY(TODAY())+7,TRUE,FALSE)</formula>
    </cfRule>
  </conditionalFormatting>
  <conditionalFormatting sqref="M133:BD133">
    <cfRule type="expression" dxfId="262" priority="71">
      <formula>IF(M$3=TODAY()-WEEKDAY(TODAY())+7,TRUE,FALSE)</formula>
    </cfRule>
  </conditionalFormatting>
  <conditionalFormatting sqref="M134:BD134">
    <cfRule type="expression" dxfId="261" priority="70">
      <formula>IF(M$3=TODAY()-WEEKDAY(TODAY())+7,TRUE,FALSE)</formula>
    </cfRule>
  </conditionalFormatting>
  <conditionalFormatting sqref="M135:BD135">
    <cfRule type="expression" dxfId="260" priority="69">
      <formula>IF(M$3=TODAY()-WEEKDAY(TODAY())+7,TRUE,FALSE)</formula>
    </cfRule>
  </conditionalFormatting>
  <conditionalFormatting sqref="E3:BD3">
    <cfRule type="expression" dxfId="259" priority="68">
      <formula>IF(E$3=TODAY()-WEEKDAY(TODAY())+7,TRUE,FALSE)</formula>
    </cfRule>
  </conditionalFormatting>
  <conditionalFormatting sqref="E4:BD4">
    <cfRule type="expression" dxfId="258" priority="67">
      <formula>IF(E$3=TODAY()-WEEKDAY(TODAY())+7,TRUE,FALSE)</formula>
    </cfRule>
  </conditionalFormatting>
  <conditionalFormatting sqref="E5:BD5">
    <cfRule type="expression" dxfId="257" priority="66">
      <formula>IF(E$3=TODAY()-WEEKDAY(TODAY())+7,TRUE,FALSE)</formula>
    </cfRule>
  </conditionalFormatting>
  <conditionalFormatting sqref="E6:BD6">
    <cfRule type="expression" dxfId="256" priority="65">
      <formula>IF(E$3=TODAY()-WEEKDAY(TODAY())+7,TRUE,FALSE)</formula>
    </cfRule>
  </conditionalFormatting>
  <conditionalFormatting sqref="E34:BD34">
    <cfRule type="expression" dxfId="255" priority="64">
      <formula>IF(E$3=TODAY()-WEEKDAY(TODAY())+7,TRUE,FALSE)</formula>
    </cfRule>
  </conditionalFormatting>
  <conditionalFormatting sqref="E35:BD35">
    <cfRule type="expression" dxfId="254" priority="63">
      <formula>IF(E$3=TODAY()-WEEKDAY(TODAY())+7,TRUE,FALSE)</formula>
    </cfRule>
  </conditionalFormatting>
  <conditionalFormatting sqref="E36:BD36">
    <cfRule type="expression" dxfId="253" priority="62">
      <formula>IF(E$3=TODAY()-WEEKDAY(TODAY())+7,TRUE,FALSE)</formula>
    </cfRule>
  </conditionalFormatting>
  <conditionalFormatting sqref="E37:BD37">
    <cfRule type="expression" dxfId="252" priority="61">
      <formula>IF(E$3=TODAY()-WEEKDAY(TODAY())+7,TRUE,FALSE)</formula>
    </cfRule>
  </conditionalFormatting>
  <conditionalFormatting sqref="E54:BD54">
    <cfRule type="expression" dxfId="251" priority="60">
      <formula>IF(E$3=TODAY()-WEEKDAY(TODAY())+7,TRUE,FALSE)</formula>
    </cfRule>
  </conditionalFormatting>
  <conditionalFormatting sqref="E55:BD55">
    <cfRule type="expression" dxfId="250" priority="59">
      <formula>IF(E$3=TODAY()-WEEKDAY(TODAY())+7,TRUE,FALSE)</formula>
    </cfRule>
  </conditionalFormatting>
  <conditionalFormatting sqref="E56:BD56">
    <cfRule type="expression" dxfId="249" priority="58">
      <formula>IF(E$3=TODAY()-WEEKDAY(TODAY())+7,TRUE,FALSE)</formula>
    </cfRule>
  </conditionalFormatting>
  <conditionalFormatting sqref="E57:BD57">
    <cfRule type="expression" dxfId="248" priority="57">
      <formula>IF(E$3=TODAY()-WEEKDAY(TODAY())+7,TRUE,FALSE)</formula>
    </cfRule>
  </conditionalFormatting>
  <conditionalFormatting sqref="E75:BD75">
    <cfRule type="expression" dxfId="247" priority="56">
      <formula>IF(E$3=TODAY()-WEEKDAY(TODAY())+7,TRUE,FALSE)</formula>
    </cfRule>
  </conditionalFormatting>
  <conditionalFormatting sqref="E76:BD76">
    <cfRule type="expression" dxfId="246" priority="55">
      <formula>IF(E$3=TODAY()-WEEKDAY(TODAY())+7,TRUE,FALSE)</formula>
    </cfRule>
  </conditionalFormatting>
  <conditionalFormatting sqref="E77:BD77">
    <cfRule type="expression" dxfId="245" priority="54">
      <formula>IF(E$3=TODAY()-WEEKDAY(TODAY())+7,TRUE,FALSE)</formula>
    </cfRule>
  </conditionalFormatting>
  <conditionalFormatting sqref="E78:BD78">
    <cfRule type="expression" dxfId="244" priority="53">
      <formula>IF(E$3=TODAY()-WEEKDAY(TODAY())+7,TRUE,FALSE)</formula>
    </cfRule>
  </conditionalFormatting>
  <conditionalFormatting sqref="E48:BD48">
    <cfRule type="expression" dxfId="243" priority="52">
      <formula>IF(E$3=TODAY()-WEEKDAY(TODAY())+7,TRUE,FALSE)</formula>
    </cfRule>
  </conditionalFormatting>
  <conditionalFormatting sqref="E69:BD69">
    <cfRule type="expression" dxfId="242" priority="51">
      <formula>IF(E$3=TODAY()-WEEKDAY(TODAY())+7,TRUE,FALSE)</formula>
    </cfRule>
  </conditionalFormatting>
  <conditionalFormatting sqref="E89:BD89">
    <cfRule type="expression" dxfId="241" priority="50">
      <formula>IF(E$3=TODAY()-WEEKDAY(TODAY())+7,TRUE,FALSE)</formula>
    </cfRule>
  </conditionalFormatting>
  <conditionalFormatting sqref="E113:BD119">
    <cfRule type="expression" dxfId="240" priority="49">
      <formula>IF(E$3=TODAY()-WEEKDAY(TODAY())+7,TRUE,FALSE)</formula>
    </cfRule>
  </conditionalFormatting>
  <conditionalFormatting sqref="F113">
    <cfRule type="expression" dxfId="239" priority="48">
      <formula>IF(F$3=TODAY()-WEEKDAY(TODAY())+7,TRUE,FALSE)</formula>
    </cfRule>
  </conditionalFormatting>
  <conditionalFormatting sqref="F2:BD2">
    <cfRule type="expression" dxfId="238" priority="36">
      <formula>IF(F$3=TODAY()-WEEKDAY(TODAY())+7,TRUE,FALSE)</formula>
    </cfRule>
  </conditionalFormatting>
  <conditionalFormatting sqref="E2">
    <cfRule type="expression" dxfId="237" priority="37">
      <formula>IF(E$3=TODAY()-WEEKDAY(TODAY())+7,TRUE,FALSE)</formula>
    </cfRule>
  </conditionalFormatting>
  <conditionalFormatting sqref="F111:BD111">
    <cfRule type="expression" dxfId="236" priority="28">
      <formula>IF(F$3=TODAY()-WEEKDAY(TODAY())+7,TRUE,FALSE)</formula>
    </cfRule>
  </conditionalFormatting>
  <conditionalFormatting sqref="E33">
    <cfRule type="expression" dxfId="235" priority="35">
      <formula>IF(E$3=TODAY()-WEEKDAY(TODAY())+7,TRUE,FALSE)</formula>
    </cfRule>
  </conditionalFormatting>
  <conditionalFormatting sqref="F33:BD33">
    <cfRule type="expression" dxfId="234" priority="34">
      <formula>IF(F$3=TODAY()-WEEKDAY(TODAY())+7,TRUE,FALSE)</formula>
    </cfRule>
  </conditionalFormatting>
  <conditionalFormatting sqref="E53">
    <cfRule type="expression" dxfId="233" priority="33">
      <formula>IF(E$3=TODAY()-WEEKDAY(TODAY())+7,TRUE,FALSE)</formula>
    </cfRule>
  </conditionalFormatting>
  <conditionalFormatting sqref="F53:BD53">
    <cfRule type="expression" dxfId="232" priority="32">
      <formula>IF(F$3=TODAY()-WEEKDAY(TODAY())+7,TRUE,FALSE)</formula>
    </cfRule>
  </conditionalFormatting>
  <conditionalFormatting sqref="E74">
    <cfRule type="expression" dxfId="231" priority="31">
      <formula>IF(E$3=TODAY()-WEEKDAY(TODAY())+7,TRUE,FALSE)</formula>
    </cfRule>
  </conditionalFormatting>
  <conditionalFormatting sqref="F74:BD74">
    <cfRule type="expression" dxfId="230" priority="30">
      <formula>IF(F$3=TODAY()-WEEKDAY(TODAY())+7,TRUE,FALSE)</formula>
    </cfRule>
  </conditionalFormatting>
  <conditionalFormatting sqref="E111">
    <cfRule type="expression" dxfId="229" priority="29">
      <formula>IF(E$3=TODAY()-WEEKDAY(TODAY())+7,TRUE,FALSE)</formula>
    </cfRule>
  </conditionalFormatting>
  <conditionalFormatting sqref="E94:BD94">
    <cfRule type="expression" dxfId="228" priority="24">
      <formula>IF(E$3=TODAY()-WEEKDAY(TODAY())+7,TRUE,FALSE)</formula>
    </cfRule>
  </conditionalFormatting>
  <conditionalFormatting sqref="F94:BD94">
    <cfRule type="expression" dxfId="227" priority="23">
      <formula>IF(F$3=TODAY()-WEEKDAY(TODAY())+7,TRUE,FALSE)</formula>
    </cfRule>
  </conditionalFormatting>
  <conditionalFormatting sqref="E106:BD106">
    <cfRule type="expression" dxfId="226" priority="21">
      <formula>IF(E$3=TODAY()-WEEKDAY(TODAY())+7,TRUE,FALSE)</formula>
    </cfRule>
  </conditionalFormatting>
  <conditionalFormatting sqref="F105:BD105">
    <cfRule type="expression" dxfId="225" priority="20">
      <formula>IF(F$3=TODAY()-WEEKDAY(TODAY())+7,TRUE,FALSE)</formula>
    </cfRule>
  </conditionalFormatting>
  <conditionalFormatting sqref="E108:BD108">
    <cfRule type="expression" dxfId="224" priority="19">
      <formula>IF(E$3=TODAY()-WEEKDAY(TODAY())+7,TRUE,FALSE)</formula>
    </cfRule>
  </conditionalFormatting>
  <conditionalFormatting sqref="E109:L109">
    <cfRule type="expression" dxfId="223" priority="18">
      <formula>IF(E$3=TODAY()-WEEKDAY(TODAY())+7,TRUE,FALSE)</formula>
    </cfRule>
  </conditionalFormatting>
  <conditionalFormatting sqref="M109:BD109">
    <cfRule type="expression" dxfId="222" priority="17">
      <formula>IF(M$3=TODAY()-WEEKDAY(TODAY())+7,TRUE,FALSE)</formula>
    </cfRule>
  </conditionalFormatting>
  <conditionalFormatting sqref="E27:BD27">
    <cfRule type="cellIs" dxfId="221" priority="15" operator="greaterThan">
      <formula>0</formula>
    </cfRule>
    <cfRule type="cellIs" dxfId="220" priority="16" operator="lessThan">
      <formula>0</formula>
    </cfRule>
  </conditionalFormatting>
  <conditionalFormatting sqref="E49:BD49">
    <cfRule type="cellIs" dxfId="219" priority="13" operator="greaterThan">
      <formula>0</formula>
    </cfRule>
    <cfRule type="cellIs" dxfId="218" priority="14" operator="lessThan">
      <formula>0</formula>
    </cfRule>
  </conditionalFormatting>
  <conditionalFormatting sqref="E70:BD70">
    <cfRule type="cellIs" dxfId="217" priority="11" operator="greaterThan">
      <formula>0</formula>
    </cfRule>
    <cfRule type="cellIs" dxfId="216" priority="12" operator="lessThan">
      <formula>0</formula>
    </cfRule>
  </conditionalFormatting>
  <conditionalFormatting sqref="E90:BD90">
    <cfRule type="cellIs" dxfId="215" priority="9" operator="greaterThan">
      <formula>0</formula>
    </cfRule>
    <cfRule type="cellIs" dxfId="214" priority="10" operator="lessThan">
      <formula>0</formula>
    </cfRule>
  </conditionalFormatting>
  <conditionalFormatting sqref="E107:BD107">
    <cfRule type="cellIs" dxfId="213" priority="7" operator="greaterThan">
      <formula>0</formula>
    </cfRule>
    <cfRule type="cellIs" dxfId="212" priority="8" operator="lessThan">
      <formula>0</formula>
    </cfRule>
  </conditionalFormatting>
  <conditionalFormatting sqref="E10:BD16">
    <cfRule type="expression" dxfId="211" priority="4">
      <formula>IF(E$3=TODAY()-WEEKDAY(TODAY())+7,TRUE,FALSE)</formula>
    </cfRule>
  </conditionalFormatting>
  <conditionalFormatting sqref="E88:BD88">
    <cfRule type="expression" dxfId="210" priority="3">
      <formula>IF(E$3=TODAY()-WEEKDAY(TODAY())+7,TRUE,FALSE)</formula>
    </cfRule>
  </conditionalFormatting>
  <conditionalFormatting sqref="E92:BD92">
    <cfRule type="expression" dxfId="209" priority="2">
      <formula>IF(E$3=TODAY()-WEEKDAY(TODAY())+7,TRUE,FALSE)</formula>
    </cfRule>
  </conditionalFormatting>
  <conditionalFormatting sqref="E105:BD105">
    <cfRule type="expression" dxfId="208" priority="1">
      <formula>IF(E$3=TODAY()-WEEKDAY(TODAY())+7,TRUE,FALSE)</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DCA04-7107-4067-83DB-1A0F1C0D0CF2}">
  <sheetPr codeName="Sheet9"/>
  <dimension ref="A2:BD135"/>
  <sheetViews>
    <sheetView showGridLines="0" workbookViewId="0">
      <pane xSplit="4" ySplit="2" topLeftCell="W3" activePane="bottomRight" state="frozen"/>
      <selection pane="topRight" activeCell="E1" sqref="E1"/>
      <selection pane="bottomLeft" activeCell="A3" sqref="A3"/>
      <selection pane="bottomRight" activeCell="W1" sqref="W1:W1048576"/>
    </sheetView>
  </sheetViews>
  <sheetFormatPr defaultRowHeight="15" x14ac:dyDescent="0.25"/>
  <cols>
    <col min="1" max="1" width="9.140625" style="6"/>
    <col min="2" max="2" width="2.5703125" style="6" customWidth="1"/>
    <col min="3" max="3" width="26.7109375" style="41" customWidth="1"/>
    <col min="4" max="4" width="23.7109375" style="41" bestFit="1" customWidth="1"/>
    <col min="5" max="7" width="8.7109375" style="43" hidden="1" customWidth="1"/>
    <col min="8" max="23" width="8.7109375" style="41" hidden="1" customWidth="1"/>
    <col min="24" max="56" width="8.7109375" style="41" bestFit="1" customWidth="1"/>
    <col min="57" max="16384" width="9.140625" style="41"/>
  </cols>
  <sheetData>
    <row r="2" spans="3:56" ht="26.25" x14ac:dyDescent="0.4">
      <c r="D2" s="47" t="s">
        <v>32</v>
      </c>
      <c r="E2" s="82">
        <v>44569</v>
      </c>
      <c r="F2" s="82">
        <f>E2+7</f>
        <v>44576</v>
      </c>
      <c r="G2" s="82">
        <f t="shared" ref="G2:BD2" si="0">F2+7</f>
        <v>44583</v>
      </c>
      <c r="H2" s="82">
        <f t="shared" si="0"/>
        <v>44590</v>
      </c>
      <c r="I2" s="82">
        <f t="shared" si="0"/>
        <v>44597</v>
      </c>
      <c r="J2" s="82">
        <f t="shared" si="0"/>
        <v>44604</v>
      </c>
      <c r="K2" s="82">
        <f t="shared" si="0"/>
        <v>44611</v>
      </c>
      <c r="L2" s="82">
        <f t="shared" si="0"/>
        <v>44618</v>
      </c>
      <c r="M2" s="82">
        <f t="shared" si="0"/>
        <v>44625</v>
      </c>
      <c r="N2" s="82">
        <f t="shared" si="0"/>
        <v>44632</v>
      </c>
      <c r="O2" s="82">
        <f t="shared" si="0"/>
        <v>44639</v>
      </c>
      <c r="P2" s="82">
        <f t="shared" si="0"/>
        <v>44646</v>
      </c>
      <c r="Q2" s="82">
        <f t="shared" si="0"/>
        <v>44653</v>
      </c>
      <c r="R2" s="82">
        <f t="shared" si="0"/>
        <v>44660</v>
      </c>
      <c r="S2" s="82">
        <f t="shared" si="0"/>
        <v>44667</v>
      </c>
      <c r="T2" s="82">
        <f t="shared" si="0"/>
        <v>44674</v>
      </c>
      <c r="U2" s="82">
        <f t="shared" si="0"/>
        <v>44681</v>
      </c>
      <c r="V2" s="82">
        <f t="shared" si="0"/>
        <v>44688</v>
      </c>
      <c r="W2" s="82">
        <f t="shared" si="0"/>
        <v>44695</v>
      </c>
      <c r="X2" s="82">
        <f t="shared" si="0"/>
        <v>44702</v>
      </c>
      <c r="Y2" s="82">
        <f t="shared" si="0"/>
        <v>44709</v>
      </c>
      <c r="Z2" s="82">
        <f t="shared" si="0"/>
        <v>44716</v>
      </c>
      <c r="AA2" s="82">
        <f t="shared" si="0"/>
        <v>44723</v>
      </c>
      <c r="AB2" s="82">
        <f t="shared" si="0"/>
        <v>44730</v>
      </c>
      <c r="AC2" s="82">
        <f t="shared" si="0"/>
        <v>44737</v>
      </c>
      <c r="AD2" s="82">
        <f t="shared" si="0"/>
        <v>44744</v>
      </c>
      <c r="AE2" s="82">
        <f t="shared" si="0"/>
        <v>44751</v>
      </c>
      <c r="AF2" s="82">
        <f t="shared" si="0"/>
        <v>44758</v>
      </c>
      <c r="AG2" s="82">
        <f t="shared" si="0"/>
        <v>44765</v>
      </c>
      <c r="AH2" s="82">
        <f t="shared" si="0"/>
        <v>44772</v>
      </c>
      <c r="AI2" s="82">
        <f t="shared" si="0"/>
        <v>44779</v>
      </c>
      <c r="AJ2" s="82">
        <f t="shared" si="0"/>
        <v>44786</v>
      </c>
      <c r="AK2" s="82">
        <f t="shared" si="0"/>
        <v>44793</v>
      </c>
      <c r="AL2" s="82">
        <f t="shared" si="0"/>
        <v>44800</v>
      </c>
      <c r="AM2" s="82">
        <f t="shared" si="0"/>
        <v>44807</v>
      </c>
      <c r="AN2" s="82">
        <f t="shared" si="0"/>
        <v>44814</v>
      </c>
      <c r="AO2" s="82">
        <f t="shared" si="0"/>
        <v>44821</v>
      </c>
      <c r="AP2" s="82">
        <f t="shared" si="0"/>
        <v>44828</v>
      </c>
      <c r="AQ2" s="82">
        <f t="shared" si="0"/>
        <v>44835</v>
      </c>
      <c r="AR2" s="82">
        <f t="shared" si="0"/>
        <v>44842</v>
      </c>
      <c r="AS2" s="82">
        <f t="shared" si="0"/>
        <v>44849</v>
      </c>
      <c r="AT2" s="82">
        <f t="shared" si="0"/>
        <v>44856</v>
      </c>
      <c r="AU2" s="82">
        <f t="shared" si="0"/>
        <v>44863</v>
      </c>
      <c r="AV2" s="82">
        <f t="shared" si="0"/>
        <v>44870</v>
      </c>
      <c r="AW2" s="82">
        <f t="shared" si="0"/>
        <v>44877</v>
      </c>
      <c r="AX2" s="82">
        <f t="shared" si="0"/>
        <v>44884</v>
      </c>
      <c r="AY2" s="82">
        <f t="shared" si="0"/>
        <v>44891</v>
      </c>
      <c r="AZ2" s="82">
        <f t="shared" si="0"/>
        <v>44898</v>
      </c>
      <c r="BA2" s="82">
        <f t="shared" si="0"/>
        <v>44905</v>
      </c>
      <c r="BB2" s="82">
        <f t="shared" si="0"/>
        <v>44912</v>
      </c>
      <c r="BC2" s="82">
        <f t="shared" si="0"/>
        <v>44919</v>
      </c>
      <c r="BD2" s="82">
        <f t="shared" si="0"/>
        <v>44926</v>
      </c>
    </row>
    <row r="3" spans="3:56" x14ac:dyDescent="0.25">
      <c r="C3" s="104" t="s">
        <v>18</v>
      </c>
      <c r="D3" s="41" t="s">
        <v>21</v>
      </c>
      <c r="E3" s="70" t="str">
        <f>IF(LauderNew!E3-LauderOld!E3=0,"",LauderNew!E3-LauderOld!E3)</f>
        <v/>
      </c>
      <c r="F3" s="70" t="str">
        <f>IF(LauderNew!F3-LauderOld!F3=0,"",LauderNew!F3-LauderOld!F3)</f>
        <v/>
      </c>
      <c r="G3" s="70" t="str">
        <f>IF(LauderNew!G3-LauderOld!G3=0,"",LauderNew!G3-LauderOld!G3)</f>
        <v/>
      </c>
      <c r="H3" s="70" t="str">
        <f>IF(LauderNew!H3-LauderOld!H3=0,"",LauderNew!H3-LauderOld!H3)</f>
        <v/>
      </c>
      <c r="I3" s="70" t="str">
        <f>IF(LauderNew!I3-LauderOld!I3=0,"",LauderNew!I3-LauderOld!I3)</f>
        <v/>
      </c>
      <c r="J3" s="70" t="str">
        <f>IF(LauderNew!J3-LauderOld!J3=0,"",LauderNew!J3-LauderOld!J3)</f>
        <v/>
      </c>
      <c r="K3" s="70" t="str">
        <f>IF(LauderNew!K3-LauderOld!K3=0,"",LauderNew!K3-LauderOld!K3)</f>
        <v/>
      </c>
      <c r="L3" s="70" t="str">
        <f>IF(LauderNew!L3-LauderOld!L3=0,"",LauderNew!L3-LauderOld!L3)</f>
        <v/>
      </c>
      <c r="M3" s="70" t="str">
        <f>IF(LauderNew!M3-LauderOld!M3=0,"",LauderNew!M3-LauderOld!M3)</f>
        <v/>
      </c>
      <c r="N3" s="70" t="str">
        <f>IF(LauderNew!N3-LauderOld!N3=0,"",LauderNew!N3-LauderOld!N3)</f>
        <v/>
      </c>
      <c r="O3" s="70" t="str">
        <f>IF(LauderNew!O3-LauderOld!O3=0,"",LauderNew!O3-LauderOld!O3)</f>
        <v/>
      </c>
      <c r="P3" s="70" t="str">
        <f>IF(LauderNew!P3-LauderOld!P3=0,"",LauderNew!P3-LauderOld!P3)</f>
        <v/>
      </c>
      <c r="Q3" s="70" t="str">
        <f>IF(LauderNew!Q3-LauderOld!Q3=0,"",LauderNew!Q3-LauderOld!Q3)</f>
        <v/>
      </c>
      <c r="R3" s="70" t="str">
        <f>IF(LauderNew!R3-LauderOld!R3=0,"",LauderNew!R3-LauderOld!R3)</f>
        <v/>
      </c>
      <c r="S3" s="70" t="str">
        <f>IF(LauderNew!S3-LauderOld!S3=0,"",LauderNew!S3-LauderOld!S3)</f>
        <v/>
      </c>
      <c r="T3" s="70" t="str">
        <f>IF(LauderNew!T3-LauderOld!T3=0,"",LauderNew!T3-LauderOld!T3)</f>
        <v/>
      </c>
      <c r="U3" s="70" t="str">
        <f>IF(LauderNew!U3-LauderOld!U3=0,"",LauderNew!U3-LauderOld!U3)</f>
        <v/>
      </c>
      <c r="V3" s="70" t="str">
        <f>IF(LauderNew!V3-LauderOld!V3=0,"",LauderNew!V3-LauderOld!V3)</f>
        <v/>
      </c>
      <c r="W3" s="70" t="str">
        <f>IF(LauderNew!W3-LauderOld!W3=0,"",LauderNew!W3-LauderOld!W3)</f>
        <v/>
      </c>
      <c r="X3" s="70" t="str">
        <f>IF(LauderNew!X3-LauderOld!X3=0,"",LauderNew!X3-LauderOld!X3)</f>
        <v/>
      </c>
      <c r="Y3" s="70" t="str">
        <f>IF(LauderNew!Y3-LauderOld!Y3=0,"",LauderNew!Y3-LauderOld!Y3)</f>
        <v/>
      </c>
      <c r="Z3" s="70" t="str">
        <f>IF(LauderNew!Z3-LauderOld!Z3=0,"",LauderNew!Z3-LauderOld!Z3)</f>
        <v/>
      </c>
      <c r="AA3" s="70" t="str">
        <f>IF(LauderNew!AA3-LauderOld!AA3=0,"",LauderNew!AA3-LauderOld!AA3)</f>
        <v/>
      </c>
      <c r="AB3" s="70" t="str">
        <f>IF(LauderNew!AB3-LauderOld!AB3=0,"",LauderNew!AB3-LauderOld!AB3)</f>
        <v/>
      </c>
      <c r="AC3" s="70" t="str">
        <f>IF(LauderNew!AC3-LauderOld!AC3=0,"",LauderNew!AC3-LauderOld!AC3)</f>
        <v/>
      </c>
      <c r="AD3" s="70" t="str">
        <f>IF(LauderNew!AD3-LauderOld!AD3=0,"",LauderNew!AD3-LauderOld!AD3)</f>
        <v/>
      </c>
      <c r="AE3" s="70" t="str">
        <f>IF(LauderNew!AE3-LauderOld!AE3=0,"",LauderNew!AE3-LauderOld!AE3)</f>
        <v/>
      </c>
      <c r="AF3" s="70" t="str">
        <f>IF(LauderNew!AF3-LauderOld!AF3=0,"",LauderNew!AF3-LauderOld!AF3)</f>
        <v/>
      </c>
      <c r="AG3" s="70" t="str">
        <f>IF(LauderNew!AG3-LauderOld!AG3=0,"",LauderNew!AG3-LauderOld!AG3)</f>
        <v/>
      </c>
      <c r="AH3" s="70" t="str">
        <f>IF(LauderNew!AH3-LauderOld!AH3=0,"",LauderNew!AH3-LauderOld!AH3)</f>
        <v/>
      </c>
      <c r="AI3" s="70" t="str">
        <f>IF(LauderNew!AI3-LauderOld!AI3=0,"",LauderNew!AI3-LauderOld!AI3)</f>
        <v/>
      </c>
      <c r="AJ3" s="70" t="str">
        <f>IF(LauderNew!AJ3-LauderOld!AJ3=0,"",LauderNew!AJ3-LauderOld!AJ3)</f>
        <v/>
      </c>
      <c r="AK3" s="70" t="str">
        <f>IF(LauderNew!AK3-LauderOld!AK3=0,"",LauderNew!AK3-LauderOld!AK3)</f>
        <v/>
      </c>
      <c r="AL3" s="70" t="str">
        <f>IF(LauderNew!AL3-LauderOld!AL3=0,"",LauderNew!AL3-LauderOld!AL3)</f>
        <v/>
      </c>
      <c r="AM3" s="70" t="str">
        <f>IF(LauderNew!AM3-LauderOld!AM3=0,"",LauderNew!AM3-LauderOld!AM3)</f>
        <v/>
      </c>
      <c r="AN3" s="70" t="str">
        <f>IF(LauderNew!AN3-LauderOld!AN3=0,"",LauderNew!AN3-LauderOld!AN3)</f>
        <v/>
      </c>
      <c r="AO3" s="70" t="str">
        <f>IF(LauderNew!AO3-LauderOld!AO3=0,"",LauderNew!AO3-LauderOld!AO3)</f>
        <v/>
      </c>
      <c r="AP3" s="70" t="str">
        <f>IF(LauderNew!AP3-LauderOld!AP3=0,"",LauderNew!AP3-LauderOld!AP3)</f>
        <v/>
      </c>
      <c r="AQ3" s="70" t="str">
        <f>IF(LauderNew!AQ3-LauderOld!AQ3=0,"",LauderNew!AQ3-LauderOld!AQ3)</f>
        <v/>
      </c>
      <c r="AR3" s="70" t="str">
        <f>IF(LauderNew!AR3-LauderOld!AR3=0,"",LauderNew!AR3-LauderOld!AR3)</f>
        <v/>
      </c>
      <c r="AS3" s="70" t="str">
        <f>IF(LauderNew!AS3-LauderOld!AS3=0,"",LauderNew!AS3-LauderOld!AS3)</f>
        <v/>
      </c>
      <c r="AT3" s="70" t="str">
        <f>IF(LauderNew!AT3-LauderOld!AT3=0,"",LauderNew!AT3-LauderOld!AT3)</f>
        <v/>
      </c>
      <c r="AU3" s="70" t="str">
        <f>IF(LauderNew!AU3-LauderOld!AU3=0,"",LauderNew!AU3-LauderOld!AU3)</f>
        <v/>
      </c>
      <c r="AV3" s="70" t="str">
        <f>IF(LauderNew!AV3-LauderOld!AV3=0,"",LauderNew!AV3-LauderOld!AV3)</f>
        <v/>
      </c>
      <c r="AW3" s="70" t="str">
        <f>IF(LauderNew!AW3-LauderOld!AW3=0,"",LauderNew!AW3-LauderOld!AW3)</f>
        <v/>
      </c>
      <c r="AX3" s="70" t="str">
        <f>IF(LauderNew!AX3-LauderOld!AX3=0,"",LauderNew!AX3-LauderOld!AX3)</f>
        <v/>
      </c>
      <c r="AY3" s="70" t="str">
        <f>IF(LauderNew!AY3-LauderOld!AY3=0,"",LauderNew!AY3-LauderOld!AY3)</f>
        <v/>
      </c>
      <c r="AZ3" s="70" t="str">
        <f>IF(LauderNew!AZ3-LauderOld!AZ3=0,"",LauderNew!AZ3-LauderOld!AZ3)</f>
        <v/>
      </c>
      <c r="BA3" s="70" t="str">
        <f>IF(LauderNew!BA3-LauderOld!BA3=0,"",LauderNew!BA3-LauderOld!BA3)</f>
        <v/>
      </c>
      <c r="BB3" s="70" t="str">
        <f>IF(LauderNew!BB3-LauderOld!BB3=0,"",LauderNew!BB3-LauderOld!BB3)</f>
        <v/>
      </c>
      <c r="BC3" s="70" t="str">
        <f>IF(LauderNew!BC3-LauderOld!BC3=0,"",LauderNew!BC3-LauderOld!BC3)</f>
        <v/>
      </c>
      <c r="BD3" s="70" t="str">
        <f>IF(LauderNew!BD3-LauderOld!BD3=0,"",LauderNew!BD3-LauderOld!BD3)</f>
        <v/>
      </c>
    </row>
    <row r="4" spans="3:56" x14ac:dyDescent="0.25">
      <c r="C4" s="104"/>
      <c r="D4" s="41" t="s">
        <v>22</v>
      </c>
      <c r="E4" s="70" t="str">
        <f>IF(LauderNew!E4-LauderOld!E4=0,"",LauderNew!E4-LauderOld!E4)</f>
        <v/>
      </c>
      <c r="F4" s="70" t="str">
        <f>IF(LauderNew!F4-LauderOld!F4=0,"",LauderNew!F4-LauderOld!F4)</f>
        <v/>
      </c>
      <c r="G4" s="70" t="str">
        <f>IF(LauderNew!G4-LauderOld!G4=0,"",LauderNew!G4-LauderOld!G4)</f>
        <v/>
      </c>
      <c r="H4" s="70" t="str">
        <f>IF(LauderNew!H4-LauderOld!H4=0,"",LauderNew!H4-LauderOld!H4)</f>
        <v/>
      </c>
      <c r="I4" s="70" t="str">
        <f>IF(LauderNew!I4-LauderOld!I4=0,"",LauderNew!I4-LauderOld!I4)</f>
        <v/>
      </c>
      <c r="J4" s="70" t="str">
        <f>IF(LauderNew!J4-LauderOld!J4=0,"",LauderNew!J4-LauderOld!J4)</f>
        <v/>
      </c>
      <c r="K4" s="70" t="str">
        <f>IF(LauderNew!K4-LauderOld!K4=0,"",LauderNew!K4-LauderOld!K4)</f>
        <v/>
      </c>
      <c r="L4" s="70" t="str">
        <f>IF(LauderNew!L4-LauderOld!L4=0,"",LauderNew!L4-LauderOld!L4)</f>
        <v/>
      </c>
      <c r="M4" s="70" t="str">
        <f>IF(LauderNew!M4-LauderOld!M4=0,"",LauderNew!M4-LauderOld!M4)</f>
        <v/>
      </c>
      <c r="N4" s="70" t="str">
        <f>IF(LauderNew!N4-LauderOld!N4=0,"",LauderNew!N4-LauderOld!N4)</f>
        <v/>
      </c>
      <c r="O4" s="70" t="str">
        <f>IF(LauderNew!O4-LauderOld!O4=0,"",LauderNew!O4-LauderOld!O4)</f>
        <v/>
      </c>
      <c r="P4" s="70" t="str">
        <f>IF(LauderNew!P4-LauderOld!P4=0,"",LauderNew!P4-LauderOld!P4)</f>
        <v/>
      </c>
      <c r="Q4" s="70" t="str">
        <f>IF(LauderNew!Q4-LauderOld!Q4=0,"",LauderNew!Q4-LauderOld!Q4)</f>
        <v/>
      </c>
      <c r="R4" s="70" t="str">
        <f>IF(LauderNew!R4-LauderOld!R4=0,"",LauderNew!R4-LauderOld!R4)</f>
        <v/>
      </c>
      <c r="S4" s="70" t="str">
        <f>IF(LauderNew!S4-LauderOld!S4=0,"",LauderNew!S4-LauderOld!S4)</f>
        <v/>
      </c>
      <c r="T4" s="70" t="str">
        <f>IF(LauderNew!T4-LauderOld!T4=0,"",LauderNew!T4-LauderOld!T4)</f>
        <v/>
      </c>
      <c r="U4" s="70" t="str">
        <f>IF(LauderNew!U4-LauderOld!U4=0,"",LauderNew!U4-LauderOld!U4)</f>
        <v/>
      </c>
      <c r="V4" s="70" t="str">
        <f>IF(LauderNew!V4-LauderOld!V4=0,"",LauderNew!V4-LauderOld!V4)</f>
        <v/>
      </c>
      <c r="W4" s="70" t="str">
        <f>IF(LauderNew!W4-LauderOld!W4=0,"",LauderNew!W4-LauderOld!W4)</f>
        <v/>
      </c>
      <c r="X4" s="70" t="str">
        <f>IF(LauderNew!X4-LauderOld!X4=0,"",LauderNew!X4-LauderOld!X4)</f>
        <v/>
      </c>
      <c r="Y4" s="70" t="str">
        <f>IF(LauderNew!Y4-LauderOld!Y4=0,"",LauderNew!Y4-LauderOld!Y4)</f>
        <v/>
      </c>
      <c r="Z4" s="70" t="str">
        <f>IF(LauderNew!Z4-LauderOld!Z4=0,"",LauderNew!Z4-LauderOld!Z4)</f>
        <v/>
      </c>
      <c r="AA4" s="70" t="str">
        <f>IF(LauderNew!AA4-LauderOld!AA4=0,"",LauderNew!AA4-LauderOld!AA4)</f>
        <v/>
      </c>
      <c r="AB4" s="70" t="str">
        <f>IF(LauderNew!AB4-LauderOld!AB4=0,"",LauderNew!AB4-LauderOld!AB4)</f>
        <v/>
      </c>
      <c r="AC4" s="70" t="str">
        <f>IF(LauderNew!AC4-LauderOld!AC4=0,"",LauderNew!AC4-LauderOld!AC4)</f>
        <v/>
      </c>
      <c r="AD4" s="70" t="str">
        <f>IF(LauderNew!AD4-LauderOld!AD4=0,"",LauderNew!AD4-LauderOld!AD4)</f>
        <v/>
      </c>
      <c r="AE4" s="70" t="str">
        <f>IF(LauderNew!AE4-LauderOld!AE4=0,"",LauderNew!AE4-LauderOld!AE4)</f>
        <v/>
      </c>
      <c r="AF4" s="70" t="str">
        <f>IF(LauderNew!AF4-LauderOld!AF4=0,"",LauderNew!AF4-LauderOld!AF4)</f>
        <v/>
      </c>
      <c r="AG4" s="70" t="str">
        <f>IF(LauderNew!AG4-LauderOld!AG4=0,"",LauderNew!AG4-LauderOld!AG4)</f>
        <v/>
      </c>
      <c r="AH4" s="70" t="str">
        <f>IF(LauderNew!AH4-LauderOld!AH4=0,"",LauderNew!AH4-LauderOld!AH4)</f>
        <v/>
      </c>
      <c r="AI4" s="70" t="str">
        <f>IF(LauderNew!AI4-LauderOld!AI4=0,"",LauderNew!AI4-LauderOld!AI4)</f>
        <v/>
      </c>
      <c r="AJ4" s="70" t="str">
        <f>IF(LauderNew!AJ4-LauderOld!AJ4=0,"",LauderNew!AJ4-LauderOld!AJ4)</f>
        <v/>
      </c>
      <c r="AK4" s="70" t="str">
        <f>IF(LauderNew!AK4-LauderOld!AK4=0,"",LauderNew!AK4-LauderOld!AK4)</f>
        <v/>
      </c>
      <c r="AL4" s="70" t="str">
        <f>IF(LauderNew!AL4-LauderOld!AL4=0,"",LauderNew!AL4-LauderOld!AL4)</f>
        <v/>
      </c>
      <c r="AM4" s="70" t="str">
        <f>IF(LauderNew!AM4-LauderOld!AM4=0,"",LauderNew!AM4-LauderOld!AM4)</f>
        <v/>
      </c>
      <c r="AN4" s="70" t="str">
        <f>IF(LauderNew!AN4-LauderOld!AN4=0,"",LauderNew!AN4-LauderOld!AN4)</f>
        <v/>
      </c>
      <c r="AO4" s="70" t="str">
        <f>IF(LauderNew!AO4-LauderOld!AO4=0,"",LauderNew!AO4-LauderOld!AO4)</f>
        <v/>
      </c>
      <c r="AP4" s="70" t="str">
        <f>IF(LauderNew!AP4-LauderOld!AP4=0,"",LauderNew!AP4-LauderOld!AP4)</f>
        <v/>
      </c>
      <c r="AQ4" s="70" t="str">
        <f>IF(LauderNew!AQ4-LauderOld!AQ4=0,"",LauderNew!AQ4-LauderOld!AQ4)</f>
        <v/>
      </c>
      <c r="AR4" s="70" t="str">
        <f>IF(LauderNew!AR4-LauderOld!AR4=0,"",LauderNew!AR4-LauderOld!AR4)</f>
        <v/>
      </c>
      <c r="AS4" s="70" t="str">
        <f>IF(LauderNew!AS4-LauderOld!AS4=0,"",LauderNew!AS4-LauderOld!AS4)</f>
        <v/>
      </c>
      <c r="AT4" s="70" t="str">
        <f>IF(LauderNew!AT4-LauderOld!AT4=0,"",LauderNew!AT4-LauderOld!AT4)</f>
        <v/>
      </c>
      <c r="AU4" s="70" t="str">
        <f>IF(LauderNew!AU4-LauderOld!AU4=0,"",LauderNew!AU4-LauderOld!AU4)</f>
        <v/>
      </c>
      <c r="AV4" s="70" t="str">
        <f>IF(LauderNew!AV4-LauderOld!AV4=0,"",LauderNew!AV4-LauderOld!AV4)</f>
        <v/>
      </c>
      <c r="AW4" s="70" t="str">
        <f>IF(LauderNew!AW4-LauderOld!AW4=0,"",LauderNew!AW4-LauderOld!AW4)</f>
        <v/>
      </c>
      <c r="AX4" s="70" t="str">
        <f>IF(LauderNew!AX4-LauderOld!AX4=0,"",LauderNew!AX4-LauderOld!AX4)</f>
        <v/>
      </c>
      <c r="AY4" s="70" t="str">
        <f>IF(LauderNew!AY4-LauderOld!AY4=0,"",LauderNew!AY4-LauderOld!AY4)</f>
        <v/>
      </c>
      <c r="AZ4" s="70" t="str">
        <f>IF(LauderNew!AZ4-LauderOld!AZ4=0,"",LauderNew!AZ4-LauderOld!AZ4)</f>
        <v/>
      </c>
      <c r="BA4" s="70" t="str">
        <f>IF(LauderNew!BA4-LauderOld!BA4=0,"",LauderNew!BA4-LauderOld!BA4)</f>
        <v/>
      </c>
      <c r="BB4" s="70" t="str">
        <f>IF(LauderNew!BB4-LauderOld!BB4=0,"",LauderNew!BB4-LauderOld!BB4)</f>
        <v/>
      </c>
      <c r="BC4" s="70" t="str">
        <f>IF(LauderNew!BC4-LauderOld!BC4=0,"",LauderNew!BC4-LauderOld!BC4)</f>
        <v/>
      </c>
      <c r="BD4" s="70" t="str">
        <f>IF(LauderNew!BD4-LauderOld!BD4=0,"",LauderNew!BD4-LauderOld!BD4)</f>
        <v/>
      </c>
    </row>
    <row r="5" spans="3:56" x14ac:dyDescent="0.25">
      <c r="C5" s="104"/>
      <c r="D5" s="41" t="s">
        <v>30</v>
      </c>
      <c r="E5" s="70" t="str">
        <f>IF(LauderNew!E5-LauderOld!E5=0,"",LauderNew!E5-LauderOld!E5)</f>
        <v/>
      </c>
      <c r="F5" s="70" t="str">
        <f>IF(LauderNew!F5-LauderOld!F5=0,"",LauderNew!F5-LauderOld!F5)</f>
        <v/>
      </c>
      <c r="G5" s="70" t="str">
        <f>IF(LauderNew!G5-LauderOld!G5=0,"",LauderNew!G5-LauderOld!G5)</f>
        <v/>
      </c>
      <c r="H5" s="70" t="str">
        <f>IF(LauderNew!H5-LauderOld!H5=0,"",LauderNew!H5-LauderOld!H5)</f>
        <v/>
      </c>
      <c r="I5" s="70" t="str">
        <f>IF(LauderNew!I5-LauderOld!I5=0,"",LauderNew!I5-LauderOld!I5)</f>
        <v/>
      </c>
      <c r="J5" s="70" t="str">
        <f>IF(LauderNew!J5-LauderOld!J5=0,"",LauderNew!J5-LauderOld!J5)</f>
        <v/>
      </c>
      <c r="K5" s="70" t="str">
        <f>IF(LauderNew!K5-LauderOld!K5=0,"",LauderNew!K5-LauderOld!K5)</f>
        <v/>
      </c>
      <c r="L5" s="70" t="str">
        <f>IF(LauderNew!L5-LauderOld!L5=0,"",LauderNew!L5-LauderOld!L5)</f>
        <v/>
      </c>
      <c r="M5" s="70" t="str">
        <f>IF(LauderNew!M5-LauderOld!M5=0,"",LauderNew!M5-LauderOld!M5)</f>
        <v/>
      </c>
      <c r="N5" s="70" t="str">
        <f>IF(LauderNew!N5-LauderOld!N5=0,"",LauderNew!N5-LauderOld!N5)</f>
        <v/>
      </c>
      <c r="O5" s="70" t="str">
        <f>IF(LauderNew!O5-LauderOld!O5=0,"",LauderNew!O5-LauderOld!O5)</f>
        <v/>
      </c>
      <c r="P5" s="70" t="str">
        <f>IF(LauderNew!P5-LauderOld!P5=0,"",LauderNew!P5-LauderOld!P5)</f>
        <v/>
      </c>
      <c r="Q5" s="70" t="str">
        <f>IF(LauderNew!Q5-LauderOld!Q5=0,"",LauderNew!Q5-LauderOld!Q5)</f>
        <v/>
      </c>
      <c r="R5" s="70" t="str">
        <f>IF(LauderNew!R5-LauderOld!R5=0,"",LauderNew!R5-LauderOld!R5)</f>
        <v/>
      </c>
      <c r="S5" s="70" t="str">
        <f>IF(LauderNew!S5-LauderOld!S5=0,"",LauderNew!S5-LauderOld!S5)</f>
        <v/>
      </c>
      <c r="T5" s="70" t="str">
        <f>IF(LauderNew!T5-LauderOld!T5=0,"",LauderNew!T5-LauderOld!T5)</f>
        <v/>
      </c>
      <c r="U5" s="70" t="str">
        <f>IF(LauderNew!U5-LauderOld!U5=0,"",LauderNew!U5-LauderOld!U5)</f>
        <v/>
      </c>
      <c r="V5" s="70" t="str">
        <f>IF(LauderNew!V5-LauderOld!V5=0,"",LauderNew!V5-LauderOld!V5)</f>
        <v/>
      </c>
      <c r="W5" s="70" t="str">
        <f>IF(LauderNew!W5-LauderOld!W5=0,"",LauderNew!W5-LauderOld!W5)</f>
        <v/>
      </c>
      <c r="X5" s="70" t="str">
        <f>IF(LauderNew!X5-LauderOld!X5=0,"",LauderNew!X5-LauderOld!X5)</f>
        <v/>
      </c>
      <c r="Y5" s="70" t="str">
        <f>IF(LauderNew!Y5-LauderOld!Y5=0,"",LauderNew!Y5-LauderOld!Y5)</f>
        <v/>
      </c>
      <c r="Z5" s="70" t="str">
        <f>IF(LauderNew!Z5-LauderOld!Z5=0,"",LauderNew!Z5-LauderOld!Z5)</f>
        <v/>
      </c>
      <c r="AA5" s="70" t="str">
        <f>IF(LauderNew!AA5-LauderOld!AA5=0,"",LauderNew!AA5-LauderOld!AA5)</f>
        <v/>
      </c>
      <c r="AB5" s="70" t="str">
        <f>IF(LauderNew!AB5-LauderOld!AB5=0,"",LauderNew!AB5-LauderOld!AB5)</f>
        <v/>
      </c>
      <c r="AC5" s="70" t="str">
        <f>IF(LauderNew!AC5-LauderOld!AC5=0,"",LauderNew!AC5-LauderOld!AC5)</f>
        <v/>
      </c>
      <c r="AD5" s="70" t="str">
        <f>IF(LauderNew!AD5-LauderOld!AD5=0,"",LauderNew!AD5-LauderOld!AD5)</f>
        <v/>
      </c>
      <c r="AE5" s="70" t="str">
        <f>IF(LauderNew!AE5-LauderOld!AE5=0,"",LauderNew!AE5-LauderOld!AE5)</f>
        <v/>
      </c>
      <c r="AF5" s="70" t="str">
        <f>IF(LauderNew!AF5-LauderOld!AF5=0,"",LauderNew!AF5-LauderOld!AF5)</f>
        <v/>
      </c>
      <c r="AG5" s="70" t="str">
        <f>IF(LauderNew!AG5-LauderOld!AG5=0,"",LauderNew!AG5-LauderOld!AG5)</f>
        <v/>
      </c>
      <c r="AH5" s="70" t="str">
        <f>IF(LauderNew!AH5-LauderOld!AH5=0,"",LauderNew!AH5-LauderOld!AH5)</f>
        <v/>
      </c>
      <c r="AI5" s="70" t="str">
        <f>IF(LauderNew!AI5-LauderOld!AI5=0,"",LauderNew!AI5-LauderOld!AI5)</f>
        <v/>
      </c>
      <c r="AJ5" s="70" t="str">
        <f>IF(LauderNew!AJ5-LauderOld!AJ5=0,"",LauderNew!AJ5-LauderOld!AJ5)</f>
        <v/>
      </c>
      <c r="AK5" s="70" t="str">
        <f>IF(LauderNew!AK5-LauderOld!AK5=0,"",LauderNew!AK5-LauderOld!AK5)</f>
        <v/>
      </c>
      <c r="AL5" s="70" t="str">
        <f>IF(LauderNew!AL5-LauderOld!AL5=0,"",LauderNew!AL5-LauderOld!AL5)</f>
        <v/>
      </c>
      <c r="AM5" s="70" t="str">
        <f>IF(LauderNew!AM5-LauderOld!AM5=0,"",LauderNew!AM5-LauderOld!AM5)</f>
        <v/>
      </c>
      <c r="AN5" s="70" t="str">
        <f>IF(LauderNew!AN5-LauderOld!AN5=0,"",LauderNew!AN5-LauderOld!AN5)</f>
        <v/>
      </c>
      <c r="AO5" s="70" t="str">
        <f>IF(LauderNew!AO5-LauderOld!AO5=0,"",LauderNew!AO5-LauderOld!AO5)</f>
        <v/>
      </c>
      <c r="AP5" s="70" t="str">
        <f>IF(LauderNew!AP5-LauderOld!AP5=0,"",LauderNew!AP5-LauderOld!AP5)</f>
        <v/>
      </c>
      <c r="AQ5" s="70" t="str">
        <f>IF(LauderNew!AQ5-LauderOld!AQ5=0,"",LauderNew!AQ5-LauderOld!AQ5)</f>
        <v/>
      </c>
      <c r="AR5" s="70" t="str">
        <f>IF(LauderNew!AR5-LauderOld!AR5=0,"",LauderNew!AR5-LauderOld!AR5)</f>
        <v/>
      </c>
      <c r="AS5" s="70" t="str">
        <f>IF(LauderNew!AS5-LauderOld!AS5=0,"",LauderNew!AS5-LauderOld!AS5)</f>
        <v/>
      </c>
      <c r="AT5" s="70" t="str">
        <f>IF(LauderNew!AT5-LauderOld!AT5=0,"",LauderNew!AT5-LauderOld!AT5)</f>
        <v/>
      </c>
      <c r="AU5" s="70" t="str">
        <f>IF(LauderNew!AU5-LauderOld!AU5=0,"",LauderNew!AU5-LauderOld!AU5)</f>
        <v/>
      </c>
      <c r="AV5" s="70" t="str">
        <f>IF(LauderNew!AV5-LauderOld!AV5=0,"",LauderNew!AV5-LauderOld!AV5)</f>
        <v/>
      </c>
      <c r="AW5" s="70" t="str">
        <f>IF(LauderNew!AW5-LauderOld!AW5=0,"",LauderNew!AW5-LauderOld!AW5)</f>
        <v/>
      </c>
      <c r="AX5" s="70" t="str">
        <f>IF(LauderNew!AX5-LauderOld!AX5=0,"",LauderNew!AX5-LauderOld!AX5)</f>
        <v/>
      </c>
      <c r="AY5" s="70" t="str">
        <f>IF(LauderNew!AY5-LauderOld!AY5=0,"",LauderNew!AY5-LauderOld!AY5)</f>
        <v/>
      </c>
      <c r="AZ5" s="70" t="str">
        <f>IF(LauderNew!AZ5-LauderOld!AZ5=0,"",LauderNew!AZ5-LauderOld!AZ5)</f>
        <v/>
      </c>
      <c r="BA5" s="70" t="str">
        <f>IF(LauderNew!BA5-LauderOld!BA5=0,"",LauderNew!BA5-LauderOld!BA5)</f>
        <v/>
      </c>
      <c r="BB5" s="70" t="str">
        <f>IF(LauderNew!BB5-LauderOld!BB5=0,"",LauderNew!BB5-LauderOld!BB5)</f>
        <v/>
      </c>
      <c r="BC5" s="70" t="str">
        <f>IF(LauderNew!BC5-LauderOld!BC5=0,"",LauderNew!BC5-LauderOld!BC5)</f>
        <v/>
      </c>
      <c r="BD5" s="70" t="str">
        <f>IF(LauderNew!BD5-LauderOld!BD5=0,"",LauderNew!BD5-LauderOld!BD5)</f>
        <v/>
      </c>
    </row>
    <row r="6" spans="3:56" x14ac:dyDescent="0.25">
      <c r="C6" s="104"/>
      <c r="D6" s="41" t="s">
        <v>31</v>
      </c>
      <c r="E6" s="70" t="str">
        <f>IF(LauderNew!E6-LauderOld!E6=0,"",LauderNew!E6-LauderOld!E6)</f>
        <v/>
      </c>
      <c r="F6" s="70" t="str">
        <f>IF(LauderNew!F6-LauderOld!F6=0,"",LauderNew!F6-LauderOld!F6)</f>
        <v/>
      </c>
      <c r="G6" s="70" t="str">
        <f>IF(LauderNew!G6-LauderOld!G6=0,"",LauderNew!G6-LauderOld!G6)</f>
        <v/>
      </c>
      <c r="H6" s="70" t="str">
        <f>IF(LauderNew!H6-LauderOld!H6=0,"",LauderNew!H6-LauderOld!H6)</f>
        <v/>
      </c>
      <c r="I6" s="70" t="str">
        <f>IF(LauderNew!I6-LauderOld!I6=0,"",LauderNew!I6-LauderOld!I6)</f>
        <v/>
      </c>
      <c r="J6" s="70" t="str">
        <f>IF(LauderNew!J6-LauderOld!J6=0,"",LauderNew!J6-LauderOld!J6)</f>
        <v/>
      </c>
      <c r="K6" s="70" t="str">
        <f>IF(LauderNew!K6-LauderOld!K6=0,"",LauderNew!K6-LauderOld!K6)</f>
        <v/>
      </c>
      <c r="L6" s="70" t="str">
        <f>IF(LauderNew!L6-LauderOld!L6=0,"",LauderNew!L6-LauderOld!L6)</f>
        <v/>
      </c>
      <c r="M6" s="70" t="str">
        <f>IF(LauderNew!M6-LauderOld!M6=0,"",LauderNew!M6-LauderOld!M6)</f>
        <v/>
      </c>
      <c r="N6" s="70" t="str">
        <f>IF(LauderNew!N6-LauderOld!N6=0,"",LauderNew!N6-LauderOld!N6)</f>
        <v/>
      </c>
      <c r="O6" s="70" t="str">
        <f>IF(LauderNew!O6-LauderOld!O6=0,"",LauderNew!O6-LauderOld!O6)</f>
        <v/>
      </c>
      <c r="P6" s="70" t="str">
        <f>IF(LauderNew!P6-LauderOld!P6=0,"",LauderNew!P6-LauderOld!P6)</f>
        <v/>
      </c>
      <c r="Q6" s="70" t="str">
        <f>IF(LauderNew!Q6-LauderOld!Q6=0,"",LauderNew!Q6-LauderOld!Q6)</f>
        <v/>
      </c>
      <c r="R6" s="70" t="str">
        <f>IF(LauderNew!R6-LauderOld!R6=0,"",LauderNew!R6-LauderOld!R6)</f>
        <v/>
      </c>
      <c r="S6" s="70" t="str">
        <f>IF(LauderNew!S6-LauderOld!S6=0,"",LauderNew!S6-LauderOld!S6)</f>
        <v/>
      </c>
      <c r="T6" s="70" t="str">
        <f>IF(LauderNew!T6-LauderOld!T6=0,"",LauderNew!T6-LauderOld!T6)</f>
        <v/>
      </c>
      <c r="U6" s="70" t="str">
        <f>IF(LauderNew!U6-LauderOld!U6=0,"",LauderNew!U6-LauderOld!U6)</f>
        <v/>
      </c>
      <c r="V6" s="70" t="str">
        <f>IF(LauderNew!V6-LauderOld!V6=0,"",LauderNew!V6-LauderOld!V6)</f>
        <v/>
      </c>
      <c r="W6" s="70" t="str">
        <f>IF(LauderNew!W6-LauderOld!W6=0,"",LauderNew!W6-LauderOld!W6)</f>
        <v/>
      </c>
      <c r="X6" s="70" t="str">
        <f>IF(LauderNew!X6-LauderOld!X6=0,"",LauderNew!X6-LauderOld!X6)</f>
        <v/>
      </c>
      <c r="Y6" s="70" t="str">
        <f>IF(LauderNew!Y6-LauderOld!Y6=0,"",LauderNew!Y6-LauderOld!Y6)</f>
        <v/>
      </c>
      <c r="Z6" s="70" t="str">
        <f>IF(LauderNew!Z6-LauderOld!Z6=0,"",LauderNew!Z6-LauderOld!Z6)</f>
        <v/>
      </c>
      <c r="AA6" s="70" t="str">
        <f>IF(LauderNew!AA6-LauderOld!AA6=0,"",LauderNew!AA6-LauderOld!AA6)</f>
        <v/>
      </c>
      <c r="AB6" s="70" t="str">
        <f>IF(LauderNew!AB6-LauderOld!AB6=0,"",LauderNew!AB6-LauderOld!AB6)</f>
        <v/>
      </c>
      <c r="AC6" s="70" t="str">
        <f>IF(LauderNew!AC6-LauderOld!AC6=0,"",LauderNew!AC6-LauderOld!AC6)</f>
        <v/>
      </c>
      <c r="AD6" s="70" t="str">
        <f>IF(LauderNew!AD6-LauderOld!AD6=0,"",LauderNew!AD6-LauderOld!AD6)</f>
        <v/>
      </c>
      <c r="AE6" s="70" t="str">
        <f>IF(LauderNew!AE6-LauderOld!AE6=0,"",LauderNew!AE6-LauderOld!AE6)</f>
        <v/>
      </c>
      <c r="AF6" s="70" t="str">
        <f>IF(LauderNew!AF6-LauderOld!AF6=0,"",LauderNew!AF6-LauderOld!AF6)</f>
        <v/>
      </c>
      <c r="AG6" s="70" t="str">
        <f>IF(LauderNew!AG6-LauderOld!AG6=0,"",LauderNew!AG6-LauderOld!AG6)</f>
        <v/>
      </c>
      <c r="AH6" s="70" t="str">
        <f>IF(LauderNew!AH6-LauderOld!AH6=0,"",LauderNew!AH6-LauderOld!AH6)</f>
        <v/>
      </c>
      <c r="AI6" s="70" t="str">
        <f>IF(LauderNew!AI6-LauderOld!AI6=0,"",LauderNew!AI6-LauderOld!AI6)</f>
        <v/>
      </c>
      <c r="AJ6" s="70" t="str">
        <f>IF(LauderNew!AJ6-LauderOld!AJ6=0,"",LauderNew!AJ6-LauderOld!AJ6)</f>
        <v/>
      </c>
      <c r="AK6" s="70" t="str">
        <f>IF(LauderNew!AK6-LauderOld!AK6=0,"",LauderNew!AK6-LauderOld!AK6)</f>
        <v/>
      </c>
      <c r="AL6" s="70" t="str">
        <f>IF(LauderNew!AL6-LauderOld!AL6=0,"",LauderNew!AL6-LauderOld!AL6)</f>
        <v/>
      </c>
      <c r="AM6" s="70" t="str">
        <f>IF(LauderNew!AM6-LauderOld!AM6=0,"",LauderNew!AM6-LauderOld!AM6)</f>
        <v/>
      </c>
      <c r="AN6" s="70" t="str">
        <f>IF(LauderNew!AN6-LauderOld!AN6=0,"",LauderNew!AN6-LauderOld!AN6)</f>
        <v/>
      </c>
      <c r="AO6" s="70" t="str">
        <f>IF(LauderNew!AO6-LauderOld!AO6=0,"",LauderNew!AO6-LauderOld!AO6)</f>
        <v/>
      </c>
      <c r="AP6" s="70" t="str">
        <f>IF(LauderNew!AP6-LauderOld!AP6=0,"",LauderNew!AP6-LauderOld!AP6)</f>
        <v/>
      </c>
      <c r="AQ6" s="70" t="str">
        <f>IF(LauderNew!AQ6-LauderOld!AQ6=0,"",LauderNew!AQ6-LauderOld!AQ6)</f>
        <v/>
      </c>
      <c r="AR6" s="70" t="str">
        <f>IF(LauderNew!AR6-LauderOld!AR6=0,"",LauderNew!AR6-LauderOld!AR6)</f>
        <v/>
      </c>
      <c r="AS6" s="70" t="str">
        <f>IF(LauderNew!AS6-LauderOld!AS6=0,"",LauderNew!AS6-LauderOld!AS6)</f>
        <v/>
      </c>
      <c r="AT6" s="70" t="str">
        <f>IF(LauderNew!AT6-LauderOld!AT6=0,"",LauderNew!AT6-LauderOld!AT6)</f>
        <v/>
      </c>
      <c r="AU6" s="70" t="str">
        <f>IF(LauderNew!AU6-LauderOld!AU6=0,"",LauderNew!AU6-LauderOld!AU6)</f>
        <v/>
      </c>
      <c r="AV6" s="70" t="str">
        <f>IF(LauderNew!AV6-LauderOld!AV6=0,"",LauderNew!AV6-LauderOld!AV6)</f>
        <v/>
      </c>
      <c r="AW6" s="70" t="str">
        <f>IF(LauderNew!AW6-LauderOld!AW6=0,"",LauderNew!AW6-LauderOld!AW6)</f>
        <v/>
      </c>
      <c r="AX6" s="70" t="str">
        <f>IF(LauderNew!AX6-LauderOld!AX6=0,"",LauderNew!AX6-LauderOld!AX6)</f>
        <v/>
      </c>
      <c r="AY6" s="70" t="str">
        <f>IF(LauderNew!AY6-LauderOld!AY6=0,"",LauderNew!AY6-LauderOld!AY6)</f>
        <v/>
      </c>
      <c r="AZ6" s="70" t="str">
        <f>IF(LauderNew!AZ6-LauderOld!AZ6=0,"",LauderNew!AZ6-LauderOld!AZ6)</f>
        <v/>
      </c>
      <c r="BA6" s="70" t="str">
        <f>IF(LauderNew!BA6-LauderOld!BA6=0,"",LauderNew!BA6-LauderOld!BA6)</f>
        <v/>
      </c>
      <c r="BB6" s="70" t="str">
        <f>IF(LauderNew!BB6-LauderOld!BB6=0,"",LauderNew!BB6-LauderOld!BB6)</f>
        <v/>
      </c>
      <c r="BC6" s="70" t="str">
        <f>IF(LauderNew!BC6-LauderOld!BC6=0,"",LauderNew!BC6-LauderOld!BC6)</f>
        <v/>
      </c>
      <c r="BD6" s="70" t="str">
        <f>IF(LauderNew!BD6-LauderOld!BD6=0,"",LauderNew!BD6-LauderOld!BD6)</f>
        <v/>
      </c>
    </row>
    <row r="7" spans="3:56" x14ac:dyDescent="0.25">
      <c r="C7" s="104"/>
      <c r="D7" s="41" t="s">
        <v>33</v>
      </c>
      <c r="E7" s="83" t="str">
        <f>IFERROR((E3*E4)/3600/40/E5/(1-E6),"")</f>
        <v/>
      </c>
      <c r="F7" s="83" t="str">
        <f t="shared" ref="F7:T7" si="1">IFERROR((F3*F4)/3600/40/F5/(1-F6),"")</f>
        <v/>
      </c>
      <c r="G7" s="83" t="str">
        <f t="shared" si="1"/>
        <v/>
      </c>
      <c r="H7" s="83" t="str">
        <f t="shared" si="1"/>
        <v/>
      </c>
      <c r="I7" s="83" t="str">
        <f t="shared" si="1"/>
        <v/>
      </c>
      <c r="J7" s="83" t="str">
        <f t="shared" si="1"/>
        <v/>
      </c>
      <c r="K7" s="83" t="str">
        <f t="shared" si="1"/>
        <v/>
      </c>
      <c r="L7" s="83" t="str">
        <f t="shared" si="1"/>
        <v/>
      </c>
      <c r="M7" s="83" t="str">
        <f t="shared" si="1"/>
        <v/>
      </c>
      <c r="N7" s="83" t="str">
        <f t="shared" si="1"/>
        <v/>
      </c>
      <c r="O7" s="83" t="str">
        <f t="shared" si="1"/>
        <v/>
      </c>
      <c r="P7" s="83" t="str">
        <f t="shared" si="1"/>
        <v/>
      </c>
      <c r="Q7" s="83" t="str">
        <f t="shared" si="1"/>
        <v/>
      </c>
      <c r="R7" s="83" t="str">
        <f t="shared" si="1"/>
        <v/>
      </c>
      <c r="S7" s="83" t="str">
        <f t="shared" si="1"/>
        <v/>
      </c>
      <c r="T7" s="83" t="str">
        <f t="shared" si="1"/>
        <v/>
      </c>
      <c r="U7" s="83" t="str">
        <f>IF(LauderNew!U7-LauderOld!U7=0,"",LauderNew!U7-LauderOld!U7)</f>
        <v/>
      </c>
      <c r="V7" s="83" t="str">
        <f>IF(LauderNew!V7-LauderOld!V7=0,"",LauderNew!V7-LauderOld!V7)</f>
        <v/>
      </c>
      <c r="W7" s="83" t="str">
        <f>IF(LauderNew!W7-LauderOld!W7=0,"",LauderNew!W7-LauderOld!W7)</f>
        <v/>
      </c>
      <c r="X7" s="83" t="str">
        <f>IF(LauderNew!X7-LauderOld!X7=0,"",LauderNew!X7-LauderOld!X7)</f>
        <v/>
      </c>
      <c r="Y7" s="83" t="str">
        <f>IF(LauderNew!Y7-LauderOld!Y7=0,"",LauderNew!Y7-LauderOld!Y7)</f>
        <v/>
      </c>
      <c r="Z7" s="83" t="str">
        <f>IF(LauderNew!Z7-LauderOld!Z7=0,"",LauderNew!Z7-LauderOld!Z7)</f>
        <v/>
      </c>
      <c r="AA7" s="83" t="str">
        <f>IF(LauderNew!AA7-LauderOld!AA7=0,"",LauderNew!AA7-LauderOld!AA7)</f>
        <v/>
      </c>
      <c r="AB7" s="83" t="str">
        <f>IF(LauderNew!AB7-LauderOld!AB7=0,"",LauderNew!AB7-LauderOld!AB7)</f>
        <v/>
      </c>
      <c r="AC7" s="83" t="str">
        <f>IF(LauderNew!AC7-LauderOld!AC7=0,"",LauderNew!AC7-LauderOld!AC7)</f>
        <v/>
      </c>
      <c r="AD7" s="83" t="str">
        <f>IF(LauderNew!AD7-LauderOld!AD7=0,"",LauderNew!AD7-LauderOld!AD7)</f>
        <v/>
      </c>
      <c r="AE7" s="83" t="str">
        <f>IF(LauderNew!AE7-LauderOld!AE7=0,"",LauderNew!AE7-LauderOld!AE7)</f>
        <v/>
      </c>
      <c r="AF7" s="83" t="str">
        <f>IF(LauderNew!AF7-LauderOld!AF7=0,"",LauderNew!AF7-LauderOld!AF7)</f>
        <v/>
      </c>
      <c r="AG7" s="83" t="str">
        <f>IF(LauderNew!AG7-LauderOld!AG7=0,"",LauderNew!AG7-LauderOld!AG7)</f>
        <v/>
      </c>
      <c r="AH7" s="83" t="str">
        <f>IF(LauderNew!AH7-LauderOld!AH7=0,"",LauderNew!AH7-LauderOld!AH7)</f>
        <v/>
      </c>
      <c r="AI7" s="83" t="str">
        <f>IF(LauderNew!AI7-LauderOld!AI7=0,"",LauderNew!AI7-LauderOld!AI7)</f>
        <v/>
      </c>
      <c r="AJ7" s="83" t="str">
        <f>IF(LauderNew!AJ7-LauderOld!AJ7=0,"",LauderNew!AJ7-LauderOld!AJ7)</f>
        <v/>
      </c>
      <c r="AK7" s="83" t="str">
        <f>IF(LauderNew!AK7-LauderOld!AK7=0,"",LauderNew!AK7-LauderOld!AK7)</f>
        <v/>
      </c>
      <c r="AL7" s="83" t="str">
        <f>IF(LauderNew!AL7-LauderOld!AL7=0,"",LauderNew!AL7-LauderOld!AL7)</f>
        <v/>
      </c>
      <c r="AM7" s="83" t="str">
        <f>IF(LauderNew!AM7-LauderOld!AM7=0,"",LauderNew!AM7-LauderOld!AM7)</f>
        <v/>
      </c>
      <c r="AN7" s="83" t="str">
        <f>IF(LauderNew!AN7-LauderOld!AN7=0,"",LauderNew!AN7-LauderOld!AN7)</f>
        <v/>
      </c>
      <c r="AO7" s="83" t="str">
        <f>IF(LauderNew!AO7-LauderOld!AO7=0,"",LauderNew!AO7-LauderOld!AO7)</f>
        <v/>
      </c>
      <c r="AP7" s="83" t="str">
        <f>IF(LauderNew!AP7-LauderOld!AP7=0,"",LauderNew!AP7-LauderOld!AP7)</f>
        <v/>
      </c>
      <c r="AQ7" s="83" t="str">
        <f>IF(LauderNew!AQ7-LauderOld!AQ7=0,"",LauderNew!AQ7-LauderOld!AQ7)</f>
        <v/>
      </c>
      <c r="AR7" s="83" t="str">
        <f>IF(LauderNew!AR7-LauderOld!AR7=0,"",LauderNew!AR7-LauderOld!AR7)</f>
        <v/>
      </c>
      <c r="AS7" s="83" t="str">
        <f>IF(LauderNew!AS7-LauderOld!AS7=0,"",LauderNew!AS7-LauderOld!AS7)</f>
        <v/>
      </c>
      <c r="AT7" s="83" t="str">
        <f>IF(LauderNew!AT7-LauderOld!AT7=0,"",LauderNew!AT7-LauderOld!AT7)</f>
        <v/>
      </c>
      <c r="AU7" s="83" t="str">
        <f>IF(LauderNew!AU7-LauderOld!AU7=0,"",LauderNew!AU7-LauderOld!AU7)</f>
        <v/>
      </c>
      <c r="AV7" s="83" t="str">
        <f>IF(LauderNew!AV7-LauderOld!AV7=0,"",LauderNew!AV7-LauderOld!AV7)</f>
        <v/>
      </c>
      <c r="AW7" s="83" t="str">
        <f>IF(LauderNew!AW7-LauderOld!AW7=0,"",LauderNew!AW7-LauderOld!AW7)</f>
        <v/>
      </c>
      <c r="AX7" s="83" t="str">
        <f>IF(LauderNew!AX7-LauderOld!AX7=0,"",LauderNew!AX7-LauderOld!AX7)</f>
        <v/>
      </c>
      <c r="AY7" s="83" t="str">
        <f>IF(LauderNew!AY7-LauderOld!AY7=0,"",LauderNew!AY7-LauderOld!AY7)</f>
        <v/>
      </c>
      <c r="AZ7" s="83" t="str">
        <f>IF(LauderNew!AZ7-LauderOld!AZ7=0,"",LauderNew!AZ7-LauderOld!AZ7)</f>
        <v/>
      </c>
      <c r="BA7" s="83" t="str">
        <f>IF(LauderNew!BA7-LauderOld!BA7=0,"",LauderNew!BA7-LauderOld!BA7)</f>
        <v/>
      </c>
      <c r="BB7" s="83" t="str">
        <f>IF(LauderNew!BB7-LauderOld!BB7=0,"",LauderNew!BB7-LauderOld!BB7)</f>
        <v/>
      </c>
      <c r="BC7" s="83" t="str">
        <f>IF(LauderNew!BC7-LauderOld!BC7=0,"",LauderNew!BC7-LauderOld!BC7)</f>
        <v/>
      </c>
      <c r="BD7" s="83" t="str">
        <f>IF(LauderNew!BD7-LauderOld!BD7=0,"",LauderNew!BD7-LauderOld!BD7)</f>
        <v/>
      </c>
    </row>
    <row r="8" spans="3:56" x14ac:dyDescent="0.25">
      <c r="C8" s="48"/>
      <c r="E8" s="42"/>
      <c r="F8" s="42"/>
      <c r="G8" s="42"/>
      <c r="H8" s="42"/>
      <c r="I8" s="42"/>
      <c r="J8" s="42"/>
      <c r="K8" s="42"/>
      <c r="L8" s="42"/>
      <c r="M8" s="42"/>
    </row>
    <row r="9" spans="3:56" x14ac:dyDescent="0.25">
      <c r="C9" s="48"/>
      <c r="D9" s="80" t="s">
        <v>50</v>
      </c>
      <c r="E9" s="81"/>
      <c r="F9" s="81"/>
      <c r="G9" s="81"/>
      <c r="H9" s="81"/>
      <c r="I9" s="81"/>
      <c r="J9" s="81"/>
      <c r="K9" s="81"/>
      <c r="L9" s="81"/>
      <c r="M9" s="81"/>
    </row>
    <row r="10" spans="3:56" x14ac:dyDescent="0.25">
      <c r="C10" s="48"/>
      <c r="D10" s="57" t="s">
        <v>34</v>
      </c>
      <c r="E10" s="64" t="str">
        <f>IF(LauderNew!E10-LauderOld!E10=0,"",LauderNew!E10-LauderOld!E10)</f>
        <v/>
      </c>
      <c r="F10" s="64" t="str">
        <f>IF(LauderNew!F10-LauderOld!F10=0,"",LauderNew!F10-LauderOld!F10)</f>
        <v/>
      </c>
      <c r="G10" s="64" t="str">
        <f>IF(LauderNew!G10-LauderOld!G10=0,"",LauderNew!G10-LauderOld!G10)</f>
        <v/>
      </c>
      <c r="H10" s="64" t="str">
        <f>IF(LauderNew!H10-LauderOld!H10=0,"",LauderNew!H10-LauderOld!H10)</f>
        <v/>
      </c>
      <c r="I10" s="64" t="str">
        <f>IF(LauderNew!I10-LauderOld!I10=0,"",LauderNew!I10-LauderOld!I10)</f>
        <v/>
      </c>
      <c r="J10" s="64" t="str">
        <f>IF(LauderNew!J10-LauderOld!J10=0,"",LauderNew!J10-LauderOld!J10)</f>
        <v/>
      </c>
      <c r="K10" s="64" t="str">
        <f>IF(LauderNew!K10-LauderOld!K10=0,"",LauderNew!K10-LauderOld!K10)</f>
        <v/>
      </c>
      <c r="L10" s="64" t="str">
        <f>IF(LauderNew!L10-LauderOld!L10=0,"",LauderNew!L10-LauderOld!L10)</f>
        <v/>
      </c>
      <c r="M10" s="64" t="str">
        <f>IF(LauderNew!M10-LauderOld!M10=0,"",LauderNew!M10-LauderOld!M10)</f>
        <v/>
      </c>
      <c r="N10" s="64" t="str">
        <f>IF(LauderNew!N10-LauderOld!N10=0,"",LauderNew!N10-LauderOld!N10)</f>
        <v/>
      </c>
      <c r="O10" s="64" t="str">
        <f>IF(LauderNew!O10-LauderOld!O10=0,"",LauderNew!O10-LauderOld!O10)</f>
        <v/>
      </c>
      <c r="P10" s="64" t="str">
        <f>IF(LauderNew!P10-LauderOld!P10=0,"",LauderNew!P10-LauderOld!P10)</f>
        <v/>
      </c>
      <c r="Q10" s="64" t="str">
        <f>IF(LauderNew!Q10-LauderOld!Q10=0,"",LauderNew!Q10-LauderOld!Q10)</f>
        <v/>
      </c>
      <c r="R10" s="64" t="str">
        <f>IF(LauderNew!R10-LauderOld!R10=0,"",LauderNew!R10-LauderOld!R10)</f>
        <v/>
      </c>
      <c r="S10" s="64" t="str">
        <f>IF(LauderNew!S10-LauderOld!S10=0,"",LauderNew!S10-LauderOld!S10)</f>
        <v/>
      </c>
      <c r="T10" s="64" t="str">
        <f>IF(LauderNew!T10-LauderOld!T10=0,"",LauderNew!T10-LauderOld!T10)</f>
        <v/>
      </c>
      <c r="U10" s="64" t="str">
        <f>IF(LauderNew!U10-LauderOld!U10=0,"",LauderNew!U10-LauderOld!U10)</f>
        <v/>
      </c>
      <c r="V10" s="64" t="str">
        <f>IF(LauderNew!V10-LauderOld!V10=0,"",LauderNew!V10-LauderOld!V10)</f>
        <v/>
      </c>
      <c r="W10" s="64" t="str">
        <f>IF(LauderNew!W10-LauderOld!W10=0,"",LauderNew!W10-LauderOld!W10)</f>
        <v/>
      </c>
      <c r="X10" s="64" t="str">
        <f>IF(LauderNew!X10-LauderOld!X10=0,"",LauderNew!X10-LauderOld!X10)</f>
        <v/>
      </c>
      <c r="Y10" s="64" t="str">
        <f>IF(LauderNew!Y10-LauderOld!Y10=0,"",LauderNew!Y10-LauderOld!Y10)</f>
        <v/>
      </c>
      <c r="Z10" s="64" t="str">
        <f>IF(LauderNew!Z10-LauderOld!Z10=0,"",LauderNew!Z10-LauderOld!Z10)</f>
        <v/>
      </c>
      <c r="AA10" s="64" t="str">
        <f>IF(LauderNew!AA10-LauderOld!AA10=0,"",LauderNew!AA10-LauderOld!AA10)</f>
        <v/>
      </c>
      <c r="AB10" s="64" t="str">
        <f>IF(LauderNew!AB10-LauderOld!AB10=0,"",LauderNew!AB10-LauderOld!AB10)</f>
        <v/>
      </c>
      <c r="AC10" s="64" t="str">
        <f>IF(LauderNew!AC10-LauderOld!AC10=0,"",LauderNew!AC10-LauderOld!AC10)</f>
        <v/>
      </c>
      <c r="AD10" s="64" t="str">
        <f>IF(LauderNew!AD10-LauderOld!AD10=0,"",LauderNew!AD10-LauderOld!AD10)</f>
        <v/>
      </c>
      <c r="AE10" s="64" t="str">
        <f>IF(LauderNew!AE10-LauderOld!AE10=0,"",LauderNew!AE10-LauderOld!AE10)</f>
        <v/>
      </c>
      <c r="AF10" s="64" t="str">
        <f>IF(LauderNew!AF10-LauderOld!AF10=0,"",LauderNew!AF10-LauderOld!AF10)</f>
        <v/>
      </c>
      <c r="AG10" s="64" t="str">
        <f>IF(LauderNew!AG10-LauderOld!AG10=0,"",LauderNew!AG10-LauderOld!AG10)</f>
        <v/>
      </c>
      <c r="AH10" s="64" t="str">
        <f>IF(LauderNew!AH10-LauderOld!AH10=0,"",LauderNew!AH10-LauderOld!AH10)</f>
        <v/>
      </c>
      <c r="AI10" s="64" t="str">
        <f>IF(LauderNew!AI10-LauderOld!AI10=0,"",LauderNew!AI10-LauderOld!AI10)</f>
        <v/>
      </c>
      <c r="AJ10" s="64" t="str">
        <f>IF(LauderNew!AJ10-LauderOld!AJ10=0,"",LauderNew!AJ10-LauderOld!AJ10)</f>
        <v/>
      </c>
      <c r="AK10" s="64" t="str">
        <f>IF(LauderNew!AK10-LauderOld!AK10=0,"",LauderNew!AK10-LauderOld!AK10)</f>
        <v/>
      </c>
      <c r="AL10" s="64" t="str">
        <f>IF(LauderNew!AL10-LauderOld!AL10=0,"",LauderNew!AL10-LauderOld!AL10)</f>
        <v/>
      </c>
      <c r="AM10" s="64" t="str">
        <f>IF(LauderNew!AM10-LauderOld!AM10=0,"",LauderNew!AM10-LauderOld!AM10)</f>
        <v/>
      </c>
      <c r="AN10" s="64" t="str">
        <f>IF(LauderNew!AN10-LauderOld!AN10=0,"",LauderNew!AN10-LauderOld!AN10)</f>
        <v/>
      </c>
      <c r="AO10" s="64" t="str">
        <f>IF(LauderNew!AO10-LauderOld!AO10=0,"",LauderNew!AO10-LauderOld!AO10)</f>
        <v/>
      </c>
      <c r="AP10" s="64" t="str">
        <f>IF(LauderNew!AP10-LauderOld!AP10=0,"",LauderNew!AP10-LauderOld!AP10)</f>
        <v/>
      </c>
      <c r="AQ10" s="64" t="str">
        <f>IF(LauderNew!AQ10-LauderOld!AQ10=0,"",LauderNew!AQ10-LauderOld!AQ10)</f>
        <v/>
      </c>
      <c r="AR10" s="64" t="str">
        <f>IF(LauderNew!AR10-LauderOld!AR10=0,"",LauderNew!AR10-LauderOld!AR10)</f>
        <v/>
      </c>
      <c r="AS10" s="64" t="str">
        <f>IF(LauderNew!AS10-LauderOld!AS10=0,"",LauderNew!AS10-LauderOld!AS10)</f>
        <v/>
      </c>
      <c r="AT10" s="64" t="str">
        <f>IF(LauderNew!AT10-LauderOld!AT10=0,"",LauderNew!AT10-LauderOld!AT10)</f>
        <v/>
      </c>
      <c r="AU10" s="64" t="str">
        <f>IF(LauderNew!AU10-LauderOld!AU10=0,"",LauderNew!AU10-LauderOld!AU10)</f>
        <v/>
      </c>
      <c r="AV10" s="64" t="str">
        <f>IF(LauderNew!AV10-LauderOld!AV10=0,"",LauderNew!AV10-LauderOld!AV10)</f>
        <v/>
      </c>
      <c r="AW10" s="64" t="str">
        <f>IF(LauderNew!AW10-LauderOld!AW10=0,"",LauderNew!AW10-LauderOld!AW10)</f>
        <v/>
      </c>
      <c r="AX10" s="64" t="str">
        <f>IF(LauderNew!AX10-LauderOld!AX10=0,"",LauderNew!AX10-LauderOld!AX10)</f>
        <v/>
      </c>
      <c r="AY10" s="64" t="str">
        <f>IF(LauderNew!AY10-LauderOld!AY10=0,"",LauderNew!AY10-LauderOld!AY10)</f>
        <v/>
      </c>
      <c r="AZ10" s="64" t="str">
        <f>IF(LauderNew!AZ10-LauderOld!AZ10=0,"",LauderNew!AZ10-LauderOld!AZ10)</f>
        <v/>
      </c>
      <c r="BA10" s="64" t="str">
        <f>IF(LauderNew!BA10-LauderOld!BA10=0,"",LauderNew!BA10-LauderOld!BA10)</f>
        <v/>
      </c>
      <c r="BB10" s="64" t="str">
        <f>IF(LauderNew!BB10-LauderOld!BB10=0,"",LauderNew!BB10-LauderOld!BB10)</f>
        <v/>
      </c>
      <c r="BC10" s="64" t="str">
        <f>IF(LauderNew!BC10-LauderOld!BC10=0,"",LauderNew!BC10-LauderOld!BC10)</f>
        <v/>
      </c>
      <c r="BD10" s="64" t="str">
        <f>IF(LauderNew!BD10-LauderOld!BD10=0,"",LauderNew!BD10-LauderOld!BD10)</f>
        <v/>
      </c>
    </row>
    <row r="11" spans="3:56" x14ac:dyDescent="0.25">
      <c r="C11" s="48"/>
      <c r="D11" s="57" t="s">
        <v>35</v>
      </c>
      <c r="E11" s="64" t="str">
        <f>IF(LauderNew!E11-LauderOld!E11=0,"",LauderNew!E11-LauderOld!E11)</f>
        <v/>
      </c>
      <c r="F11" s="64" t="str">
        <f>IF(LauderNew!F11-LauderOld!F11=0,"",LauderNew!F11-LauderOld!F11)</f>
        <v/>
      </c>
      <c r="G11" s="64" t="str">
        <f>IF(LauderNew!G11-LauderOld!G11=0,"",LauderNew!G11-LauderOld!G11)</f>
        <v/>
      </c>
      <c r="H11" s="64" t="str">
        <f>IF(LauderNew!H11-LauderOld!H11=0,"",LauderNew!H11-LauderOld!H11)</f>
        <v/>
      </c>
      <c r="I11" s="64" t="str">
        <f>IF(LauderNew!I11-LauderOld!I11=0,"",LauderNew!I11-LauderOld!I11)</f>
        <v/>
      </c>
      <c r="J11" s="64" t="str">
        <f>IF(LauderNew!J11-LauderOld!J11=0,"",LauderNew!J11-LauderOld!J11)</f>
        <v/>
      </c>
      <c r="K11" s="64" t="str">
        <f>IF(LauderNew!K11-LauderOld!K11=0,"",LauderNew!K11-LauderOld!K11)</f>
        <v/>
      </c>
      <c r="L11" s="64" t="str">
        <f>IF(LauderNew!L11-LauderOld!L11=0,"",LauderNew!L11-LauderOld!L11)</f>
        <v/>
      </c>
      <c r="M11" s="64" t="str">
        <f>IF(LauderNew!M11-LauderOld!M11=0,"",LauderNew!M11-LauderOld!M11)</f>
        <v/>
      </c>
      <c r="N11" s="64" t="str">
        <f>IF(LauderNew!N11-LauderOld!N11=0,"",LauderNew!N11-LauderOld!N11)</f>
        <v/>
      </c>
      <c r="O11" s="64" t="str">
        <f>IF(LauderNew!O11-LauderOld!O11=0,"",LauderNew!O11-LauderOld!O11)</f>
        <v/>
      </c>
      <c r="P11" s="64" t="str">
        <f>IF(LauderNew!P11-LauderOld!P11=0,"",LauderNew!P11-LauderOld!P11)</f>
        <v/>
      </c>
      <c r="Q11" s="64" t="str">
        <f>IF(LauderNew!Q11-LauderOld!Q11=0,"",LauderNew!Q11-LauderOld!Q11)</f>
        <v/>
      </c>
      <c r="R11" s="64" t="str">
        <f>IF(LauderNew!R11-LauderOld!R11=0,"",LauderNew!R11-LauderOld!R11)</f>
        <v/>
      </c>
      <c r="S11" s="64" t="str">
        <f>IF(LauderNew!S11-LauderOld!S11=0,"",LauderNew!S11-LauderOld!S11)</f>
        <v/>
      </c>
      <c r="T11" s="64" t="str">
        <f>IF(LauderNew!T11-LauderOld!T11=0,"",LauderNew!T11-LauderOld!T11)</f>
        <v/>
      </c>
      <c r="U11" s="64" t="str">
        <f>IF(LauderNew!U11-LauderOld!U11=0,"",LauderNew!U11-LauderOld!U11)</f>
        <v/>
      </c>
      <c r="V11" s="64" t="str">
        <f>IF(LauderNew!V11-LauderOld!V11=0,"",LauderNew!V11-LauderOld!V11)</f>
        <v/>
      </c>
      <c r="W11" s="64" t="str">
        <f>IF(LauderNew!W11-LauderOld!W11=0,"",LauderNew!W11-LauderOld!W11)</f>
        <v/>
      </c>
      <c r="X11" s="64" t="str">
        <f>IF(LauderNew!X11-LauderOld!X11=0,"",LauderNew!X11-LauderOld!X11)</f>
        <v/>
      </c>
      <c r="Y11" s="64" t="str">
        <f>IF(LauderNew!Y11-LauderOld!Y11=0,"",LauderNew!Y11-LauderOld!Y11)</f>
        <v/>
      </c>
      <c r="Z11" s="64" t="str">
        <f>IF(LauderNew!Z11-LauderOld!Z11=0,"",LauderNew!Z11-LauderOld!Z11)</f>
        <v/>
      </c>
      <c r="AA11" s="64" t="str">
        <f>IF(LauderNew!AA11-LauderOld!AA11=0,"",LauderNew!AA11-LauderOld!AA11)</f>
        <v/>
      </c>
      <c r="AB11" s="64" t="str">
        <f>IF(LauderNew!AB11-LauderOld!AB11=0,"",LauderNew!AB11-LauderOld!AB11)</f>
        <v/>
      </c>
      <c r="AC11" s="64" t="str">
        <f>IF(LauderNew!AC11-LauderOld!AC11=0,"",LauderNew!AC11-LauderOld!AC11)</f>
        <v/>
      </c>
      <c r="AD11" s="64" t="str">
        <f>IF(LauderNew!AD11-LauderOld!AD11=0,"",LauderNew!AD11-LauderOld!AD11)</f>
        <v/>
      </c>
      <c r="AE11" s="64" t="str">
        <f>IF(LauderNew!AE11-LauderOld!AE11=0,"",LauderNew!AE11-LauderOld!AE11)</f>
        <v/>
      </c>
      <c r="AF11" s="64" t="str">
        <f>IF(LauderNew!AF11-LauderOld!AF11=0,"",LauderNew!AF11-LauderOld!AF11)</f>
        <v/>
      </c>
      <c r="AG11" s="64" t="str">
        <f>IF(LauderNew!AG11-LauderOld!AG11=0,"",LauderNew!AG11-LauderOld!AG11)</f>
        <v/>
      </c>
      <c r="AH11" s="64" t="str">
        <f>IF(LauderNew!AH11-LauderOld!AH11=0,"",LauderNew!AH11-LauderOld!AH11)</f>
        <v/>
      </c>
      <c r="AI11" s="64" t="str">
        <f>IF(LauderNew!AI11-LauderOld!AI11=0,"",LauderNew!AI11-LauderOld!AI11)</f>
        <v/>
      </c>
      <c r="AJ11" s="64" t="str">
        <f>IF(LauderNew!AJ11-LauderOld!AJ11=0,"",LauderNew!AJ11-LauderOld!AJ11)</f>
        <v/>
      </c>
      <c r="AK11" s="64" t="str">
        <f>IF(LauderNew!AK11-LauderOld!AK11=0,"",LauderNew!AK11-LauderOld!AK11)</f>
        <v/>
      </c>
      <c r="AL11" s="64" t="str">
        <f>IF(LauderNew!AL11-LauderOld!AL11=0,"",LauderNew!AL11-LauderOld!AL11)</f>
        <v/>
      </c>
      <c r="AM11" s="64" t="str">
        <f>IF(LauderNew!AM11-LauderOld!AM11=0,"",LauderNew!AM11-LauderOld!AM11)</f>
        <v/>
      </c>
      <c r="AN11" s="64" t="str">
        <f>IF(LauderNew!AN11-LauderOld!AN11=0,"",LauderNew!AN11-LauderOld!AN11)</f>
        <v/>
      </c>
      <c r="AO11" s="64" t="str">
        <f>IF(LauderNew!AO11-LauderOld!AO11=0,"",LauderNew!AO11-LauderOld!AO11)</f>
        <v/>
      </c>
      <c r="AP11" s="64" t="str">
        <f>IF(LauderNew!AP11-LauderOld!AP11=0,"",LauderNew!AP11-LauderOld!AP11)</f>
        <v/>
      </c>
      <c r="AQ11" s="64" t="str">
        <f>IF(LauderNew!AQ11-LauderOld!AQ11=0,"",LauderNew!AQ11-LauderOld!AQ11)</f>
        <v/>
      </c>
      <c r="AR11" s="64" t="str">
        <f>IF(LauderNew!AR11-LauderOld!AR11=0,"",LauderNew!AR11-LauderOld!AR11)</f>
        <v/>
      </c>
      <c r="AS11" s="64" t="str">
        <f>IF(LauderNew!AS11-LauderOld!AS11=0,"",LauderNew!AS11-LauderOld!AS11)</f>
        <v/>
      </c>
      <c r="AT11" s="64" t="str">
        <f>IF(LauderNew!AT11-LauderOld!AT11=0,"",LauderNew!AT11-LauderOld!AT11)</f>
        <v/>
      </c>
      <c r="AU11" s="64" t="str">
        <f>IF(LauderNew!AU11-LauderOld!AU11=0,"",LauderNew!AU11-LauderOld!AU11)</f>
        <v/>
      </c>
      <c r="AV11" s="64" t="str">
        <f>IF(LauderNew!AV11-LauderOld!AV11=0,"",LauderNew!AV11-LauderOld!AV11)</f>
        <v/>
      </c>
      <c r="AW11" s="64" t="str">
        <f>IF(LauderNew!AW11-LauderOld!AW11=0,"",LauderNew!AW11-LauderOld!AW11)</f>
        <v/>
      </c>
      <c r="AX11" s="64" t="str">
        <f>IF(LauderNew!AX11-LauderOld!AX11=0,"",LauderNew!AX11-LauderOld!AX11)</f>
        <v/>
      </c>
      <c r="AY11" s="64" t="str">
        <f>IF(LauderNew!AY11-LauderOld!AY11=0,"",LauderNew!AY11-LauderOld!AY11)</f>
        <v/>
      </c>
      <c r="AZ11" s="64" t="str">
        <f>IF(LauderNew!AZ11-LauderOld!AZ11=0,"",LauderNew!AZ11-LauderOld!AZ11)</f>
        <v/>
      </c>
      <c r="BA11" s="64" t="str">
        <f>IF(LauderNew!BA11-LauderOld!BA11=0,"",LauderNew!BA11-LauderOld!BA11)</f>
        <v/>
      </c>
      <c r="BB11" s="64" t="str">
        <f>IF(LauderNew!BB11-LauderOld!BB11=0,"",LauderNew!BB11-LauderOld!BB11)</f>
        <v/>
      </c>
      <c r="BC11" s="64" t="str">
        <f>IF(LauderNew!BC11-LauderOld!BC11=0,"",LauderNew!BC11-LauderOld!BC11)</f>
        <v/>
      </c>
      <c r="BD11" s="64" t="str">
        <f>IF(LauderNew!BD11-LauderOld!BD11=0,"",LauderNew!BD11-LauderOld!BD11)</f>
        <v/>
      </c>
    </row>
    <row r="12" spans="3:56" x14ac:dyDescent="0.25">
      <c r="C12" s="48"/>
      <c r="D12" s="57" t="s">
        <v>36</v>
      </c>
      <c r="E12" s="64" t="str">
        <f>IF(LauderNew!E12-LauderOld!E12=0,"",LauderNew!E12-LauderOld!E12)</f>
        <v/>
      </c>
      <c r="F12" s="64" t="str">
        <f>IF(LauderNew!F12-LauderOld!F12=0,"",LauderNew!F12-LauderOld!F12)</f>
        <v/>
      </c>
      <c r="G12" s="64" t="str">
        <f>IF(LauderNew!G12-LauderOld!G12=0,"",LauderNew!G12-LauderOld!G12)</f>
        <v/>
      </c>
      <c r="H12" s="64" t="str">
        <f>IF(LauderNew!H12-LauderOld!H12=0,"",LauderNew!H12-LauderOld!H12)</f>
        <v/>
      </c>
      <c r="I12" s="64" t="str">
        <f>IF(LauderNew!I12-LauderOld!I12=0,"",LauderNew!I12-LauderOld!I12)</f>
        <v/>
      </c>
      <c r="J12" s="64" t="str">
        <f>IF(LauderNew!J12-LauderOld!J12=0,"",LauderNew!J12-LauderOld!J12)</f>
        <v/>
      </c>
      <c r="K12" s="64" t="str">
        <f>IF(LauderNew!K12-LauderOld!K12=0,"",LauderNew!K12-LauderOld!K12)</f>
        <v/>
      </c>
      <c r="L12" s="64" t="str">
        <f>IF(LauderNew!L12-LauderOld!L12=0,"",LauderNew!L12-LauderOld!L12)</f>
        <v/>
      </c>
      <c r="M12" s="64" t="str">
        <f>IF(LauderNew!M12-LauderOld!M12=0,"",LauderNew!M12-LauderOld!M12)</f>
        <v/>
      </c>
      <c r="N12" s="64" t="str">
        <f>IF(LauderNew!N12-LauderOld!N12=0,"",LauderNew!N12-LauderOld!N12)</f>
        <v/>
      </c>
      <c r="O12" s="64" t="str">
        <f>IF(LauderNew!O12-LauderOld!O12=0,"",LauderNew!O12-LauderOld!O12)</f>
        <v/>
      </c>
      <c r="P12" s="64" t="str">
        <f>IF(LauderNew!P12-LauderOld!P12=0,"",LauderNew!P12-LauderOld!P12)</f>
        <v/>
      </c>
      <c r="Q12" s="64" t="str">
        <f>IF(LauderNew!Q12-LauderOld!Q12=0,"",LauderNew!Q12-LauderOld!Q12)</f>
        <v/>
      </c>
      <c r="R12" s="64" t="str">
        <f>IF(LauderNew!R12-LauderOld!R12=0,"",LauderNew!R12-LauderOld!R12)</f>
        <v/>
      </c>
      <c r="S12" s="64" t="str">
        <f>IF(LauderNew!S12-LauderOld!S12=0,"",LauderNew!S12-LauderOld!S12)</f>
        <v/>
      </c>
      <c r="T12" s="64" t="str">
        <f>IF(LauderNew!T12-LauderOld!T12=0,"",LauderNew!T12-LauderOld!T12)</f>
        <v/>
      </c>
      <c r="U12" s="64" t="str">
        <f>IF(LauderNew!U12-LauderOld!U12=0,"",LauderNew!U12-LauderOld!U12)</f>
        <v/>
      </c>
      <c r="V12" s="64" t="str">
        <f>IF(LauderNew!V12-LauderOld!V12=0,"",LauderNew!V12-LauderOld!V12)</f>
        <v/>
      </c>
      <c r="W12" s="64" t="str">
        <f>IF(LauderNew!W12-LauderOld!W12=0,"",LauderNew!W12-LauderOld!W12)</f>
        <v/>
      </c>
      <c r="X12" s="64" t="str">
        <f>IF(LauderNew!X12-LauderOld!X12=0,"",LauderNew!X12-LauderOld!X12)</f>
        <v/>
      </c>
      <c r="Y12" s="64" t="str">
        <f>IF(LauderNew!Y12-LauderOld!Y12=0,"",LauderNew!Y12-LauderOld!Y12)</f>
        <v/>
      </c>
      <c r="Z12" s="64" t="str">
        <f>IF(LauderNew!Z12-LauderOld!Z12=0,"",LauderNew!Z12-LauderOld!Z12)</f>
        <v/>
      </c>
      <c r="AA12" s="64" t="str">
        <f>IF(LauderNew!AA12-LauderOld!AA12=0,"",LauderNew!AA12-LauderOld!AA12)</f>
        <v/>
      </c>
      <c r="AB12" s="64" t="str">
        <f>IF(LauderNew!AB12-LauderOld!AB12=0,"",LauderNew!AB12-LauderOld!AB12)</f>
        <v/>
      </c>
      <c r="AC12" s="64" t="str">
        <f>IF(LauderNew!AC12-LauderOld!AC12=0,"",LauderNew!AC12-LauderOld!AC12)</f>
        <v/>
      </c>
      <c r="AD12" s="64" t="str">
        <f>IF(LauderNew!AD12-LauderOld!AD12=0,"",LauderNew!AD12-LauderOld!AD12)</f>
        <v/>
      </c>
      <c r="AE12" s="64" t="str">
        <f>IF(LauderNew!AE12-LauderOld!AE12=0,"",LauderNew!AE12-LauderOld!AE12)</f>
        <v/>
      </c>
      <c r="AF12" s="64" t="str">
        <f>IF(LauderNew!AF12-LauderOld!AF12=0,"",LauderNew!AF12-LauderOld!AF12)</f>
        <v/>
      </c>
      <c r="AG12" s="64" t="str">
        <f>IF(LauderNew!AG12-LauderOld!AG12=0,"",LauderNew!AG12-LauderOld!AG12)</f>
        <v/>
      </c>
      <c r="AH12" s="64" t="str">
        <f>IF(LauderNew!AH12-LauderOld!AH12=0,"",LauderNew!AH12-LauderOld!AH12)</f>
        <v/>
      </c>
      <c r="AI12" s="64" t="str">
        <f>IF(LauderNew!AI12-LauderOld!AI12=0,"",LauderNew!AI12-LauderOld!AI12)</f>
        <v/>
      </c>
      <c r="AJ12" s="64" t="str">
        <f>IF(LauderNew!AJ12-LauderOld!AJ12=0,"",LauderNew!AJ12-LauderOld!AJ12)</f>
        <v/>
      </c>
      <c r="AK12" s="64" t="str">
        <f>IF(LauderNew!AK12-LauderOld!AK12=0,"",LauderNew!AK12-LauderOld!AK12)</f>
        <v/>
      </c>
      <c r="AL12" s="64" t="str">
        <f>IF(LauderNew!AL12-LauderOld!AL12=0,"",LauderNew!AL12-LauderOld!AL12)</f>
        <v/>
      </c>
      <c r="AM12" s="64" t="str">
        <f>IF(LauderNew!AM12-LauderOld!AM12=0,"",LauderNew!AM12-LauderOld!AM12)</f>
        <v/>
      </c>
      <c r="AN12" s="64" t="str">
        <f>IF(LauderNew!AN12-LauderOld!AN12=0,"",LauderNew!AN12-LauderOld!AN12)</f>
        <v/>
      </c>
      <c r="AO12" s="64" t="str">
        <f>IF(LauderNew!AO12-LauderOld!AO12=0,"",LauderNew!AO12-LauderOld!AO12)</f>
        <v/>
      </c>
      <c r="AP12" s="64" t="str">
        <f>IF(LauderNew!AP12-LauderOld!AP12=0,"",LauderNew!AP12-LauderOld!AP12)</f>
        <v/>
      </c>
      <c r="AQ12" s="64" t="str">
        <f>IF(LauderNew!AQ12-LauderOld!AQ12=0,"",LauderNew!AQ12-LauderOld!AQ12)</f>
        <v/>
      </c>
      <c r="AR12" s="64" t="str">
        <f>IF(LauderNew!AR12-LauderOld!AR12=0,"",LauderNew!AR12-LauderOld!AR12)</f>
        <v/>
      </c>
      <c r="AS12" s="64" t="str">
        <f>IF(LauderNew!AS12-LauderOld!AS12=0,"",LauderNew!AS12-LauderOld!AS12)</f>
        <v/>
      </c>
      <c r="AT12" s="64" t="str">
        <f>IF(LauderNew!AT12-LauderOld!AT12=0,"",LauderNew!AT12-LauderOld!AT12)</f>
        <v/>
      </c>
      <c r="AU12" s="64" t="str">
        <f>IF(LauderNew!AU12-LauderOld!AU12=0,"",LauderNew!AU12-LauderOld!AU12)</f>
        <v/>
      </c>
      <c r="AV12" s="64" t="str">
        <f>IF(LauderNew!AV12-LauderOld!AV12=0,"",LauderNew!AV12-LauderOld!AV12)</f>
        <v/>
      </c>
      <c r="AW12" s="64" t="str">
        <f>IF(LauderNew!AW12-LauderOld!AW12=0,"",LauderNew!AW12-LauderOld!AW12)</f>
        <v/>
      </c>
      <c r="AX12" s="64" t="str">
        <f>IF(LauderNew!AX12-LauderOld!AX12=0,"",LauderNew!AX12-LauderOld!AX12)</f>
        <v/>
      </c>
      <c r="AY12" s="64" t="str">
        <f>IF(LauderNew!AY12-LauderOld!AY12=0,"",LauderNew!AY12-LauderOld!AY12)</f>
        <v/>
      </c>
      <c r="AZ12" s="64" t="str">
        <f>IF(LauderNew!AZ12-LauderOld!AZ12=0,"",LauderNew!AZ12-LauderOld!AZ12)</f>
        <v/>
      </c>
      <c r="BA12" s="64" t="str">
        <f>IF(LauderNew!BA12-LauderOld!BA12=0,"",LauderNew!BA12-LauderOld!BA12)</f>
        <v/>
      </c>
      <c r="BB12" s="64" t="str">
        <f>IF(LauderNew!BB12-LauderOld!BB12=0,"",LauderNew!BB12-LauderOld!BB12)</f>
        <v/>
      </c>
      <c r="BC12" s="64" t="str">
        <f>IF(LauderNew!BC12-LauderOld!BC12=0,"",LauderNew!BC12-LauderOld!BC12)</f>
        <v/>
      </c>
      <c r="BD12" s="64" t="str">
        <f>IF(LauderNew!BD12-LauderOld!BD12=0,"",LauderNew!BD12-LauderOld!BD12)</f>
        <v/>
      </c>
    </row>
    <row r="13" spans="3:56" x14ac:dyDescent="0.25">
      <c r="C13" s="48"/>
      <c r="D13" s="57" t="s">
        <v>37</v>
      </c>
      <c r="E13" s="64" t="str">
        <f>IF(LauderNew!E13-LauderOld!E13=0,"",LauderNew!E13-LauderOld!E13)</f>
        <v/>
      </c>
      <c r="F13" s="64" t="str">
        <f>IF(LauderNew!F13-LauderOld!F13=0,"",LauderNew!F13-LauderOld!F13)</f>
        <v/>
      </c>
      <c r="G13" s="64" t="str">
        <f>IF(LauderNew!G13-LauderOld!G13=0,"",LauderNew!G13-LauderOld!G13)</f>
        <v/>
      </c>
      <c r="H13" s="64" t="str">
        <f>IF(LauderNew!H13-LauderOld!H13=0,"",LauderNew!H13-LauderOld!H13)</f>
        <v/>
      </c>
      <c r="I13" s="64" t="str">
        <f>IF(LauderNew!I13-LauderOld!I13=0,"",LauderNew!I13-LauderOld!I13)</f>
        <v/>
      </c>
      <c r="J13" s="64" t="str">
        <f>IF(LauderNew!J13-LauderOld!J13=0,"",LauderNew!J13-LauderOld!J13)</f>
        <v/>
      </c>
      <c r="K13" s="64" t="str">
        <f>IF(LauderNew!K13-LauderOld!K13=0,"",LauderNew!K13-LauderOld!K13)</f>
        <v/>
      </c>
      <c r="L13" s="64" t="str">
        <f>IF(LauderNew!L13-LauderOld!L13=0,"",LauderNew!L13-LauderOld!L13)</f>
        <v/>
      </c>
      <c r="M13" s="64" t="str">
        <f>IF(LauderNew!M13-LauderOld!M13=0,"",LauderNew!M13-LauderOld!M13)</f>
        <v/>
      </c>
      <c r="N13" s="64" t="str">
        <f>IF(LauderNew!N13-LauderOld!N13=0,"",LauderNew!N13-LauderOld!N13)</f>
        <v/>
      </c>
      <c r="O13" s="64" t="str">
        <f>IF(LauderNew!O13-LauderOld!O13=0,"",LauderNew!O13-LauderOld!O13)</f>
        <v/>
      </c>
      <c r="P13" s="64" t="str">
        <f>IF(LauderNew!P13-LauderOld!P13=0,"",LauderNew!P13-LauderOld!P13)</f>
        <v/>
      </c>
      <c r="Q13" s="64" t="str">
        <f>IF(LauderNew!Q13-LauderOld!Q13=0,"",LauderNew!Q13-LauderOld!Q13)</f>
        <v/>
      </c>
      <c r="R13" s="64" t="str">
        <f>IF(LauderNew!R13-LauderOld!R13=0,"",LauderNew!R13-LauderOld!R13)</f>
        <v/>
      </c>
      <c r="S13" s="64" t="str">
        <f>IF(LauderNew!S13-LauderOld!S13=0,"",LauderNew!S13-LauderOld!S13)</f>
        <v/>
      </c>
      <c r="T13" s="64" t="str">
        <f>IF(LauderNew!T13-LauderOld!T13=0,"",LauderNew!T13-LauderOld!T13)</f>
        <v/>
      </c>
      <c r="U13" s="64" t="str">
        <f>IF(LauderNew!U13-LauderOld!U13=0,"",LauderNew!U13-LauderOld!U13)</f>
        <v/>
      </c>
      <c r="V13" s="64" t="str">
        <f>IF(LauderNew!V13-LauderOld!V13=0,"",LauderNew!V13-LauderOld!V13)</f>
        <v/>
      </c>
      <c r="W13" s="64" t="str">
        <f>IF(LauderNew!W13-LauderOld!W13=0,"",LauderNew!W13-LauderOld!W13)</f>
        <v/>
      </c>
      <c r="X13" s="64" t="str">
        <f>IF(LauderNew!X13-LauderOld!X13=0,"",LauderNew!X13-LauderOld!X13)</f>
        <v/>
      </c>
      <c r="Y13" s="64" t="str">
        <f>IF(LauderNew!Y13-LauderOld!Y13=0,"",LauderNew!Y13-LauderOld!Y13)</f>
        <v/>
      </c>
      <c r="Z13" s="64" t="str">
        <f>IF(LauderNew!Z13-LauderOld!Z13=0,"",LauderNew!Z13-LauderOld!Z13)</f>
        <v/>
      </c>
      <c r="AA13" s="64" t="str">
        <f>IF(LauderNew!AA13-LauderOld!AA13=0,"",LauderNew!AA13-LauderOld!AA13)</f>
        <v/>
      </c>
      <c r="AB13" s="64" t="str">
        <f>IF(LauderNew!AB13-LauderOld!AB13=0,"",LauderNew!AB13-LauderOld!AB13)</f>
        <v/>
      </c>
      <c r="AC13" s="64" t="str">
        <f>IF(LauderNew!AC13-LauderOld!AC13=0,"",LauderNew!AC13-LauderOld!AC13)</f>
        <v/>
      </c>
      <c r="AD13" s="64" t="str">
        <f>IF(LauderNew!AD13-LauderOld!AD13=0,"",LauderNew!AD13-LauderOld!AD13)</f>
        <v/>
      </c>
      <c r="AE13" s="64" t="str">
        <f>IF(LauderNew!AE13-LauderOld!AE13=0,"",LauderNew!AE13-LauderOld!AE13)</f>
        <v/>
      </c>
      <c r="AF13" s="64" t="str">
        <f>IF(LauderNew!AF13-LauderOld!AF13=0,"",LauderNew!AF13-LauderOld!AF13)</f>
        <v/>
      </c>
      <c r="AG13" s="64" t="str">
        <f>IF(LauderNew!AG13-LauderOld!AG13=0,"",LauderNew!AG13-LauderOld!AG13)</f>
        <v/>
      </c>
      <c r="AH13" s="64" t="str">
        <f>IF(LauderNew!AH13-LauderOld!AH13=0,"",LauderNew!AH13-LauderOld!AH13)</f>
        <v/>
      </c>
      <c r="AI13" s="64" t="str">
        <f>IF(LauderNew!AI13-LauderOld!AI13=0,"",LauderNew!AI13-LauderOld!AI13)</f>
        <v/>
      </c>
      <c r="AJ13" s="64" t="str">
        <f>IF(LauderNew!AJ13-LauderOld!AJ13=0,"",LauderNew!AJ13-LauderOld!AJ13)</f>
        <v/>
      </c>
      <c r="AK13" s="64" t="str">
        <f>IF(LauderNew!AK13-LauderOld!AK13=0,"",LauderNew!AK13-LauderOld!AK13)</f>
        <v/>
      </c>
      <c r="AL13" s="64" t="str">
        <f>IF(LauderNew!AL13-LauderOld!AL13=0,"",LauderNew!AL13-LauderOld!AL13)</f>
        <v/>
      </c>
      <c r="AM13" s="64" t="str">
        <f>IF(LauderNew!AM13-LauderOld!AM13=0,"",LauderNew!AM13-LauderOld!AM13)</f>
        <v/>
      </c>
      <c r="AN13" s="64" t="str">
        <f>IF(LauderNew!AN13-LauderOld!AN13=0,"",LauderNew!AN13-LauderOld!AN13)</f>
        <v/>
      </c>
      <c r="AO13" s="64" t="str">
        <f>IF(LauderNew!AO13-LauderOld!AO13=0,"",LauderNew!AO13-LauderOld!AO13)</f>
        <v/>
      </c>
      <c r="AP13" s="64" t="str">
        <f>IF(LauderNew!AP13-LauderOld!AP13=0,"",LauderNew!AP13-LauderOld!AP13)</f>
        <v/>
      </c>
      <c r="AQ13" s="64" t="str">
        <f>IF(LauderNew!AQ13-LauderOld!AQ13=0,"",LauderNew!AQ13-LauderOld!AQ13)</f>
        <v/>
      </c>
      <c r="AR13" s="64" t="str">
        <f>IF(LauderNew!AR13-LauderOld!AR13=0,"",LauderNew!AR13-LauderOld!AR13)</f>
        <v/>
      </c>
      <c r="AS13" s="64" t="str">
        <f>IF(LauderNew!AS13-LauderOld!AS13=0,"",LauderNew!AS13-LauderOld!AS13)</f>
        <v/>
      </c>
      <c r="AT13" s="64" t="str">
        <f>IF(LauderNew!AT13-LauderOld!AT13=0,"",LauderNew!AT13-LauderOld!AT13)</f>
        <v/>
      </c>
      <c r="AU13" s="64" t="str">
        <f>IF(LauderNew!AU13-LauderOld!AU13=0,"",LauderNew!AU13-LauderOld!AU13)</f>
        <v/>
      </c>
      <c r="AV13" s="64" t="str">
        <f>IF(LauderNew!AV13-LauderOld!AV13=0,"",LauderNew!AV13-LauderOld!AV13)</f>
        <v/>
      </c>
      <c r="AW13" s="64" t="str">
        <f>IF(LauderNew!AW13-LauderOld!AW13=0,"",LauderNew!AW13-LauderOld!AW13)</f>
        <v/>
      </c>
      <c r="AX13" s="64" t="str">
        <f>IF(LauderNew!AX13-LauderOld!AX13=0,"",LauderNew!AX13-LauderOld!AX13)</f>
        <v/>
      </c>
      <c r="AY13" s="64" t="str">
        <f>IF(LauderNew!AY13-LauderOld!AY13=0,"",LauderNew!AY13-LauderOld!AY13)</f>
        <v/>
      </c>
      <c r="AZ13" s="64" t="str">
        <f>IF(LauderNew!AZ13-LauderOld!AZ13=0,"",LauderNew!AZ13-LauderOld!AZ13)</f>
        <v/>
      </c>
      <c r="BA13" s="64" t="str">
        <f>IF(LauderNew!BA13-LauderOld!BA13=0,"",LauderNew!BA13-LauderOld!BA13)</f>
        <v/>
      </c>
      <c r="BB13" s="64" t="str">
        <f>IF(LauderNew!BB13-LauderOld!BB13=0,"",LauderNew!BB13-LauderOld!BB13)</f>
        <v/>
      </c>
      <c r="BC13" s="64" t="str">
        <f>IF(LauderNew!BC13-LauderOld!BC13=0,"",LauderNew!BC13-LauderOld!BC13)</f>
        <v/>
      </c>
      <c r="BD13" s="64" t="str">
        <f>IF(LauderNew!BD13-LauderOld!BD13=0,"",LauderNew!BD13-LauderOld!BD13)</f>
        <v/>
      </c>
    </row>
    <row r="14" spans="3:56" x14ac:dyDescent="0.25">
      <c r="C14" s="48"/>
      <c r="D14" s="57" t="s">
        <v>38</v>
      </c>
      <c r="E14" s="64" t="str">
        <f>IF(LauderNew!E14-LauderOld!E14=0,"",LauderNew!E14-LauderOld!E14)</f>
        <v/>
      </c>
      <c r="F14" s="64" t="str">
        <f>IF(LauderNew!F14-LauderOld!F14=0,"",LauderNew!F14-LauderOld!F14)</f>
        <v/>
      </c>
      <c r="G14" s="64" t="str">
        <f>IF(LauderNew!G14-LauderOld!G14=0,"",LauderNew!G14-LauderOld!G14)</f>
        <v/>
      </c>
      <c r="H14" s="64" t="str">
        <f>IF(LauderNew!H14-LauderOld!H14=0,"",LauderNew!H14-LauderOld!H14)</f>
        <v/>
      </c>
      <c r="I14" s="64" t="str">
        <f>IF(LauderNew!I14-LauderOld!I14=0,"",LauderNew!I14-LauderOld!I14)</f>
        <v/>
      </c>
      <c r="J14" s="64" t="str">
        <f>IF(LauderNew!J14-LauderOld!J14=0,"",LauderNew!J14-LauderOld!J14)</f>
        <v/>
      </c>
      <c r="K14" s="64" t="str">
        <f>IF(LauderNew!K14-LauderOld!K14=0,"",LauderNew!K14-LauderOld!K14)</f>
        <v/>
      </c>
      <c r="L14" s="64" t="str">
        <f>IF(LauderNew!L14-LauderOld!L14=0,"",LauderNew!L14-LauderOld!L14)</f>
        <v/>
      </c>
      <c r="M14" s="64" t="str">
        <f>IF(LauderNew!M14-LauderOld!M14=0,"",LauderNew!M14-LauderOld!M14)</f>
        <v/>
      </c>
      <c r="N14" s="64" t="str">
        <f>IF(LauderNew!N14-LauderOld!N14=0,"",LauderNew!N14-LauderOld!N14)</f>
        <v/>
      </c>
      <c r="O14" s="64" t="str">
        <f>IF(LauderNew!O14-LauderOld!O14=0,"",LauderNew!O14-LauderOld!O14)</f>
        <v/>
      </c>
      <c r="P14" s="64" t="str">
        <f>IF(LauderNew!P14-LauderOld!P14=0,"",LauderNew!P14-LauderOld!P14)</f>
        <v/>
      </c>
      <c r="Q14" s="64" t="str">
        <f>IF(LauderNew!Q14-LauderOld!Q14=0,"",LauderNew!Q14-LauderOld!Q14)</f>
        <v/>
      </c>
      <c r="R14" s="64" t="str">
        <f>IF(LauderNew!R14-LauderOld!R14=0,"",LauderNew!R14-LauderOld!R14)</f>
        <v/>
      </c>
      <c r="S14" s="64" t="str">
        <f>IF(LauderNew!S14-LauderOld!S14=0,"",LauderNew!S14-LauderOld!S14)</f>
        <v/>
      </c>
      <c r="T14" s="64" t="str">
        <f>IF(LauderNew!T14-LauderOld!T14=0,"",LauderNew!T14-LauderOld!T14)</f>
        <v/>
      </c>
      <c r="U14" s="64" t="str">
        <f>IF(LauderNew!U14-LauderOld!U14=0,"",LauderNew!U14-LauderOld!U14)</f>
        <v/>
      </c>
      <c r="V14" s="64" t="str">
        <f>IF(LauderNew!V14-LauderOld!V14=0,"",LauderNew!V14-LauderOld!V14)</f>
        <v/>
      </c>
      <c r="W14" s="64" t="str">
        <f>IF(LauderNew!W14-LauderOld!W14=0,"",LauderNew!W14-LauderOld!W14)</f>
        <v/>
      </c>
      <c r="X14" s="64" t="str">
        <f>IF(LauderNew!X14-LauderOld!X14=0,"",LauderNew!X14-LauderOld!X14)</f>
        <v/>
      </c>
      <c r="Y14" s="64" t="str">
        <f>IF(LauderNew!Y14-LauderOld!Y14=0,"",LauderNew!Y14-LauderOld!Y14)</f>
        <v/>
      </c>
      <c r="Z14" s="64" t="str">
        <f>IF(LauderNew!Z14-LauderOld!Z14=0,"",LauderNew!Z14-LauderOld!Z14)</f>
        <v/>
      </c>
      <c r="AA14" s="64" t="str">
        <f>IF(LauderNew!AA14-LauderOld!AA14=0,"",LauderNew!AA14-LauderOld!AA14)</f>
        <v/>
      </c>
      <c r="AB14" s="64" t="str">
        <f>IF(LauderNew!AB14-LauderOld!AB14=0,"",LauderNew!AB14-LauderOld!AB14)</f>
        <v/>
      </c>
      <c r="AC14" s="64" t="str">
        <f>IF(LauderNew!AC14-LauderOld!AC14=0,"",LauderNew!AC14-LauderOld!AC14)</f>
        <v/>
      </c>
      <c r="AD14" s="64" t="str">
        <f>IF(LauderNew!AD14-LauderOld!AD14=0,"",LauderNew!AD14-LauderOld!AD14)</f>
        <v/>
      </c>
      <c r="AE14" s="64" t="str">
        <f>IF(LauderNew!AE14-LauderOld!AE14=0,"",LauderNew!AE14-LauderOld!AE14)</f>
        <v/>
      </c>
      <c r="AF14" s="64" t="str">
        <f>IF(LauderNew!AF14-LauderOld!AF14=0,"",LauderNew!AF14-LauderOld!AF14)</f>
        <v/>
      </c>
      <c r="AG14" s="64" t="str">
        <f>IF(LauderNew!AG14-LauderOld!AG14=0,"",LauderNew!AG14-LauderOld!AG14)</f>
        <v/>
      </c>
      <c r="AH14" s="64" t="str">
        <f>IF(LauderNew!AH14-LauderOld!AH14=0,"",LauderNew!AH14-LauderOld!AH14)</f>
        <v/>
      </c>
      <c r="AI14" s="64" t="str">
        <f>IF(LauderNew!AI14-LauderOld!AI14=0,"",LauderNew!AI14-LauderOld!AI14)</f>
        <v/>
      </c>
      <c r="AJ14" s="64" t="str">
        <f>IF(LauderNew!AJ14-LauderOld!AJ14=0,"",LauderNew!AJ14-LauderOld!AJ14)</f>
        <v/>
      </c>
      <c r="AK14" s="64" t="str">
        <f>IF(LauderNew!AK14-LauderOld!AK14=0,"",LauderNew!AK14-LauderOld!AK14)</f>
        <v/>
      </c>
      <c r="AL14" s="64" t="str">
        <f>IF(LauderNew!AL14-LauderOld!AL14=0,"",LauderNew!AL14-LauderOld!AL14)</f>
        <v/>
      </c>
      <c r="AM14" s="64" t="str">
        <f>IF(LauderNew!AM14-LauderOld!AM14=0,"",LauderNew!AM14-LauderOld!AM14)</f>
        <v/>
      </c>
      <c r="AN14" s="64" t="str">
        <f>IF(LauderNew!AN14-LauderOld!AN14=0,"",LauderNew!AN14-LauderOld!AN14)</f>
        <v/>
      </c>
      <c r="AO14" s="64" t="str">
        <f>IF(LauderNew!AO14-LauderOld!AO14=0,"",LauderNew!AO14-LauderOld!AO14)</f>
        <v/>
      </c>
      <c r="AP14" s="64" t="str">
        <f>IF(LauderNew!AP14-LauderOld!AP14=0,"",LauderNew!AP14-LauderOld!AP14)</f>
        <v/>
      </c>
      <c r="AQ14" s="64" t="str">
        <f>IF(LauderNew!AQ14-LauderOld!AQ14=0,"",LauderNew!AQ14-LauderOld!AQ14)</f>
        <v/>
      </c>
      <c r="AR14" s="64" t="str">
        <f>IF(LauderNew!AR14-LauderOld!AR14=0,"",LauderNew!AR14-LauderOld!AR14)</f>
        <v/>
      </c>
      <c r="AS14" s="64" t="str">
        <f>IF(LauderNew!AS14-LauderOld!AS14=0,"",LauderNew!AS14-LauderOld!AS14)</f>
        <v/>
      </c>
      <c r="AT14" s="64" t="str">
        <f>IF(LauderNew!AT14-LauderOld!AT14=0,"",LauderNew!AT14-LauderOld!AT14)</f>
        <v/>
      </c>
      <c r="AU14" s="64" t="str">
        <f>IF(LauderNew!AU14-LauderOld!AU14=0,"",LauderNew!AU14-LauderOld!AU14)</f>
        <v/>
      </c>
      <c r="AV14" s="64" t="str">
        <f>IF(LauderNew!AV14-LauderOld!AV14=0,"",LauderNew!AV14-LauderOld!AV14)</f>
        <v/>
      </c>
      <c r="AW14" s="64" t="str">
        <f>IF(LauderNew!AW14-LauderOld!AW14=0,"",LauderNew!AW14-LauderOld!AW14)</f>
        <v/>
      </c>
      <c r="AX14" s="64" t="str">
        <f>IF(LauderNew!AX14-LauderOld!AX14=0,"",LauderNew!AX14-LauderOld!AX14)</f>
        <v/>
      </c>
      <c r="AY14" s="64" t="str">
        <f>IF(LauderNew!AY14-LauderOld!AY14=0,"",LauderNew!AY14-LauderOld!AY14)</f>
        <v/>
      </c>
      <c r="AZ14" s="64" t="str">
        <f>IF(LauderNew!AZ14-LauderOld!AZ14=0,"",LauderNew!AZ14-LauderOld!AZ14)</f>
        <v/>
      </c>
      <c r="BA14" s="64" t="str">
        <f>IF(LauderNew!BA14-LauderOld!BA14=0,"",LauderNew!BA14-LauderOld!BA14)</f>
        <v/>
      </c>
      <c r="BB14" s="64" t="str">
        <f>IF(LauderNew!BB14-LauderOld!BB14=0,"",LauderNew!BB14-LauderOld!BB14)</f>
        <v/>
      </c>
      <c r="BC14" s="64" t="str">
        <f>IF(LauderNew!BC14-LauderOld!BC14=0,"",LauderNew!BC14-LauderOld!BC14)</f>
        <v/>
      </c>
      <c r="BD14" s="64" t="str">
        <f>IF(LauderNew!BD14-LauderOld!BD14=0,"",LauderNew!BD14-LauderOld!BD14)</f>
        <v/>
      </c>
    </row>
    <row r="15" spans="3:56" x14ac:dyDescent="0.25">
      <c r="C15" s="48"/>
      <c r="D15" s="57" t="s">
        <v>39</v>
      </c>
      <c r="E15" s="64" t="str">
        <f>IF(LauderNew!E15-LauderOld!E15=0,"",LauderNew!E15-LauderOld!E15)</f>
        <v/>
      </c>
      <c r="F15" s="64" t="str">
        <f>IF(LauderNew!F15-LauderOld!F15=0,"",LauderNew!F15-LauderOld!F15)</f>
        <v/>
      </c>
      <c r="G15" s="64" t="str">
        <f>IF(LauderNew!G15-LauderOld!G15=0,"",LauderNew!G15-LauderOld!G15)</f>
        <v/>
      </c>
      <c r="H15" s="64" t="str">
        <f>IF(LauderNew!H15-LauderOld!H15=0,"",LauderNew!H15-LauderOld!H15)</f>
        <v/>
      </c>
      <c r="I15" s="64" t="str">
        <f>IF(LauderNew!I15-LauderOld!I15=0,"",LauderNew!I15-LauderOld!I15)</f>
        <v/>
      </c>
      <c r="J15" s="64" t="str">
        <f>IF(LauderNew!J15-LauderOld!J15=0,"",LauderNew!J15-LauderOld!J15)</f>
        <v/>
      </c>
      <c r="K15" s="64" t="str">
        <f>IF(LauderNew!K15-LauderOld!K15=0,"",LauderNew!K15-LauderOld!K15)</f>
        <v/>
      </c>
      <c r="L15" s="64" t="str">
        <f>IF(LauderNew!L15-LauderOld!L15=0,"",LauderNew!L15-LauderOld!L15)</f>
        <v/>
      </c>
      <c r="M15" s="64" t="str">
        <f>IF(LauderNew!M15-LauderOld!M15=0,"",LauderNew!M15-LauderOld!M15)</f>
        <v/>
      </c>
      <c r="N15" s="64" t="str">
        <f>IF(LauderNew!N15-LauderOld!N15=0,"",LauderNew!N15-LauderOld!N15)</f>
        <v/>
      </c>
      <c r="O15" s="64" t="str">
        <f>IF(LauderNew!O15-LauderOld!O15=0,"",LauderNew!O15-LauderOld!O15)</f>
        <v/>
      </c>
      <c r="P15" s="64" t="str">
        <f>IF(LauderNew!P15-LauderOld!P15=0,"",LauderNew!P15-LauderOld!P15)</f>
        <v/>
      </c>
      <c r="Q15" s="64" t="str">
        <f>IF(LauderNew!Q15-LauderOld!Q15=0,"",LauderNew!Q15-LauderOld!Q15)</f>
        <v/>
      </c>
      <c r="R15" s="64" t="str">
        <f>IF(LauderNew!R15-LauderOld!R15=0,"",LauderNew!R15-LauderOld!R15)</f>
        <v/>
      </c>
      <c r="S15" s="64" t="str">
        <f>IF(LauderNew!S15-LauderOld!S15=0,"",LauderNew!S15-LauderOld!S15)</f>
        <v/>
      </c>
      <c r="T15" s="64" t="str">
        <f>IF(LauderNew!T15-LauderOld!T15=0,"",LauderNew!T15-LauderOld!T15)</f>
        <v/>
      </c>
      <c r="U15" s="64" t="str">
        <f>IF(LauderNew!U15-LauderOld!U15=0,"",LauderNew!U15-LauderOld!U15)</f>
        <v/>
      </c>
      <c r="V15" s="64" t="str">
        <f>IF(LauderNew!V15-LauderOld!V15=0,"",LauderNew!V15-LauderOld!V15)</f>
        <v/>
      </c>
      <c r="W15" s="64" t="str">
        <f>IF(LauderNew!W15-LauderOld!W15=0,"",LauderNew!W15-LauderOld!W15)</f>
        <v/>
      </c>
      <c r="X15" s="64" t="str">
        <f>IF(LauderNew!X15-LauderOld!X15=0,"",LauderNew!X15-LauderOld!X15)</f>
        <v/>
      </c>
      <c r="Y15" s="64" t="str">
        <f>IF(LauderNew!Y15-LauderOld!Y15=0,"",LauderNew!Y15-LauderOld!Y15)</f>
        <v/>
      </c>
      <c r="Z15" s="64" t="str">
        <f>IF(LauderNew!Z15-LauderOld!Z15=0,"",LauderNew!Z15-LauderOld!Z15)</f>
        <v/>
      </c>
      <c r="AA15" s="64" t="str">
        <f>IF(LauderNew!AA15-LauderOld!AA15=0,"",LauderNew!AA15-LauderOld!AA15)</f>
        <v/>
      </c>
      <c r="AB15" s="64" t="str">
        <f>IF(LauderNew!AB15-LauderOld!AB15=0,"",LauderNew!AB15-LauderOld!AB15)</f>
        <v/>
      </c>
      <c r="AC15" s="64" t="str">
        <f>IF(LauderNew!AC15-LauderOld!AC15=0,"",LauderNew!AC15-LauderOld!AC15)</f>
        <v/>
      </c>
      <c r="AD15" s="64" t="str">
        <f>IF(LauderNew!AD15-LauderOld!AD15=0,"",LauderNew!AD15-LauderOld!AD15)</f>
        <v/>
      </c>
      <c r="AE15" s="64" t="str">
        <f>IF(LauderNew!AE15-LauderOld!AE15=0,"",LauderNew!AE15-LauderOld!AE15)</f>
        <v/>
      </c>
      <c r="AF15" s="64" t="str">
        <f>IF(LauderNew!AF15-LauderOld!AF15=0,"",LauderNew!AF15-LauderOld!AF15)</f>
        <v/>
      </c>
      <c r="AG15" s="64" t="str">
        <f>IF(LauderNew!AG15-LauderOld!AG15=0,"",LauderNew!AG15-LauderOld!AG15)</f>
        <v/>
      </c>
      <c r="AH15" s="64" t="str">
        <f>IF(LauderNew!AH15-LauderOld!AH15=0,"",LauderNew!AH15-LauderOld!AH15)</f>
        <v/>
      </c>
      <c r="AI15" s="64" t="str">
        <f>IF(LauderNew!AI15-LauderOld!AI15=0,"",LauderNew!AI15-LauderOld!AI15)</f>
        <v/>
      </c>
      <c r="AJ15" s="64" t="str">
        <f>IF(LauderNew!AJ15-LauderOld!AJ15=0,"",LauderNew!AJ15-LauderOld!AJ15)</f>
        <v/>
      </c>
      <c r="AK15" s="64" t="str">
        <f>IF(LauderNew!AK15-LauderOld!AK15=0,"",LauderNew!AK15-LauderOld!AK15)</f>
        <v/>
      </c>
      <c r="AL15" s="64" t="str">
        <f>IF(LauderNew!AL15-LauderOld!AL15=0,"",LauderNew!AL15-LauderOld!AL15)</f>
        <v/>
      </c>
      <c r="AM15" s="64" t="str">
        <f>IF(LauderNew!AM15-LauderOld!AM15=0,"",LauderNew!AM15-LauderOld!AM15)</f>
        <v/>
      </c>
      <c r="AN15" s="64" t="str">
        <f>IF(LauderNew!AN15-LauderOld!AN15=0,"",LauderNew!AN15-LauderOld!AN15)</f>
        <v/>
      </c>
      <c r="AO15" s="64" t="str">
        <f>IF(LauderNew!AO15-LauderOld!AO15=0,"",LauderNew!AO15-LauderOld!AO15)</f>
        <v/>
      </c>
      <c r="AP15" s="64" t="str">
        <f>IF(LauderNew!AP15-LauderOld!AP15=0,"",LauderNew!AP15-LauderOld!AP15)</f>
        <v/>
      </c>
      <c r="AQ15" s="64" t="str">
        <f>IF(LauderNew!AQ15-LauderOld!AQ15=0,"",LauderNew!AQ15-LauderOld!AQ15)</f>
        <v/>
      </c>
      <c r="AR15" s="64" t="str">
        <f>IF(LauderNew!AR15-LauderOld!AR15=0,"",LauderNew!AR15-LauderOld!AR15)</f>
        <v/>
      </c>
      <c r="AS15" s="64" t="str">
        <f>IF(LauderNew!AS15-LauderOld!AS15=0,"",LauderNew!AS15-LauderOld!AS15)</f>
        <v/>
      </c>
      <c r="AT15" s="64" t="str">
        <f>IF(LauderNew!AT15-LauderOld!AT15=0,"",LauderNew!AT15-LauderOld!AT15)</f>
        <v/>
      </c>
      <c r="AU15" s="64" t="str">
        <f>IF(LauderNew!AU15-LauderOld!AU15=0,"",LauderNew!AU15-LauderOld!AU15)</f>
        <v/>
      </c>
      <c r="AV15" s="64" t="str">
        <f>IF(LauderNew!AV15-LauderOld!AV15=0,"",LauderNew!AV15-LauderOld!AV15)</f>
        <v/>
      </c>
      <c r="AW15" s="64" t="str">
        <f>IF(LauderNew!AW15-LauderOld!AW15=0,"",LauderNew!AW15-LauderOld!AW15)</f>
        <v/>
      </c>
      <c r="AX15" s="64" t="str">
        <f>IF(LauderNew!AX15-LauderOld!AX15=0,"",LauderNew!AX15-LauderOld!AX15)</f>
        <v/>
      </c>
      <c r="AY15" s="64" t="str">
        <f>IF(LauderNew!AY15-LauderOld!AY15=0,"",LauderNew!AY15-LauderOld!AY15)</f>
        <v/>
      </c>
      <c r="AZ15" s="64" t="str">
        <f>IF(LauderNew!AZ15-LauderOld!AZ15=0,"",LauderNew!AZ15-LauderOld!AZ15)</f>
        <v/>
      </c>
      <c r="BA15" s="64" t="str">
        <f>IF(LauderNew!BA15-LauderOld!BA15=0,"",LauderNew!BA15-LauderOld!BA15)</f>
        <v/>
      </c>
      <c r="BB15" s="64" t="str">
        <f>IF(LauderNew!BB15-LauderOld!BB15=0,"",LauderNew!BB15-LauderOld!BB15)</f>
        <v/>
      </c>
      <c r="BC15" s="64" t="str">
        <f>IF(LauderNew!BC15-LauderOld!BC15=0,"",LauderNew!BC15-LauderOld!BC15)</f>
        <v/>
      </c>
      <c r="BD15" s="64" t="str">
        <f>IF(LauderNew!BD15-LauderOld!BD15=0,"",LauderNew!BD15-LauderOld!BD15)</f>
        <v/>
      </c>
    </row>
    <row r="16" spans="3:56" x14ac:dyDescent="0.25">
      <c r="C16" s="48"/>
      <c r="D16" s="57" t="s">
        <v>40</v>
      </c>
      <c r="E16" s="64" t="str">
        <f>IF(LauderNew!E16-LauderOld!E16=0,"",LauderNew!E16-LauderOld!E16)</f>
        <v/>
      </c>
      <c r="F16" s="64" t="str">
        <f>IF(LauderNew!F16-LauderOld!F16=0,"",LauderNew!F16-LauderOld!F16)</f>
        <v/>
      </c>
      <c r="G16" s="64" t="str">
        <f>IF(LauderNew!G16-LauderOld!G16=0,"",LauderNew!G16-LauderOld!G16)</f>
        <v/>
      </c>
      <c r="H16" s="64" t="str">
        <f>IF(LauderNew!H16-LauderOld!H16=0,"",LauderNew!H16-LauderOld!H16)</f>
        <v/>
      </c>
      <c r="I16" s="64" t="str">
        <f>IF(LauderNew!I16-LauderOld!I16=0,"",LauderNew!I16-LauderOld!I16)</f>
        <v/>
      </c>
      <c r="J16" s="64" t="str">
        <f>IF(LauderNew!J16-LauderOld!J16=0,"",LauderNew!J16-LauderOld!J16)</f>
        <v/>
      </c>
      <c r="K16" s="64" t="str">
        <f>IF(LauderNew!K16-LauderOld!K16=0,"",LauderNew!K16-LauderOld!K16)</f>
        <v/>
      </c>
      <c r="L16" s="64" t="str">
        <f>IF(LauderNew!L16-LauderOld!L16=0,"",LauderNew!L16-LauderOld!L16)</f>
        <v/>
      </c>
      <c r="M16" s="64" t="str">
        <f>IF(LauderNew!M16-LauderOld!M16=0,"",LauderNew!M16-LauderOld!M16)</f>
        <v/>
      </c>
      <c r="N16" s="64" t="str">
        <f>IF(LauderNew!N16-LauderOld!N16=0,"",LauderNew!N16-LauderOld!N16)</f>
        <v/>
      </c>
      <c r="O16" s="64" t="str">
        <f>IF(LauderNew!O16-LauderOld!O16=0,"",LauderNew!O16-LauderOld!O16)</f>
        <v/>
      </c>
      <c r="P16" s="64" t="str">
        <f>IF(LauderNew!P16-LauderOld!P16=0,"",LauderNew!P16-LauderOld!P16)</f>
        <v/>
      </c>
      <c r="Q16" s="64" t="str">
        <f>IF(LauderNew!Q16-LauderOld!Q16=0,"",LauderNew!Q16-LauderOld!Q16)</f>
        <v/>
      </c>
      <c r="R16" s="64" t="str">
        <f>IF(LauderNew!R16-LauderOld!R16=0,"",LauderNew!R16-LauderOld!R16)</f>
        <v/>
      </c>
      <c r="S16" s="64" t="str">
        <f>IF(LauderNew!S16-LauderOld!S16=0,"",LauderNew!S16-LauderOld!S16)</f>
        <v/>
      </c>
      <c r="T16" s="64" t="str">
        <f>IF(LauderNew!T16-LauderOld!T16=0,"",LauderNew!T16-LauderOld!T16)</f>
        <v/>
      </c>
      <c r="U16" s="64" t="str">
        <f>IF(LauderNew!U16-LauderOld!U16=0,"",LauderNew!U16-LauderOld!U16)</f>
        <v/>
      </c>
      <c r="V16" s="64" t="str">
        <f>IF(LauderNew!V16-LauderOld!V16=0,"",LauderNew!V16-LauderOld!V16)</f>
        <v/>
      </c>
      <c r="W16" s="64" t="str">
        <f>IF(LauderNew!W16-LauderOld!W16=0,"",LauderNew!W16-LauderOld!W16)</f>
        <v/>
      </c>
      <c r="X16" s="64" t="str">
        <f>IF(LauderNew!X16-LauderOld!X16=0,"",LauderNew!X16-LauderOld!X16)</f>
        <v/>
      </c>
      <c r="Y16" s="64" t="str">
        <f>IF(LauderNew!Y16-LauderOld!Y16=0,"",LauderNew!Y16-LauderOld!Y16)</f>
        <v/>
      </c>
      <c r="Z16" s="64" t="str">
        <f>IF(LauderNew!Z16-LauderOld!Z16=0,"",LauderNew!Z16-LauderOld!Z16)</f>
        <v/>
      </c>
      <c r="AA16" s="64" t="str">
        <f>IF(LauderNew!AA16-LauderOld!AA16=0,"",LauderNew!AA16-LauderOld!AA16)</f>
        <v/>
      </c>
      <c r="AB16" s="64" t="str">
        <f>IF(LauderNew!AB16-LauderOld!AB16=0,"",LauderNew!AB16-LauderOld!AB16)</f>
        <v/>
      </c>
      <c r="AC16" s="64" t="str">
        <f>IF(LauderNew!AC16-LauderOld!AC16=0,"",LauderNew!AC16-LauderOld!AC16)</f>
        <v/>
      </c>
      <c r="AD16" s="64" t="str">
        <f>IF(LauderNew!AD16-LauderOld!AD16=0,"",LauderNew!AD16-LauderOld!AD16)</f>
        <v/>
      </c>
      <c r="AE16" s="64" t="str">
        <f>IF(LauderNew!AE16-LauderOld!AE16=0,"",LauderNew!AE16-LauderOld!AE16)</f>
        <v/>
      </c>
      <c r="AF16" s="64" t="str">
        <f>IF(LauderNew!AF16-LauderOld!AF16=0,"",LauderNew!AF16-LauderOld!AF16)</f>
        <v/>
      </c>
      <c r="AG16" s="64" t="str">
        <f>IF(LauderNew!AG16-LauderOld!AG16=0,"",LauderNew!AG16-LauderOld!AG16)</f>
        <v/>
      </c>
      <c r="AH16" s="64" t="str">
        <f>IF(LauderNew!AH16-LauderOld!AH16=0,"",LauderNew!AH16-LauderOld!AH16)</f>
        <v/>
      </c>
      <c r="AI16" s="64" t="str">
        <f>IF(LauderNew!AI16-LauderOld!AI16=0,"",LauderNew!AI16-LauderOld!AI16)</f>
        <v/>
      </c>
      <c r="AJ16" s="64" t="str">
        <f>IF(LauderNew!AJ16-LauderOld!AJ16=0,"",LauderNew!AJ16-LauderOld!AJ16)</f>
        <v/>
      </c>
      <c r="AK16" s="64" t="str">
        <f>IF(LauderNew!AK16-LauderOld!AK16=0,"",LauderNew!AK16-LauderOld!AK16)</f>
        <v/>
      </c>
      <c r="AL16" s="64" t="str">
        <f>IF(LauderNew!AL16-LauderOld!AL16=0,"",LauderNew!AL16-LauderOld!AL16)</f>
        <v/>
      </c>
      <c r="AM16" s="64" t="str">
        <f>IF(LauderNew!AM16-LauderOld!AM16=0,"",LauderNew!AM16-LauderOld!AM16)</f>
        <v/>
      </c>
      <c r="AN16" s="64" t="str">
        <f>IF(LauderNew!AN16-LauderOld!AN16=0,"",LauderNew!AN16-LauderOld!AN16)</f>
        <v/>
      </c>
      <c r="AO16" s="64" t="str">
        <f>IF(LauderNew!AO16-LauderOld!AO16=0,"",LauderNew!AO16-LauderOld!AO16)</f>
        <v/>
      </c>
      <c r="AP16" s="64" t="str">
        <f>IF(LauderNew!AP16-LauderOld!AP16=0,"",LauderNew!AP16-LauderOld!AP16)</f>
        <v/>
      </c>
      <c r="AQ16" s="64" t="str">
        <f>IF(LauderNew!AQ16-LauderOld!AQ16=0,"",LauderNew!AQ16-LauderOld!AQ16)</f>
        <v/>
      </c>
      <c r="AR16" s="64" t="str">
        <f>IF(LauderNew!AR16-LauderOld!AR16=0,"",LauderNew!AR16-LauderOld!AR16)</f>
        <v/>
      </c>
      <c r="AS16" s="64" t="str">
        <f>IF(LauderNew!AS16-LauderOld!AS16=0,"",LauderNew!AS16-LauderOld!AS16)</f>
        <v/>
      </c>
      <c r="AT16" s="64" t="str">
        <f>IF(LauderNew!AT16-LauderOld!AT16=0,"",LauderNew!AT16-LauderOld!AT16)</f>
        <v/>
      </c>
      <c r="AU16" s="64" t="str">
        <f>IF(LauderNew!AU16-LauderOld!AU16=0,"",LauderNew!AU16-LauderOld!AU16)</f>
        <v/>
      </c>
      <c r="AV16" s="64" t="str">
        <f>IF(LauderNew!AV16-LauderOld!AV16=0,"",LauderNew!AV16-LauderOld!AV16)</f>
        <v/>
      </c>
      <c r="AW16" s="64" t="str">
        <f>IF(LauderNew!AW16-LauderOld!AW16=0,"",LauderNew!AW16-LauderOld!AW16)</f>
        <v/>
      </c>
      <c r="AX16" s="64" t="str">
        <f>IF(LauderNew!AX16-LauderOld!AX16=0,"",LauderNew!AX16-LauderOld!AX16)</f>
        <v/>
      </c>
      <c r="AY16" s="64" t="str">
        <f>IF(LauderNew!AY16-LauderOld!AY16=0,"",LauderNew!AY16-LauderOld!AY16)</f>
        <v/>
      </c>
      <c r="AZ16" s="64" t="str">
        <f>IF(LauderNew!AZ16-LauderOld!AZ16=0,"",LauderNew!AZ16-LauderOld!AZ16)</f>
        <v/>
      </c>
      <c r="BA16" s="64" t="str">
        <f>IF(LauderNew!BA16-LauderOld!BA16=0,"",LauderNew!BA16-LauderOld!BA16)</f>
        <v/>
      </c>
      <c r="BB16" s="64" t="str">
        <f>IF(LauderNew!BB16-LauderOld!BB16=0,"",LauderNew!BB16-LauderOld!BB16)</f>
        <v/>
      </c>
      <c r="BC16" s="64" t="str">
        <f>IF(LauderNew!BC16-LauderOld!BC16=0,"",LauderNew!BC16-LauderOld!BC16)</f>
        <v/>
      </c>
      <c r="BD16" s="64" t="str">
        <f>IF(LauderNew!BD16-LauderOld!BD16=0,"",LauderNew!BD16-LauderOld!BD16)</f>
        <v/>
      </c>
    </row>
    <row r="17" spans="3:56" x14ac:dyDescent="0.25">
      <c r="C17" s="48"/>
      <c r="E17" s="45"/>
      <c r="F17" s="45"/>
      <c r="G17" s="45"/>
      <c r="H17" s="45"/>
      <c r="I17" s="45"/>
      <c r="J17" s="45"/>
      <c r="K17" s="45"/>
      <c r="L17" s="45"/>
      <c r="M17" s="45"/>
    </row>
    <row r="18" spans="3:56" x14ac:dyDescent="0.25">
      <c r="C18" s="48"/>
      <c r="D18" s="49" t="s">
        <v>34</v>
      </c>
      <c r="E18" s="65" t="str">
        <f>IF(LauderNew!E18-LauderOld!E18=0,"",LauderNew!E18-LauderOld!E18)</f>
        <v/>
      </c>
      <c r="F18" s="65" t="str">
        <f>IF(LauderNew!F18-LauderOld!F18=0,"",LauderNew!F18-LauderOld!F18)</f>
        <v/>
      </c>
      <c r="G18" s="65" t="str">
        <f>IF(LauderNew!G18-LauderOld!G18=0,"",LauderNew!G18-LauderOld!G18)</f>
        <v/>
      </c>
      <c r="H18" s="65" t="str">
        <f>IF(LauderNew!H18-LauderOld!H18=0,"",LauderNew!H18-LauderOld!H18)</f>
        <v/>
      </c>
      <c r="I18" s="65" t="str">
        <f>IF(LauderNew!I18-LauderOld!I18=0,"",LauderNew!I18-LauderOld!I18)</f>
        <v/>
      </c>
      <c r="J18" s="65" t="str">
        <f>IF(LauderNew!J18-LauderOld!J18=0,"",LauderNew!J18-LauderOld!J18)</f>
        <v/>
      </c>
      <c r="K18" s="65" t="str">
        <f>IF(LauderNew!K18-LauderOld!K18=0,"",LauderNew!K18-LauderOld!K18)</f>
        <v/>
      </c>
      <c r="L18" s="65" t="str">
        <f>IF(LauderNew!L18-LauderOld!L18=0,"",LauderNew!L18-LauderOld!L18)</f>
        <v/>
      </c>
      <c r="M18" s="65" t="str">
        <f>IF(LauderNew!M18-LauderOld!M18=0,"",LauderNew!M18-LauderOld!M18)</f>
        <v/>
      </c>
      <c r="N18" s="65" t="str">
        <f>IF(LauderNew!N18-LauderOld!N18=0,"",LauderNew!N18-LauderOld!N18)</f>
        <v/>
      </c>
      <c r="O18" s="65" t="str">
        <f>IF(LauderNew!O18-LauderOld!O18=0,"",LauderNew!O18-LauderOld!O18)</f>
        <v/>
      </c>
      <c r="P18" s="65" t="str">
        <f>IF(LauderNew!P18-LauderOld!P18=0,"",LauderNew!P18-LauderOld!P18)</f>
        <v/>
      </c>
      <c r="Q18" s="65" t="str">
        <f>IF(LauderNew!Q18-LauderOld!Q18=0,"",LauderNew!Q18-LauderOld!Q18)</f>
        <v/>
      </c>
      <c r="R18" s="65" t="str">
        <f>IF(LauderNew!R18-LauderOld!R18=0,"",LauderNew!R18-LauderOld!R18)</f>
        <v/>
      </c>
      <c r="S18" s="65" t="str">
        <f>IF(LauderNew!S18-LauderOld!S18=0,"",LauderNew!S18-LauderOld!S18)</f>
        <v/>
      </c>
      <c r="T18" s="65" t="str">
        <f>IF(LauderNew!T18-LauderOld!T18=0,"",LauderNew!T18-LauderOld!T18)</f>
        <v/>
      </c>
      <c r="U18" s="65" t="str">
        <f>IF(LauderNew!U18-LauderOld!U18=0,"",LauderNew!U18-LauderOld!U18)</f>
        <v/>
      </c>
      <c r="V18" s="65" t="str">
        <f>IF(LauderNew!V18-LauderOld!V18=0,"",LauderNew!V18-LauderOld!V18)</f>
        <v/>
      </c>
      <c r="W18" s="65" t="str">
        <f>IF(LauderNew!W18-LauderOld!W18=0,"",LauderNew!W18-LauderOld!W18)</f>
        <v/>
      </c>
      <c r="X18" s="65" t="str">
        <f>IF(LauderNew!X18-LauderOld!X18=0,"",LauderNew!X18-LauderOld!X18)</f>
        <v/>
      </c>
      <c r="Y18" s="65" t="str">
        <f>IF(LauderNew!Y18-LauderOld!Y18=0,"",LauderNew!Y18-LauderOld!Y18)</f>
        <v/>
      </c>
      <c r="Z18" s="65" t="str">
        <f>IF(LauderNew!Z18-LauderOld!Z18=0,"",LauderNew!Z18-LauderOld!Z18)</f>
        <v/>
      </c>
      <c r="AA18" s="65" t="str">
        <f>IF(LauderNew!AA18-LauderOld!AA18=0,"",LauderNew!AA18-LauderOld!AA18)</f>
        <v/>
      </c>
      <c r="AB18" s="65" t="str">
        <f>IF(LauderNew!AB18-LauderOld!AB18=0,"",LauderNew!AB18-LauderOld!AB18)</f>
        <v/>
      </c>
      <c r="AC18" s="65" t="str">
        <f>IF(LauderNew!AC18-LauderOld!AC18=0,"",LauderNew!AC18-LauderOld!AC18)</f>
        <v/>
      </c>
      <c r="AD18" s="65" t="str">
        <f>IF(LauderNew!AD18-LauderOld!AD18=0,"",LauderNew!AD18-LauderOld!AD18)</f>
        <v/>
      </c>
      <c r="AE18" s="65" t="str">
        <f>IF(LauderNew!AE18-LauderOld!AE18=0,"",LauderNew!AE18-LauderOld!AE18)</f>
        <v/>
      </c>
      <c r="AF18" s="65" t="str">
        <f>IF(LauderNew!AF18-LauderOld!AF18=0,"",LauderNew!AF18-LauderOld!AF18)</f>
        <v/>
      </c>
      <c r="AG18" s="65" t="str">
        <f>IF(LauderNew!AG18-LauderOld!AG18=0,"",LauderNew!AG18-LauderOld!AG18)</f>
        <v/>
      </c>
      <c r="AH18" s="65" t="str">
        <f>IF(LauderNew!AH18-LauderOld!AH18=0,"",LauderNew!AH18-LauderOld!AH18)</f>
        <v/>
      </c>
      <c r="AI18" s="65" t="str">
        <f>IF(LauderNew!AI18-LauderOld!AI18=0,"",LauderNew!AI18-LauderOld!AI18)</f>
        <v/>
      </c>
      <c r="AJ18" s="65" t="str">
        <f>IF(LauderNew!AJ18-LauderOld!AJ18=0,"",LauderNew!AJ18-LauderOld!AJ18)</f>
        <v/>
      </c>
      <c r="AK18" s="65" t="str">
        <f>IF(LauderNew!AK18-LauderOld!AK18=0,"",LauderNew!AK18-LauderOld!AK18)</f>
        <v/>
      </c>
      <c r="AL18" s="65" t="str">
        <f>IF(LauderNew!AL18-LauderOld!AL18=0,"",LauderNew!AL18-LauderOld!AL18)</f>
        <v/>
      </c>
      <c r="AM18" s="65" t="str">
        <f>IF(LauderNew!AM18-LauderOld!AM18=0,"",LauderNew!AM18-LauderOld!AM18)</f>
        <v/>
      </c>
      <c r="AN18" s="65" t="str">
        <f>IF(LauderNew!AN18-LauderOld!AN18=0,"",LauderNew!AN18-LauderOld!AN18)</f>
        <v/>
      </c>
      <c r="AO18" s="65" t="str">
        <f>IF(LauderNew!AO18-LauderOld!AO18=0,"",LauderNew!AO18-LauderOld!AO18)</f>
        <v/>
      </c>
      <c r="AP18" s="65" t="str">
        <f>IF(LauderNew!AP18-LauderOld!AP18=0,"",LauderNew!AP18-LauderOld!AP18)</f>
        <v/>
      </c>
      <c r="AQ18" s="65" t="str">
        <f>IF(LauderNew!AQ18-LauderOld!AQ18=0,"",LauderNew!AQ18-LauderOld!AQ18)</f>
        <v/>
      </c>
      <c r="AR18" s="65" t="str">
        <f>IF(LauderNew!AR18-LauderOld!AR18=0,"",LauderNew!AR18-LauderOld!AR18)</f>
        <v/>
      </c>
      <c r="AS18" s="65" t="str">
        <f>IF(LauderNew!AS18-LauderOld!AS18=0,"",LauderNew!AS18-LauderOld!AS18)</f>
        <v/>
      </c>
      <c r="AT18" s="65" t="str">
        <f>IF(LauderNew!AT18-LauderOld!AT18=0,"",LauderNew!AT18-LauderOld!AT18)</f>
        <v/>
      </c>
      <c r="AU18" s="65" t="str">
        <f>IF(LauderNew!AU18-LauderOld!AU18=0,"",LauderNew!AU18-LauderOld!AU18)</f>
        <v/>
      </c>
      <c r="AV18" s="65" t="str">
        <f>IF(LauderNew!AV18-LauderOld!AV18=0,"",LauderNew!AV18-LauderOld!AV18)</f>
        <v/>
      </c>
      <c r="AW18" s="65" t="str">
        <f>IF(LauderNew!AW18-LauderOld!AW18=0,"",LauderNew!AW18-LauderOld!AW18)</f>
        <v/>
      </c>
      <c r="AX18" s="65" t="str">
        <f>IF(LauderNew!AX18-LauderOld!AX18=0,"",LauderNew!AX18-LauderOld!AX18)</f>
        <v/>
      </c>
      <c r="AY18" s="65" t="str">
        <f>IF(LauderNew!AY18-LauderOld!AY18=0,"",LauderNew!AY18-LauderOld!AY18)</f>
        <v/>
      </c>
      <c r="AZ18" s="65" t="str">
        <f>IF(LauderNew!AZ18-LauderOld!AZ18=0,"",LauderNew!AZ18-LauderOld!AZ18)</f>
        <v/>
      </c>
      <c r="BA18" s="65" t="str">
        <f>IF(LauderNew!BA18-LauderOld!BA18=0,"",LauderNew!BA18-LauderOld!BA18)</f>
        <v/>
      </c>
      <c r="BB18" s="65" t="str">
        <f>IF(LauderNew!BB18-LauderOld!BB18=0,"",LauderNew!BB18-LauderOld!BB18)</f>
        <v/>
      </c>
      <c r="BC18" s="65" t="str">
        <f>IF(LauderNew!BC18-LauderOld!BC18=0,"",LauderNew!BC18-LauderOld!BC18)</f>
        <v/>
      </c>
      <c r="BD18" s="65" t="str">
        <f>IF(LauderNew!BD18-LauderOld!BD18=0,"",LauderNew!BD18-LauderOld!BD18)</f>
        <v/>
      </c>
    </row>
    <row r="19" spans="3:56" x14ac:dyDescent="0.25">
      <c r="C19" s="48"/>
      <c r="D19" s="49" t="s">
        <v>35</v>
      </c>
      <c r="E19" s="65" t="str">
        <f>IF(LauderNew!E19-LauderOld!E19=0,"",LauderNew!E19-LauderOld!E19)</f>
        <v/>
      </c>
      <c r="F19" s="65" t="str">
        <f>IF(LauderNew!F19-LauderOld!F19=0,"",LauderNew!F19-LauderOld!F19)</f>
        <v/>
      </c>
      <c r="G19" s="65" t="str">
        <f>IF(LauderNew!G19-LauderOld!G19=0,"",LauderNew!G19-LauderOld!G19)</f>
        <v/>
      </c>
      <c r="H19" s="65" t="str">
        <f>IF(LauderNew!H19-LauderOld!H19=0,"",LauderNew!H19-LauderOld!H19)</f>
        <v/>
      </c>
      <c r="I19" s="65" t="str">
        <f>IF(LauderNew!I19-LauderOld!I19=0,"",LauderNew!I19-LauderOld!I19)</f>
        <v/>
      </c>
      <c r="J19" s="65" t="str">
        <f>IF(LauderNew!J19-LauderOld!J19=0,"",LauderNew!J19-LauderOld!J19)</f>
        <v/>
      </c>
      <c r="K19" s="65" t="str">
        <f>IF(LauderNew!K19-LauderOld!K19=0,"",LauderNew!K19-LauderOld!K19)</f>
        <v/>
      </c>
      <c r="L19" s="65" t="str">
        <f>IF(LauderNew!L19-LauderOld!L19=0,"",LauderNew!L19-LauderOld!L19)</f>
        <v/>
      </c>
      <c r="M19" s="65" t="str">
        <f>IF(LauderNew!M19-LauderOld!M19=0,"",LauderNew!M19-LauderOld!M19)</f>
        <v/>
      </c>
      <c r="N19" s="65" t="str">
        <f>IF(LauderNew!N19-LauderOld!N19=0,"",LauderNew!N19-LauderOld!N19)</f>
        <v/>
      </c>
      <c r="O19" s="65" t="str">
        <f>IF(LauderNew!O19-LauderOld!O19=0,"",LauderNew!O19-LauderOld!O19)</f>
        <v/>
      </c>
      <c r="P19" s="65" t="str">
        <f>IF(LauderNew!P19-LauderOld!P19=0,"",LauderNew!P19-LauderOld!P19)</f>
        <v/>
      </c>
      <c r="Q19" s="65" t="str">
        <f>IF(LauderNew!Q19-LauderOld!Q19=0,"",LauderNew!Q19-LauderOld!Q19)</f>
        <v/>
      </c>
      <c r="R19" s="65" t="str">
        <f>IF(LauderNew!R19-LauderOld!R19=0,"",LauderNew!R19-LauderOld!R19)</f>
        <v/>
      </c>
      <c r="S19" s="65" t="str">
        <f>IF(LauderNew!S19-LauderOld!S19=0,"",LauderNew!S19-LauderOld!S19)</f>
        <v/>
      </c>
      <c r="T19" s="65" t="str">
        <f>IF(LauderNew!T19-LauderOld!T19=0,"",LauderNew!T19-LauderOld!T19)</f>
        <v/>
      </c>
      <c r="U19" s="65" t="str">
        <f>IF(LauderNew!U19-LauderOld!U19=0,"",LauderNew!U19-LauderOld!U19)</f>
        <v/>
      </c>
      <c r="V19" s="65" t="str">
        <f>IF(LauderNew!V19-LauderOld!V19=0,"",LauderNew!V19-LauderOld!V19)</f>
        <v/>
      </c>
      <c r="W19" s="65" t="str">
        <f>IF(LauderNew!W19-LauderOld!W19=0,"",LauderNew!W19-LauderOld!W19)</f>
        <v/>
      </c>
      <c r="X19" s="65" t="str">
        <f>IF(LauderNew!X19-LauderOld!X19=0,"",LauderNew!X19-LauderOld!X19)</f>
        <v/>
      </c>
      <c r="Y19" s="65" t="str">
        <f>IF(LauderNew!Y19-LauderOld!Y19=0,"",LauderNew!Y19-LauderOld!Y19)</f>
        <v/>
      </c>
      <c r="Z19" s="65" t="str">
        <f>IF(LauderNew!Z19-LauderOld!Z19=0,"",LauderNew!Z19-LauderOld!Z19)</f>
        <v/>
      </c>
      <c r="AA19" s="65" t="str">
        <f>IF(LauderNew!AA19-LauderOld!AA19=0,"",LauderNew!AA19-LauderOld!AA19)</f>
        <v/>
      </c>
      <c r="AB19" s="65" t="str">
        <f>IF(LauderNew!AB19-LauderOld!AB19=0,"",LauderNew!AB19-LauderOld!AB19)</f>
        <v/>
      </c>
      <c r="AC19" s="65" t="str">
        <f>IF(LauderNew!AC19-LauderOld!AC19=0,"",LauderNew!AC19-LauderOld!AC19)</f>
        <v/>
      </c>
      <c r="AD19" s="65" t="str">
        <f>IF(LauderNew!AD19-LauderOld!AD19=0,"",LauderNew!AD19-LauderOld!AD19)</f>
        <v/>
      </c>
      <c r="AE19" s="65" t="str">
        <f>IF(LauderNew!AE19-LauderOld!AE19=0,"",LauderNew!AE19-LauderOld!AE19)</f>
        <v/>
      </c>
      <c r="AF19" s="65" t="str">
        <f>IF(LauderNew!AF19-LauderOld!AF19=0,"",LauderNew!AF19-LauderOld!AF19)</f>
        <v/>
      </c>
      <c r="AG19" s="65" t="str">
        <f>IF(LauderNew!AG19-LauderOld!AG19=0,"",LauderNew!AG19-LauderOld!AG19)</f>
        <v/>
      </c>
      <c r="AH19" s="65" t="str">
        <f>IF(LauderNew!AH19-LauderOld!AH19=0,"",LauderNew!AH19-LauderOld!AH19)</f>
        <v/>
      </c>
      <c r="AI19" s="65" t="str">
        <f>IF(LauderNew!AI19-LauderOld!AI19=0,"",LauderNew!AI19-LauderOld!AI19)</f>
        <v/>
      </c>
      <c r="AJ19" s="65" t="str">
        <f>IF(LauderNew!AJ19-LauderOld!AJ19=0,"",LauderNew!AJ19-LauderOld!AJ19)</f>
        <v/>
      </c>
      <c r="AK19" s="65" t="str">
        <f>IF(LauderNew!AK19-LauderOld!AK19=0,"",LauderNew!AK19-LauderOld!AK19)</f>
        <v/>
      </c>
      <c r="AL19" s="65" t="str">
        <f>IF(LauderNew!AL19-LauderOld!AL19=0,"",LauderNew!AL19-LauderOld!AL19)</f>
        <v/>
      </c>
      <c r="AM19" s="65" t="str">
        <f>IF(LauderNew!AM19-LauderOld!AM19=0,"",LauderNew!AM19-LauderOld!AM19)</f>
        <v/>
      </c>
      <c r="AN19" s="65" t="str">
        <f>IF(LauderNew!AN19-LauderOld!AN19=0,"",LauderNew!AN19-LauderOld!AN19)</f>
        <v/>
      </c>
      <c r="AO19" s="65" t="str">
        <f>IF(LauderNew!AO19-LauderOld!AO19=0,"",LauderNew!AO19-LauderOld!AO19)</f>
        <v/>
      </c>
      <c r="AP19" s="65" t="str">
        <f>IF(LauderNew!AP19-LauderOld!AP19=0,"",LauderNew!AP19-LauderOld!AP19)</f>
        <v/>
      </c>
      <c r="AQ19" s="65" t="str">
        <f>IF(LauderNew!AQ19-LauderOld!AQ19=0,"",LauderNew!AQ19-LauderOld!AQ19)</f>
        <v/>
      </c>
      <c r="AR19" s="65" t="str">
        <f>IF(LauderNew!AR19-LauderOld!AR19=0,"",LauderNew!AR19-LauderOld!AR19)</f>
        <v/>
      </c>
      <c r="AS19" s="65" t="str">
        <f>IF(LauderNew!AS19-LauderOld!AS19=0,"",LauderNew!AS19-LauderOld!AS19)</f>
        <v/>
      </c>
      <c r="AT19" s="65" t="str">
        <f>IF(LauderNew!AT19-LauderOld!AT19=0,"",LauderNew!AT19-LauderOld!AT19)</f>
        <v/>
      </c>
      <c r="AU19" s="65" t="str">
        <f>IF(LauderNew!AU19-LauderOld!AU19=0,"",LauderNew!AU19-LauderOld!AU19)</f>
        <v/>
      </c>
      <c r="AV19" s="65" t="str">
        <f>IF(LauderNew!AV19-LauderOld!AV19=0,"",LauderNew!AV19-LauderOld!AV19)</f>
        <v/>
      </c>
      <c r="AW19" s="65" t="str">
        <f>IF(LauderNew!AW19-LauderOld!AW19=0,"",LauderNew!AW19-LauderOld!AW19)</f>
        <v/>
      </c>
      <c r="AX19" s="65" t="str">
        <f>IF(LauderNew!AX19-LauderOld!AX19=0,"",LauderNew!AX19-LauderOld!AX19)</f>
        <v/>
      </c>
      <c r="AY19" s="65" t="str">
        <f>IF(LauderNew!AY19-LauderOld!AY19=0,"",LauderNew!AY19-LauderOld!AY19)</f>
        <v/>
      </c>
      <c r="AZ19" s="65" t="str">
        <f>IF(LauderNew!AZ19-LauderOld!AZ19=0,"",LauderNew!AZ19-LauderOld!AZ19)</f>
        <v/>
      </c>
      <c r="BA19" s="65" t="str">
        <f>IF(LauderNew!BA19-LauderOld!BA19=0,"",LauderNew!BA19-LauderOld!BA19)</f>
        <v/>
      </c>
      <c r="BB19" s="65" t="str">
        <f>IF(LauderNew!BB19-LauderOld!BB19=0,"",LauderNew!BB19-LauderOld!BB19)</f>
        <v/>
      </c>
      <c r="BC19" s="65" t="str">
        <f>IF(LauderNew!BC19-LauderOld!BC19=0,"",LauderNew!BC19-LauderOld!BC19)</f>
        <v/>
      </c>
      <c r="BD19" s="65" t="str">
        <f>IF(LauderNew!BD19-LauderOld!BD19=0,"",LauderNew!BD19-LauderOld!BD19)</f>
        <v/>
      </c>
    </row>
    <row r="20" spans="3:56" x14ac:dyDescent="0.25">
      <c r="C20" s="48"/>
      <c r="D20" s="49" t="s">
        <v>36</v>
      </c>
      <c r="E20" s="65" t="str">
        <f>IF(LauderNew!E20-LauderOld!E20=0,"",LauderNew!E20-LauderOld!E20)</f>
        <v/>
      </c>
      <c r="F20" s="65" t="str">
        <f>IF(LauderNew!F20-LauderOld!F20=0,"",LauderNew!F20-LauderOld!F20)</f>
        <v/>
      </c>
      <c r="G20" s="65" t="str">
        <f>IF(LauderNew!G20-LauderOld!G20=0,"",LauderNew!G20-LauderOld!G20)</f>
        <v/>
      </c>
      <c r="H20" s="65" t="str">
        <f>IF(LauderNew!H20-LauderOld!H20=0,"",LauderNew!H20-LauderOld!H20)</f>
        <v/>
      </c>
      <c r="I20" s="65" t="str">
        <f>IF(LauderNew!I20-LauderOld!I20=0,"",LauderNew!I20-LauderOld!I20)</f>
        <v/>
      </c>
      <c r="J20" s="65" t="str">
        <f>IF(LauderNew!J20-LauderOld!J20=0,"",LauderNew!J20-LauderOld!J20)</f>
        <v/>
      </c>
      <c r="K20" s="65" t="str">
        <f>IF(LauderNew!K20-LauderOld!K20=0,"",LauderNew!K20-LauderOld!K20)</f>
        <v/>
      </c>
      <c r="L20" s="65" t="str">
        <f>IF(LauderNew!L20-LauderOld!L20=0,"",LauderNew!L20-LauderOld!L20)</f>
        <v/>
      </c>
      <c r="M20" s="65" t="str">
        <f>IF(LauderNew!M20-LauderOld!M20=0,"",LauderNew!M20-LauderOld!M20)</f>
        <v/>
      </c>
      <c r="N20" s="65" t="str">
        <f>IF(LauderNew!N20-LauderOld!N20=0,"",LauderNew!N20-LauderOld!N20)</f>
        <v/>
      </c>
      <c r="O20" s="65" t="str">
        <f>IF(LauderNew!O20-LauderOld!O20=0,"",LauderNew!O20-LauderOld!O20)</f>
        <v/>
      </c>
      <c r="P20" s="65" t="str">
        <f>IF(LauderNew!P20-LauderOld!P20=0,"",LauderNew!P20-LauderOld!P20)</f>
        <v/>
      </c>
      <c r="Q20" s="65" t="str">
        <f>IF(LauderNew!Q20-LauderOld!Q20=0,"",LauderNew!Q20-LauderOld!Q20)</f>
        <v/>
      </c>
      <c r="R20" s="65" t="str">
        <f>IF(LauderNew!R20-LauderOld!R20=0,"",LauderNew!R20-LauderOld!R20)</f>
        <v/>
      </c>
      <c r="S20" s="65" t="str">
        <f>IF(LauderNew!S20-LauderOld!S20=0,"",LauderNew!S20-LauderOld!S20)</f>
        <v/>
      </c>
      <c r="T20" s="65" t="str">
        <f>IF(LauderNew!T20-LauderOld!T20=0,"",LauderNew!T20-LauderOld!T20)</f>
        <v/>
      </c>
      <c r="U20" s="65" t="str">
        <f>IF(LauderNew!U20-LauderOld!U20=0,"",LauderNew!U20-LauderOld!U20)</f>
        <v/>
      </c>
      <c r="V20" s="65" t="str">
        <f>IF(LauderNew!V20-LauderOld!V20=0,"",LauderNew!V20-LauderOld!V20)</f>
        <v/>
      </c>
      <c r="W20" s="65" t="str">
        <f>IF(LauderNew!W20-LauderOld!W20=0,"",LauderNew!W20-LauderOld!W20)</f>
        <v/>
      </c>
      <c r="X20" s="65" t="str">
        <f>IF(LauderNew!X20-LauderOld!X20=0,"",LauderNew!X20-LauderOld!X20)</f>
        <v/>
      </c>
      <c r="Y20" s="65" t="str">
        <f>IF(LauderNew!Y20-LauderOld!Y20=0,"",LauderNew!Y20-LauderOld!Y20)</f>
        <v/>
      </c>
      <c r="Z20" s="65" t="str">
        <f>IF(LauderNew!Z20-LauderOld!Z20=0,"",LauderNew!Z20-LauderOld!Z20)</f>
        <v/>
      </c>
      <c r="AA20" s="65" t="str">
        <f>IF(LauderNew!AA20-LauderOld!AA20=0,"",LauderNew!AA20-LauderOld!AA20)</f>
        <v/>
      </c>
      <c r="AB20" s="65" t="str">
        <f>IF(LauderNew!AB20-LauderOld!AB20=0,"",LauderNew!AB20-LauderOld!AB20)</f>
        <v/>
      </c>
      <c r="AC20" s="65" t="str">
        <f>IF(LauderNew!AC20-LauderOld!AC20=0,"",LauderNew!AC20-LauderOld!AC20)</f>
        <v/>
      </c>
      <c r="AD20" s="65" t="str">
        <f>IF(LauderNew!AD20-LauderOld!AD20=0,"",LauderNew!AD20-LauderOld!AD20)</f>
        <v/>
      </c>
      <c r="AE20" s="65" t="str">
        <f>IF(LauderNew!AE20-LauderOld!AE20=0,"",LauderNew!AE20-LauderOld!AE20)</f>
        <v/>
      </c>
      <c r="AF20" s="65" t="str">
        <f>IF(LauderNew!AF20-LauderOld!AF20=0,"",LauderNew!AF20-LauderOld!AF20)</f>
        <v/>
      </c>
      <c r="AG20" s="65" t="str">
        <f>IF(LauderNew!AG20-LauderOld!AG20=0,"",LauderNew!AG20-LauderOld!AG20)</f>
        <v/>
      </c>
      <c r="AH20" s="65" t="str">
        <f>IF(LauderNew!AH20-LauderOld!AH20=0,"",LauderNew!AH20-LauderOld!AH20)</f>
        <v/>
      </c>
      <c r="AI20" s="65" t="str">
        <f>IF(LauderNew!AI20-LauderOld!AI20=0,"",LauderNew!AI20-LauderOld!AI20)</f>
        <v/>
      </c>
      <c r="AJ20" s="65" t="str">
        <f>IF(LauderNew!AJ20-LauderOld!AJ20=0,"",LauderNew!AJ20-LauderOld!AJ20)</f>
        <v/>
      </c>
      <c r="AK20" s="65" t="str">
        <f>IF(LauderNew!AK20-LauderOld!AK20=0,"",LauderNew!AK20-LauderOld!AK20)</f>
        <v/>
      </c>
      <c r="AL20" s="65" t="str">
        <f>IF(LauderNew!AL20-LauderOld!AL20=0,"",LauderNew!AL20-LauderOld!AL20)</f>
        <v/>
      </c>
      <c r="AM20" s="65" t="str">
        <f>IF(LauderNew!AM20-LauderOld!AM20=0,"",LauderNew!AM20-LauderOld!AM20)</f>
        <v/>
      </c>
      <c r="AN20" s="65" t="str">
        <f>IF(LauderNew!AN20-LauderOld!AN20=0,"",LauderNew!AN20-LauderOld!AN20)</f>
        <v/>
      </c>
      <c r="AO20" s="65" t="str">
        <f>IF(LauderNew!AO20-LauderOld!AO20=0,"",LauderNew!AO20-LauderOld!AO20)</f>
        <v/>
      </c>
      <c r="AP20" s="65" t="str">
        <f>IF(LauderNew!AP20-LauderOld!AP20=0,"",LauderNew!AP20-LauderOld!AP20)</f>
        <v/>
      </c>
      <c r="AQ20" s="65" t="str">
        <f>IF(LauderNew!AQ20-LauderOld!AQ20=0,"",LauderNew!AQ20-LauderOld!AQ20)</f>
        <v/>
      </c>
      <c r="AR20" s="65" t="str">
        <f>IF(LauderNew!AR20-LauderOld!AR20=0,"",LauderNew!AR20-LauderOld!AR20)</f>
        <v/>
      </c>
      <c r="AS20" s="65" t="str">
        <f>IF(LauderNew!AS20-LauderOld!AS20=0,"",LauderNew!AS20-LauderOld!AS20)</f>
        <v/>
      </c>
      <c r="AT20" s="65" t="str">
        <f>IF(LauderNew!AT20-LauderOld!AT20=0,"",LauderNew!AT20-LauderOld!AT20)</f>
        <v/>
      </c>
      <c r="AU20" s="65" t="str">
        <f>IF(LauderNew!AU20-LauderOld!AU20=0,"",LauderNew!AU20-LauderOld!AU20)</f>
        <v/>
      </c>
      <c r="AV20" s="65" t="str">
        <f>IF(LauderNew!AV20-LauderOld!AV20=0,"",LauderNew!AV20-LauderOld!AV20)</f>
        <v/>
      </c>
      <c r="AW20" s="65" t="str">
        <f>IF(LauderNew!AW20-LauderOld!AW20=0,"",LauderNew!AW20-LauderOld!AW20)</f>
        <v/>
      </c>
      <c r="AX20" s="65" t="str">
        <f>IF(LauderNew!AX20-LauderOld!AX20=0,"",LauderNew!AX20-LauderOld!AX20)</f>
        <v/>
      </c>
      <c r="AY20" s="65" t="str">
        <f>IF(LauderNew!AY20-LauderOld!AY20=0,"",LauderNew!AY20-LauderOld!AY20)</f>
        <v/>
      </c>
      <c r="AZ20" s="65" t="str">
        <f>IF(LauderNew!AZ20-LauderOld!AZ20=0,"",LauderNew!AZ20-LauderOld!AZ20)</f>
        <v/>
      </c>
      <c r="BA20" s="65" t="str">
        <f>IF(LauderNew!BA20-LauderOld!BA20=0,"",LauderNew!BA20-LauderOld!BA20)</f>
        <v/>
      </c>
      <c r="BB20" s="65" t="str">
        <f>IF(LauderNew!BB20-LauderOld!BB20=0,"",LauderNew!BB20-LauderOld!BB20)</f>
        <v/>
      </c>
      <c r="BC20" s="65" t="str">
        <f>IF(LauderNew!BC20-LauderOld!BC20=0,"",LauderNew!BC20-LauderOld!BC20)</f>
        <v/>
      </c>
      <c r="BD20" s="65" t="str">
        <f>IF(LauderNew!BD20-LauderOld!BD20=0,"",LauderNew!BD20-LauderOld!BD20)</f>
        <v/>
      </c>
    </row>
    <row r="21" spans="3:56" x14ac:dyDescent="0.25">
      <c r="C21" s="48"/>
      <c r="D21" s="49" t="s">
        <v>37</v>
      </c>
      <c r="E21" s="65" t="str">
        <f>IF(LauderNew!E21-LauderOld!E21=0,"",LauderNew!E21-LauderOld!E21)</f>
        <v/>
      </c>
      <c r="F21" s="65" t="str">
        <f>IF(LauderNew!F21-LauderOld!F21=0,"",LauderNew!F21-LauderOld!F21)</f>
        <v/>
      </c>
      <c r="G21" s="65" t="str">
        <f>IF(LauderNew!G21-LauderOld!G21=0,"",LauderNew!G21-LauderOld!G21)</f>
        <v/>
      </c>
      <c r="H21" s="65" t="str">
        <f>IF(LauderNew!H21-LauderOld!H21=0,"",LauderNew!H21-LauderOld!H21)</f>
        <v/>
      </c>
      <c r="I21" s="65" t="str">
        <f>IF(LauderNew!I21-LauderOld!I21=0,"",LauderNew!I21-LauderOld!I21)</f>
        <v/>
      </c>
      <c r="J21" s="65" t="str">
        <f>IF(LauderNew!J21-LauderOld!J21=0,"",LauderNew!J21-LauderOld!J21)</f>
        <v/>
      </c>
      <c r="K21" s="65" t="str">
        <f>IF(LauderNew!K21-LauderOld!K21=0,"",LauderNew!K21-LauderOld!K21)</f>
        <v/>
      </c>
      <c r="L21" s="65" t="str">
        <f>IF(LauderNew!L21-LauderOld!L21=0,"",LauderNew!L21-LauderOld!L21)</f>
        <v/>
      </c>
      <c r="M21" s="65" t="str">
        <f>IF(LauderNew!M21-LauderOld!M21=0,"",LauderNew!M21-LauderOld!M21)</f>
        <v/>
      </c>
      <c r="N21" s="65" t="str">
        <f>IF(LauderNew!N21-LauderOld!N21=0,"",LauderNew!N21-LauderOld!N21)</f>
        <v/>
      </c>
      <c r="O21" s="65" t="str">
        <f>IF(LauderNew!O21-LauderOld!O21=0,"",LauderNew!O21-LauderOld!O21)</f>
        <v/>
      </c>
      <c r="P21" s="65" t="str">
        <f>IF(LauderNew!P21-LauderOld!P21=0,"",LauderNew!P21-LauderOld!P21)</f>
        <v/>
      </c>
      <c r="Q21" s="65" t="str">
        <f>IF(LauderNew!Q21-LauderOld!Q21=0,"",LauderNew!Q21-LauderOld!Q21)</f>
        <v/>
      </c>
      <c r="R21" s="65" t="str">
        <f>IF(LauderNew!R21-LauderOld!R21=0,"",LauderNew!R21-LauderOld!R21)</f>
        <v/>
      </c>
      <c r="S21" s="65" t="str">
        <f>IF(LauderNew!S21-LauderOld!S21=0,"",LauderNew!S21-LauderOld!S21)</f>
        <v/>
      </c>
      <c r="T21" s="65" t="str">
        <f>IF(LauderNew!T21-LauderOld!T21=0,"",LauderNew!T21-LauderOld!T21)</f>
        <v/>
      </c>
      <c r="U21" s="65" t="str">
        <f>IF(LauderNew!U21-LauderOld!U21=0,"",LauderNew!U21-LauderOld!U21)</f>
        <v/>
      </c>
      <c r="V21" s="65" t="str">
        <f>IF(LauderNew!V21-LauderOld!V21=0,"",LauderNew!V21-LauderOld!V21)</f>
        <v/>
      </c>
      <c r="W21" s="65" t="str">
        <f>IF(LauderNew!W21-LauderOld!W21=0,"",LauderNew!W21-LauderOld!W21)</f>
        <v/>
      </c>
      <c r="X21" s="65" t="str">
        <f>IF(LauderNew!X21-LauderOld!X21=0,"",LauderNew!X21-LauderOld!X21)</f>
        <v/>
      </c>
      <c r="Y21" s="65" t="str">
        <f>IF(LauderNew!Y21-LauderOld!Y21=0,"",LauderNew!Y21-LauderOld!Y21)</f>
        <v/>
      </c>
      <c r="Z21" s="65" t="str">
        <f>IF(LauderNew!Z21-LauderOld!Z21=0,"",LauderNew!Z21-LauderOld!Z21)</f>
        <v/>
      </c>
      <c r="AA21" s="65" t="str">
        <f>IF(LauderNew!AA21-LauderOld!AA21=0,"",LauderNew!AA21-LauderOld!AA21)</f>
        <v/>
      </c>
      <c r="AB21" s="65" t="str">
        <f>IF(LauderNew!AB21-LauderOld!AB21=0,"",LauderNew!AB21-LauderOld!AB21)</f>
        <v/>
      </c>
      <c r="AC21" s="65" t="str">
        <f>IF(LauderNew!AC21-LauderOld!AC21=0,"",LauderNew!AC21-LauderOld!AC21)</f>
        <v/>
      </c>
      <c r="AD21" s="65" t="str">
        <f>IF(LauderNew!AD21-LauderOld!AD21=0,"",LauderNew!AD21-LauderOld!AD21)</f>
        <v/>
      </c>
      <c r="AE21" s="65" t="str">
        <f>IF(LauderNew!AE21-LauderOld!AE21=0,"",LauderNew!AE21-LauderOld!AE21)</f>
        <v/>
      </c>
      <c r="AF21" s="65" t="str">
        <f>IF(LauderNew!AF21-LauderOld!AF21=0,"",LauderNew!AF21-LauderOld!AF21)</f>
        <v/>
      </c>
      <c r="AG21" s="65" t="str">
        <f>IF(LauderNew!AG21-LauderOld!AG21=0,"",LauderNew!AG21-LauderOld!AG21)</f>
        <v/>
      </c>
      <c r="AH21" s="65" t="str">
        <f>IF(LauderNew!AH21-LauderOld!AH21=0,"",LauderNew!AH21-LauderOld!AH21)</f>
        <v/>
      </c>
      <c r="AI21" s="65" t="str">
        <f>IF(LauderNew!AI21-LauderOld!AI21=0,"",LauderNew!AI21-LauderOld!AI21)</f>
        <v/>
      </c>
      <c r="AJ21" s="65" t="str">
        <f>IF(LauderNew!AJ21-LauderOld!AJ21=0,"",LauderNew!AJ21-LauderOld!AJ21)</f>
        <v/>
      </c>
      <c r="AK21" s="65" t="str">
        <f>IF(LauderNew!AK21-LauderOld!AK21=0,"",LauderNew!AK21-LauderOld!AK21)</f>
        <v/>
      </c>
      <c r="AL21" s="65" t="str">
        <f>IF(LauderNew!AL21-LauderOld!AL21=0,"",LauderNew!AL21-LauderOld!AL21)</f>
        <v/>
      </c>
      <c r="AM21" s="65" t="str">
        <f>IF(LauderNew!AM21-LauderOld!AM21=0,"",LauderNew!AM21-LauderOld!AM21)</f>
        <v/>
      </c>
      <c r="AN21" s="65" t="str">
        <f>IF(LauderNew!AN21-LauderOld!AN21=0,"",LauderNew!AN21-LauderOld!AN21)</f>
        <v/>
      </c>
      <c r="AO21" s="65" t="str">
        <f>IF(LauderNew!AO21-LauderOld!AO21=0,"",LauderNew!AO21-LauderOld!AO21)</f>
        <v/>
      </c>
      <c r="AP21" s="65" t="str">
        <f>IF(LauderNew!AP21-LauderOld!AP21=0,"",LauderNew!AP21-LauderOld!AP21)</f>
        <v/>
      </c>
      <c r="AQ21" s="65" t="str">
        <f>IF(LauderNew!AQ21-LauderOld!AQ21=0,"",LauderNew!AQ21-LauderOld!AQ21)</f>
        <v/>
      </c>
      <c r="AR21" s="65" t="str">
        <f>IF(LauderNew!AR21-LauderOld!AR21=0,"",LauderNew!AR21-LauderOld!AR21)</f>
        <v/>
      </c>
      <c r="AS21" s="65" t="str">
        <f>IF(LauderNew!AS21-LauderOld!AS21=0,"",LauderNew!AS21-LauderOld!AS21)</f>
        <v/>
      </c>
      <c r="AT21" s="65" t="str">
        <f>IF(LauderNew!AT21-LauderOld!AT21=0,"",LauderNew!AT21-LauderOld!AT21)</f>
        <v/>
      </c>
      <c r="AU21" s="65" t="str">
        <f>IF(LauderNew!AU21-LauderOld!AU21=0,"",LauderNew!AU21-LauderOld!AU21)</f>
        <v/>
      </c>
      <c r="AV21" s="65" t="str">
        <f>IF(LauderNew!AV21-LauderOld!AV21=0,"",LauderNew!AV21-LauderOld!AV21)</f>
        <v/>
      </c>
      <c r="AW21" s="65" t="str">
        <f>IF(LauderNew!AW21-LauderOld!AW21=0,"",LauderNew!AW21-LauderOld!AW21)</f>
        <v/>
      </c>
      <c r="AX21" s="65" t="str">
        <f>IF(LauderNew!AX21-LauderOld!AX21=0,"",LauderNew!AX21-LauderOld!AX21)</f>
        <v/>
      </c>
      <c r="AY21" s="65" t="str">
        <f>IF(LauderNew!AY21-LauderOld!AY21=0,"",LauderNew!AY21-LauderOld!AY21)</f>
        <v/>
      </c>
      <c r="AZ21" s="65" t="str">
        <f>IF(LauderNew!AZ21-LauderOld!AZ21=0,"",LauderNew!AZ21-LauderOld!AZ21)</f>
        <v/>
      </c>
      <c r="BA21" s="65" t="str">
        <f>IF(LauderNew!BA21-LauderOld!BA21=0,"",LauderNew!BA21-LauderOld!BA21)</f>
        <v/>
      </c>
      <c r="BB21" s="65" t="str">
        <f>IF(LauderNew!BB21-LauderOld!BB21=0,"",LauderNew!BB21-LauderOld!BB21)</f>
        <v/>
      </c>
      <c r="BC21" s="65" t="str">
        <f>IF(LauderNew!BC21-LauderOld!BC21=0,"",LauderNew!BC21-LauderOld!BC21)</f>
        <v/>
      </c>
      <c r="BD21" s="65" t="str">
        <f>IF(LauderNew!BD21-LauderOld!BD21=0,"",LauderNew!BD21-LauderOld!BD21)</f>
        <v/>
      </c>
    </row>
    <row r="22" spans="3:56" x14ac:dyDescent="0.25">
      <c r="C22" s="48"/>
      <c r="D22" s="49" t="s">
        <v>38</v>
      </c>
      <c r="E22" s="65" t="str">
        <f>IF(LauderNew!E22-LauderOld!E22=0,"",LauderNew!E22-LauderOld!E22)</f>
        <v/>
      </c>
      <c r="F22" s="65" t="str">
        <f>IF(LauderNew!F22-LauderOld!F22=0,"",LauderNew!F22-LauderOld!F22)</f>
        <v/>
      </c>
      <c r="G22" s="65" t="str">
        <f>IF(LauderNew!G22-LauderOld!G22=0,"",LauderNew!G22-LauderOld!G22)</f>
        <v/>
      </c>
      <c r="H22" s="65" t="str">
        <f>IF(LauderNew!H22-LauderOld!H22=0,"",LauderNew!H22-LauderOld!H22)</f>
        <v/>
      </c>
      <c r="I22" s="65" t="str">
        <f>IF(LauderNew!I22-LauderOld!I22=0,"",LauderNew!I22-LauderOld!I22)</f>
        <v/>
      </c>
      <c r="J22" s="65" t="str">
        <f>IF(LauderNew!J22-LauderOld!J22=0,"",LauderNew!J22-LauderOld!J22)</f>
        <v/>
      </c>
      <c r="K22" s="65" t="str">
        <f>IF(LauderNew!K22-LauderOld!K22=0,"",LauderNew!K22-LauderOld!K22)</f>
        <v/>
      </c>
      <c r="L22" s="65" t="str">
        <f>IF(LauderNew!L22-LauderOld!L22=0,"",LauderNew!L22-LauderOld!L22)</f>
        <v/>
      </c>
      <c r="M22" s="65" t="str">
        <f>IF(LauderNew!M22-LauderOld!M22=0,"",LauderNew!M22-LauderOld!M22)</f>
        <v/>
      </c>
      <c r="N22" s="65" t="str">
        <f>IF(LauderNew!N22-LauderOld!N22=0,"",LauderNew!N22-LauderOld!N22)</f>
        <v/>
      </c>
      <c r="O22" s="65" t="str">
        <f>IF(LauderNew!O22-LauderOld!O22=0,"",LauderNew!O22-LauderOld!O22)</f>
        <v/>
      </c>
      <c r="P22" s="65" t="str">
        <f>IF(LauderNew!P22-LauderOld!P22=0,"",LauderNew!P22-LauderOld!P22)</f>
        <v/>
      </c>
      <c r="Q22" s="65" t="str">
        <f>IF(LauderNew!Q22-LauderOld!Q22=0,"",LauderNew!Q22-LauderOld!Q22)</f>
        <v/>
      </c>
      <c r="R22" s="65" t="str">
        <f>IF(LauderNew!R22-LauderOld!R22=0,"",LauderNew!R22-LauderOld!R22)</f>
        <v/>
      </c>
      <c r="S22" s="65" t="str">
        <f>IF(LauderNew!S22-LauderOld!S22=0,"",LauderNew!S22-LauderOld!S22)</f>
        <v/>
      </c>
      <c r="T22" s="65" t="str">
        <f>IF(LauderNew!T22-LauderOld!T22=0,"",LauderNew!T22-LauderOld!T22)</f>
        <v/>
      </c>
      <c r="U22" s="65" t="str">
        <f>IF(LauderNew!U22-LauderOld!U22=0,"",LauderNew!U22-LauderOld!U22)</f>
        <v/>
      </c>
      <c r="V22" s="65" t="str">
        <f>IF(LauderNew!V22-LauderOld!V22=0,"",LauderNew!V22-LauderOld!V22)</f>
        <v/>
      </c>
      <c r="W22" s="65" t="str">
        <f>IF(LauderNew!W22-LauderOld!W22=0,"",LauderNew!W22-LauderOld!W22)</f>
        <v/>
      </c>
      <c r="X22" s="65" t="str">
        <f>IF(LauderNew!X22-LauderOld!X22=0,"",LauderNew!X22-LauderOld!X22)</f>
        <v/>
      </c>
      <c r="Y22" s="65" t="str">
        <f>IF(LauderNew!Y22-LauderOld!Y22=0,"",LauderNew!Y22-LauderOld!Y22)</f>
        <v/>
      </c>
      <c r="Z22" s="65" t="str">
        <f>IF(LauderNew!Z22-LauderOld!Z22=0,"",LauderNew!Z22-LauderOld!Z22)</f>
        <v/>
      </c>
      <c r="AA22" s="65" t="str">
        <f>IF(LauderNew!AA22-LauderOld!AA22=0,"",LauderNew!AA22-LauderOld!AA22)</f>
        <v/>
      </c>
      <c r="AB22" s="65" t="str">
        <f>IF(LauderNew!AB22-LauderOld!AB22=0,"",LauderNew!AB22-LauderOld!AB22)</f>
        <v/>
      </c>
      <c r="AC22" s="65" t="str">
        <f>IF(LauderNew!AC22-LauderOld!AC22=0,"",LauderNew!AC22-LauderOld!AC22)</f>
        <v/>
      </c>
      <c r="AD22" s="65" t="str">
        <f>IF(LauderNew!AD22-LauderOld!AD22=0,"",LauderNew!AD22-LauderOld!AD22)</f>
        <v/>
      </c>
      <c r="AE22" s="65" t="str">
        <f>IF(LauderNew!AE22-LauderOld!AE22=0,"",LauderNew!AE22-LauderOld!AE22)</f>
        <v/>
      </c>
      <c r="AF22" s="65" t="str">
        <f>IF(LauderNew!AF22-LauderOld!AF22=0,"",LauderNew!AF22-LauderOld!AF22)</f>
        <v/>
      </c>
      <c r="AG22" s="65" t="str">
        <f>IF(LauderNew!AG22-LauderOld!AG22=0,"",LauderNew!AG22-LauderOld!AG22)</f>
        <v/>
      </c>
      <c r="AH22" s="65" t="str">
        <f>IF(LauderNew!AH22-LauderOld!AH22=0,"",LauderNew!AH22-LauderOld!AH22)</f>
        <v/>
      </c>
      <c r="AI22" s="65" t="str">
        <f>IF(LauderNew!AI22-LauderOld!AI22=0,"",LauderNew!AI22-LauderOld!AI22)</f>
        <v/>
      </c>
      <c r="AJ22" s="65" t="str">
        <f>IF(LauderNew!AJ22-LauderOld!AJ22=0,"",LauderNew!AJ22-LauderOld!AJ22)</f>
        <v/>
      </c>
      <c r="AK22" s="65" t="str">
        <f>IF(LauderNew!AK22-LauderOld!AK22=0,"",LauderNew!AK22-LauderOld!AK22)</f>
        <v/>
      </c>
      <c r="AL22" s="65" t="str">
        <f>IF(LauderNew!AL22-LauderOld!AL22=0,"",LauderNew!AL22-LauderOld!AL22)</f>
        <v/>
      </c>
      <c r="AM22" s="65" t="str">
        <f>IF(LauderNew!AM22-LauderOld!AM22=0,"",LauderNew!AM22-LauderOld!AM22)</f>
        <v/>
      </c>
      <c r="AN22" s="65" t="str">
        <f>IF(LauderNew!AN22-LauderOld!AN22=0,"",LauderNew!AN22-LauderOld!AN22)</f>
        <v/>
      </c>
      <c r="AO22" s="65" t="str">
        <f>IF(LauderNew!AO22-LauderOld!AO22=0,"",LauderNew!AO22-LauderOld!AO22)</f>
        <v/>
      </c>
      <c r="AP22" s="65" t="str">
        <f>IF(LauderNew!AP22-LauderOld!AP22=0,"",LauderNew!AP22-LauderOld!AP22)</f>
        <v/>
      </c>
      <c r="AQ22" s="65" t="str">
        <f>IF(LauderNew!AQ22-LauderOld!AQ22=0,"",LauderNew!AQ22-LauderOld!AQ22)</f>
        <v/>
      </c>
      <c r="AR22" s="65" t="str">
        <f>IF(LauderNew!AR22-LauderOld!AR22=0,"",LauderNew!AR22-LauderOld!AR22)</f>
        <v/>
      </c>
      <c r="AS22" s="65" t="str">
        <f>IF(LauderNew!AS22-LauderOld!AS22=0,"",LauderNew!AS22-LauderOld!AS22)</f>
        <v/>
      </c>
      <c r="AT22" s="65" t="str">
        <f>IF(LauderNew!AT22-LauderOld!AT22=0,"",LauderNew!AT22-LauderOld!AT22)</f>
        <v/>
      </c>
      <c r="AU22" s="65" t="str">
        <f>IF(LauderNew!AU22-LauderOld!AU22=0,"",LauderNew!AU22-LauderOld!AU22)</f>
        <v/>
      </c>
      <c r="AV22" s="65" t="str">
        <f>IF(LauderNew!AV22-LauderOld!AV22=0,"",LauderNew!AV22-LauderOld!AV22)</f>
        <v/>
      </c>
      <c r="AW22" s="65" t="str">
        <f>IF(LauderNew!AW22-LauderOld!AW22=0,"",LauderNew!AW22-LauderOld!AW22)</f>
        <v/>
      </c>
      <c r="AX22" s="65" t="str">
        <f>IF(LauderNew!AX22-LauderOld!AX22=0,"",LauderNew!AX22-LauderOld!AX22)</f>
        <v/>
      </c>
      <c r="AY22" s="65" t="str">
        <f>IF(LauderNew!AY22-LauderOld!AY22=0,"",LauderNew!AY22-LauderOld!AY22)</f>
        <v/>
      </c>
      <c r="AZ22" s="65" t="str">
        <f>IF(LauderNew!AZ22-LauderOld!AZ22=0,"",LauderNew!AZ22-LauderOld!AZ22)</f>
        <v/>
      </c>
      <c r="BA22" s="65" t="str">
        <f>IF(LauderNew!BA22-LauderOld!BA22=0,"",LauderNew!BA22-LauderOld!BA22)</f>
        <v/>
      </c>
      <c r="BB22" s="65" t="str">
        <f>IF(LauderNew!BB22-LauderOld!BB22=0,"",LauderNew!BB22-LauderOld!BB22)</f>
        <v/>
      </c>
      <c r="BC22" s="65" t="str">
        <f>IF(LauderNew!BC22-LauderOld!BC22=0,"",LauderNew!BC22-LauderOld!BC22)</f>
        <v/>
      </c>
      <c r="BD22" s="65" t="str">
        <f>IF(LauderNew!BD22-LauderOld!BD22=0,"",LauderNew!BD22-LauderOld!BD22)</f>
        <v/>
      </c>
    </row>
    <row r="23" spans="3:56" x14ac:dyDescent="0.25">
      <c r="C23" s="48"/>
      <c r="D23" s="49" t="s">
        <v>39</v>
      </c>
      <c r="E23" s="65" t="str">
        <f>IF(LauderNew!E23-LauderOld!E23=0,"",LauderNew!E23-LauderOld!E23)</f>
        <v/>
      </c>
      <c r="F23" s="65" t="str">
        <f>IF(LauderNew!F23-LauderOld!F23=0,"",LauderNew!F23-LauderOld!F23)</f>
        <v/>
      </c>
      <c r="G23" s="65" t="str">
        <f>IF(LauderNew!G23-LauderOld!G23=0,"",LauderNew!G23-LauderOld!G23)</f>
        <v/>
      </c>
      <c r="H23" s="65" t="str">
        <f>IF(LauderNew!H23-LauderOld!H23=0,"",LauderNew!H23-LauderOld!H23)</f>
        <v/>
      </c>
      <c r="I23" s="65" t="str">
        <f>IF(LauderNew!I23-LauderOld!I23=0,"",LauderNew!I23-LauderOld!I23)</f>
        <v/>
      </c>
      <c r="J23" s="65" t="str">
        <f>IF(LauderNew!J23-LauderOld!J23=0,"",LauderNew!J23-LauderOld!J23)</f>
        <v/>
      </c>
      <c r="K23" s="65" t="str">
        <f>IF(LauderNew!K23-LauderOld!K23=0,"",LauderNew!K23-LauderOld!K23)</f>
        <v/>
      </c>
      <c r="L23" s="65" t="str">
        <f>IF(LauderNew!L23-LauderOld!L23=0,"",LauderNew!L23-LauderOld!L23)</f>
        <v/>
      </c>
      <c r="M23" s="65" t="str">
        <f>IF(LauderNew!M23-LauderOld!M23=0,"",LauderNew!M23-LauderOld!M23)</f>
        <v/>
      </c>
      <c r="N23" s="65" t="str">
        <f>IF(LauderNew!N23-LauderOld!N23=0,"",LauderNew!N23-LauderOld!N23)</f>
        <v/>
      </c>
      <c r="O23" s="65" t="str">
        <f>IF(LauderNew!O23-LauderOld!O23=0,"",LauderNew!O23-LauderOld!O23)</f>
        <v/>
      </c>
      <c r="P23" s="65" t="str">
        <f>IF(LauderNew!P23-LauderOld!P23=0,"",LauderNew!P23-LauderOld!P23)</f>
        <v/>
      </c>
      <c r="Q23" s="65" t="str">
        <f>IF(LauderNew!Q23-LauderOld!Q23=0,"",LauderNew!Q23-LauderOld!Q23)</f>
        <v/>
      </c>
      <c r="R23" s="65" t="str">
        <f>IF(LauderNew!R23-LauderOld!R23=0,"",LauderNew!R23-LauderOld!R23)</f>
        <v/>
      </c>
      <c r="S23" s="65" t="str">
        <f>IF(LauderNew!S23-LauderOld!S23=0,"",LauderNew!S23-LauderOld!S23)</f>
        <v/>
      </c>
      <c r="T23" s="65" t="str">
        <f>IF(LauderNew!T23-LauderOld!T23=0,"",LauderNew!T23-LauderOld!T23)</f>
        <v/>
      </c>
      <c r="U23" s="65" t="str">
        <f>IF(LauderNew!U23-LauderOld!U23=0,"",LauderNew!U23-LauderOld!U23)</f>
        <v/>
      </c>
      <c r="V23" s="65" t="str">
        <f>IF(LauderNew!V23-LauderOld!V23=0,"",LauderNew!V23-LauderOld!V23)</f>
        <v/>
      </c>
      <c r="W23" s="65" t="str">
        <f>IF(LauderNew!W23-LauderOld!W23=0,"",LauderNew!W23-LauderOld!W23)</f>
        <v/>
      </c>
      <c r="X23" s="65" t="str">
        <f>IF(LauderNew!X23-LauderOld!X23=0,"",LauderNew!X23-LauderOld!X23)</f>
        <v/>
      </c>
      <c r="Y23" s="65" t="str">
        <f>IF(LauderNew!Y23-LauderOld!Y23=0,"",LauderNew!Y23-LauderOld!Y23)</f>
        <v/>
      </c>
      <c r="Z23" s="65" t="str">
        <f>IF(LauderNew!Z23-LauderOld!Z23=0,"",LauderNew!Z23-LauderOld!Z23)</f>
        <v/>
      </c>
      <c r="AA23" s="65" t="str">
        <f>IF(LauderNew!AA23-LauderOld!AA23=0,"",LauderNew!AA23-LauderOld!AA23)</f>
        <v/>
      </c>
      <c r="AB23" s="65" t="str">
        <f>IF(LauderNew!AB23-LauderOld!AB23=0,"",LauderNew!AB23-LauderOld!AB23)</f>
        <v/>
      </c>
      <c r="AC23" s="65" t="str">
        <f>IF(LauderNew!AC23-LauderOld!AC23=0,"",LauderNew!AC23-LauderOld!AC23)</f>
        <v/>
      </c>
      <c r="AD23" s="65" t="str">
        <f>IF(LauderNew!AD23-LauderOld!AD23=0,"",LauderNew!AD23-LauderOld!AD23)</f>
        <v/>
      </c>
      <c r="AE23" s="65" t="str">
        <f>IF(LauderNew!AE23-LauderOld!AE23=0,"",LauderNew!AE23-LauderOld!AE23)</f>
        <v/>
      </c>
      <c r="AF23" s="65" t="str">
        <f>IF(LauderNew!AF23-LauderOld!AF23=0,"",LauderNew!AF23-LauderOld!AF23)</f>
        <v/>
      </c>
      <c r="AG23" s="65" t="str">
        <f>IF(LauderNew!AG23-LauderOld!AG23=0,"",LauderNew!AG23-LauderOld!AG23)</f>
        <v/>
      </c>
      <c r="AH23" s="65" t="str">
        <f>IF(LauderNew!AH23-LauderOld!AH23=0,"",LauderNew!AH23-LauderOld!AH23)</f>
        <v/>
      </c>
      <c r="AI23" s="65" t="str">
        <f>IF(LauderNew!AI23-LauderOld!AI23=0,"",LauderNew!AI23-LauderOld!AI23)</f>
        <v/>
      </c>
      <c r="AJ23" s="65" t="str">
        <f>IF(LauderNew!AJ23-LauderOld!AJ23=0,"",LauderNew!AJ23-LauderOld!AJ23)</f>
        <v/>
      </c>
      <c r="AK23" s="65" t="str">
        <f>IF(LauderNew!AK23-LauderOld!AK23=0,"",LauderNew!AK23-LauderOld!AK23)</f>
        <v/>
      </c>
      <c r="AL23" s="65" t="str">
        <f>IF(LauderNew!AL23-LauderOld!AL23=0,"",LauderNew!AL23-LauderOld!AL23)</f>
        <v/>
      </c>
      <c r="AM23" s="65" t="str">
        <f>IF(LauderNew!AM23-LauderOld!AM23=0,"",LauderNew!AM23-LauderOld!AM23)</f>
        <v/>
      </c>
      <c r="AN23" s="65" t="str">
        <f>IF(LauderNew!AN23-LauderOld!AN23=0,"",LauderNew!AN23-LauderOld!AN23)</f>
        <v/>
      </c>
      <c r="AO23" s="65" t="str">
        <f>IF(LauderNew!AO23-LauderOld!AO23=0,"",LauderNew!AO23-LauderOld!AO23)</f>
        <v/>
      </c>
      <c r="AP23" s="65" t="str">
        <f>IF(LauderNew!AP23-LauderOld!AP23=0,"",LauderNew!AP23-LauderOld!AP23)</f>
        <v/>
      </c>
      <c r="AQ23" s="65" t="str">
        <f>IF(LauderNew!AQ23-LauderOld!AQ23=0,"",LauderNew!AQ23-LauderOld!AQ23)</f>
        <v/>
      </c>
      <c r="AR23" s="65" t="str">
        <f>IF(LauderNew!AR23-LauderOld!AR23=0,"",LauderNew!AR23-LauderOld!AR23)</f>
        <v/>
      </c>
      <c r="AS23" s="65" t="str">
        <f>IF(LauderNew!AS23-LauderOld!AS23=0,"",LauderNew!AS23-LauderOld!AS23)</f>
        <v/>
      </c>
      <c r="AT23" s="65" t="str">
        <f>IF(LauderNew!AT23-LauderOld!AT23=0,"",LauderNew!AT23-LauderOld!AT23)</f>
        <v/>
      </c>
      <c r="AU23" s="65" t="str">
        <f>IF(LauderNew!AU23-LauderOld!AU23=0,"",LauderNew!AU23-LauderOld!AU23)</f>
        <v/>
      </c>
      <c r="AV23" s="65" t="str">
        <f>IF(LauderNew!AV23-LauderOld!AV23=0,"",LauderNew!AV23-LauderOld!AV23)</f>
        <v/>
      </c>
      <c r="AW23" s="65" t="str">
        <f>IF(LauderNew!AW23-LauderOld!AW23=0,"",LauderNew!AW23-LauderOld!AW23)</f>
        <v/>
      </c>
      <c r="AX23" s="65" t="str">
        <f>IF(LauderNew!AX23-LauderOld!AX23=0,"",LauderNew!AX23-LauderOld!AX23)</f>
        <v/>
      </c>
      <c r="AY23" s="65" t="str">
        <f>IF(LauderNew!AY23-LauderOld!AY23=0,"",LauderNew!AY23-LauderOld!AY23)</f>
        <v/>
      </c>
      <c r="AZ23" s="65" t="str">
        <f>IF(LauderNew!AZ23-LauderOld!AZ23=0,"",LauderNew!AZ23-LauderOld!AZ23)</f>
        <v/>
      </c>
      <c r="BA23" s="65" t="str">
        <f>IF(LauderNew!BA23-LauderOld!BA23=0,"",LauderNew!BA23-LauderOld!BA23)</f>
        <v/>
      </c>
      <c r="BB23" s="65" t="str">
        <f>IF(LauderNew!BB23-LauderOld!BB23=0,"",LauderNew!BB23-LauderOld!BB23)</f>
        <v/>
      </c>
      <c r="BC23" s="65" t="str">
        <f>IF(LauderNew!BC23-LauderOld!BC23=0,"",LauderNew!BC23-LauderOld!BC23)</f>
        <v/>
      </c>
      <c r="BD23" s="65" t="str">
        <f>IF(LauderNew!BD23-LauderOld!BD23=0,"",LauderNew!BD23-LauderOld!BD23)</f>
        <v/>
      </c>
    </row>
    <row r="24" spans="3:56" x14ac:dyDescent="0.25">
      <c r="C24" s="48"/>
      <c r="D24" s="49" t="s">
        <v>40</v>
      </c>
      <c r="E24" s="65" t="str">
        <f>IF(LauderNew!E24-LauderOld!E24=0,"",LauderNew!E24-LauderOld!E24)</f>
        <v/>
      </c>
      <c r="F24" s="65" t="str">
        <f>IF(LauderNew!F24-LauderOld!F24=0,"",LauderNew!F24-LauderOld!F24)</f>
        <v/>
      </c>
      <c r="G24" s="65" t="str">
        <f>IF(LauderNew!G24-LauderOld!G24=0,"",LauderNew!G24-LauderOld!G24)</f>
        <v/>
      </c>
      <c r="H24" s="65" t="str">
        <f>IF(LauderNew!H24-LauderOld!H24=0,"",LauderNew!H24-LauderOld!H24)</f>
        <v/>
      </c>
      <c r="I24" s="65" t="str">
        <f>IF(LauderNew!I24-LauderOld!I24=0,"",LauderNew!I24-LauderOld!I24)</f>
        <v/>
      </c>
      <c r="J24" s="65" t="str">
        <f>IF(LauderNew!J24-LauderOld!J24=0,"",LauderNew!J24-LauderOld!J24)</f>
        <v/>
      </c>
      <c r="K24" s="65" t="str">
        <f>IF(LauderNew!K24-LauderOld!K24=0,"",LauderNew!K24-LauderOld!K24)</f>
        <v/>
      </c>
      <c r="L24" s="65" t="str">
        <f>IF(LauderNew!L24-LauderOld!L24=0,"",LauderNew!L24-LauderOld!L24)</f>
        <v/>
      </c>
      <c r="M24" s="65" t="str">
        <f>IF(LauderNew!M24-LauderOld!M24=0,"",LauderNew!M24-LauderOld!M24)</f>
        <v/>
      </c>
      <c r="N24" s="65" t="str">
        <f>IF(LauderNew!N24-LauderOld!N24=0,"",LauderNew!N24-LauderOld!N24)</f>
        <v/>
      </c>
      <c r="O24" s="65" t="str">
        <f>IF(LauderNew!O24-LauderOld!O24=0,"",LauderNew!O24-LauderOld!O24)</f>
        <v/>
      </c>
      <c r="P24" s="65" t="str">
        <f>IF(LauderNew!P24-LauderOld!P24=0,"",LauderNew!P24-LauderOld!P24)</f>
        <v/>
      </c>
      <c r="Q24" s="65" t="str">
        <f>IF(LauderNew!Q24-LauderOld!Q24=0,"",LauderNew!Q24-LauderOld!Q24)</f>
        <v/>
      </c>
      <c r="R24" s="65" t="str">
        <f>IF(LauderNew!R24-LauderOld!R24=0,"",LauderNew!R24-LauderOld!R24)</f>
        <v/>
      </c>
      <c r="S24" s="65" t="str">
        <f>IF(LauderNew!S24-LauderOld!S24=0,"",LauderNew!S24-LauderOld!S24)</f>
        <v/>
      </c>
      <c r="T24" s="65" t="str">
        <f>IF(LauderNew!T24-LauderOld!T24=0,"",LauderNew!T24-LauderOld!T24)</f>
        <v/>
      </c>
      <c r="U24" s="65" t="str">
        <f>IF(LauderNew!U24-LauderOld!U24=0,"",LauderNew!U24-LauderOld!U24)</f>
        <v/>
      </c>
      <c r="V24" s="65" t="str">
        <f>IF(LauderNew!V24-LauderOld!V24=0,"",LauderNew!V24-LauderOld!V24)</f>
        <v/>
      </c>
      <c r="W24" s="65" t="str">
        <f>IF(LauderNew!W24-LauderOld!W24=0,"",LauderNew!W24-LauderOld!W24)</f>
        <v/>
      </c>
      <c r="X24" s="65" t="str">
        <f>IF(LauderNew!X24-LauderOld!X24=0,"",LauderNew!X24-LauderOld!X24)</f>
        <v/>
      </c>
      <c r="Y24" s="65" t="str">
        <f>IF(LauderNew!Y24-LauderOld!Y24=0,"",LauderNew!Y24-LauderOld!Y24)</f>
        <v/>
      </c>
      <c r="Z24" s="65" t="str">
        <f>IF(LauderNew!Z24-LauderOld!Z24=0,"",LauderNew!Z24-LauderOld!Z24)</f>
        <v/>
      </c>
      <c r="AA24" s="65" t="str">
        <f>IF(LauderNew!AA24-LauderOld!AA24=0,"",LauderNew!AA24-LauderOld!AA24)</f>
        <v/>
      </c>
      <c r="AB24" s="65" t="str">
        <f>IF(LauderNew!AB24-LauderOld!AB24=0,"",LauderNew!AB24-LauderOld!AB24)</f>
        <v/>
      </c>
      <c r="AC24" s="65" t="str">
        <f>IF(LauderNew!AC24-LauderOld!AC24=0,"",LauderNew!AC24-LauderOld!AC24)</f>
        <v/>
      </c>
      <c r="AD24" s="65" t="str">
        <f>IF(LauderNew!AD24-LauderOld!AD24=0,"",LauderNew!AD24-LauderOld!AD24)</f>
        <v/>
      </c>
      <c r="AE24" s="65" t="str">
        <f>IF(LauderNew!AE24-LauderOld!AE24=0,"",LauderNew!AE24-LauderOld!AE24)</f>
        <v/>
      </c>
      <c r="AF24" s="65" t="str">
        <f>IF(LauderNew!AF24-LauderOld!AF24=0,"",LauderNew!AF24-LauderOld!AF24)</f>
        <v/>
      </c>
      <c r="AG24" s="65" t="str">
        <f>IF(LauderNew!AG24-LauderOld!AG24=0,"",LauderNew!AG24-LauderOld!AG24)</f>
        <v/>
      </c>
      <c r="AH24" s="65" t="str">
        <f>IF(LauderNew!AH24-LauderOld!AH24=0,"",LauderNew!AH24-LauderOld!AH24)</f>
        <v/>
      </c>
      <c r="AI24" s="65" t="str">
        <f>IF(LauderNew!AI24-LauderOld!AI24=0,"",LauderNew!AI24-LauderOld!AI24)</f>
        <v/>
      </c>
      <c r="AJ24" s="65" t="str">
        <f>IF(LauderNew!AJ24-LauderOld!AJ24=0,"",LauderNew!AJ24-LauderOld!AJ24)</f>
        <v/>
      </c>
      <c r="AK24" s="65" t="str">
        <f>IF(LauderNew!AK24-LauderOld!AK24=0,"",LauderNew!AK24-LauderOld!AK24)</f>
        <v/>
      </c>
      <c r="AL24" s="65" t="str">
        <f>IF(LauderNew!AL24-LauderOld!AL24=0,"",LauderNew!AL24-LauderOld!AL24)</f>
        <v/>
      </c>
      <c r="AM24" s="65" t="str">
        <f>IF(LauderNew!AM24-LauderOld!AM24=0,"",LauderNew!AM24-LauderOld!AM24)</f>
        <v/>
      </c>
      <c r="AN24" s="65" t="str">
        <f>IF(LauderNew!AN24-LauderOld!AN24=0,"",LauderNew!AN24-LauderOld!AN24)</f>
        <v/>
      </c>
      <c r="AO24" s="65" t="str">
        <f>IF(LauderNew!AO24-LauderOld!AO24=0,"",LauderNew!AO24-LauderOld!AO24)</f>
        <v/>
      </c>
      <c r="AP24" s="65" t="str">
        <f>IF(LauderNew!AP24-LauderOld!AP24=0,"",LauderNew!AP24-LauderOld!AP24)</f>
        <v/>
      </c>
      <c r="AQ24" s="65" t="str">
        <f>IF(LauderNew!AQ24-LauderOld!AQ24=0,"",LauderNew!AQ24-LauderOld!AQ24)</f>
        <v/>
      </c>
      <c r="AR24" s="65" t="str">
        <f>IF(LauderNew!AR24-LauderOld!AR24=0,"",LauderNew!AR24-LauderOld!AR24)</f>
        <v/>
      </c>
      <c r="AS24" s="65" t="str">
        <f>IF(LauderNew!AS24-LauderOld!AS24=0,"",LauderNew!AS24-LauderOld!AS24)</f>
        <v/>
      </c>
      <c r="AT24" s="65" t="str">
        <f>IF(LauderNew!AT24-LauderOld!AT24=0,"",LauderNew!AT24-LauderOld!AT24)</f>
        <v/>
      </c>
      <c r="AU24" s="65" t="str">
        <f>IF(LauderNew!AU24-LauderOld!AU24=0,"",LauderNew!AU24-LauderOld!AU24)</f>
        <v/>
      </c>
      <c r="AV24" s="65" t="str">
        <f>IF(LauderNew!AV24-LauderOld!AV24=0,"",LauderNew!AV24-LauderOld!AV24)</f>
        <v/>
      </c>
      <c r="AW24" s="65" t="str">
        <f>IF(LauderNew!AW24-LauderOld!AW24=0,"",LauderNew!AW24-LauderOld!AW24)</f>
        <v/>
      </c>
      <c r="AX24" s="65" t="str">
        <f>IF(LauderNew!AX24-LauderOld!AX24=0,"",LauderNew!AX24-LauderOld!AX24)</f>
        <v/>
      </c>
      <c r="AY24" s="65" t="str">
        <f>IF(LauderNew!AY24-LauderOld!AY24=0,"",LauderNew!AY24-LauderOld!AY24)</f>
        <v/>
      </c>
      <c r="AZ24" s="65" t="str">
        <f>IF(LauderNew!AZ24-LauderOld!AZ24=0,"",LauderNew!AZ24-LauderOld!AZ24)</f>
        <v/>
      </c>
      <c r="BA24" s="65" t="str">
        <f>IF(LauderNew!BA24-LauderOld!BA24=0,"",LauderNew!BA24-LauderOld!BA24)</f>
        <v/>
      </c>
      <c r="BB24" s="65" t="str">
        <f>IF(LauderNew!BB24-LauderOld!BB24=0,"",LauderNew!BB24-LauderOld!BB24)</f>
        <v/>
      </c>
      <c r="BC24" s="65" t="str">
        <f>IF(LauderNew!BC24-LauderOld!BC24=0,"",LauderNew!BC24-LauderOld!BC24)</f>
        <v/>
      </c>
      <c r="BD24" s="65" t="str">
        <f>IF(LauderNew!BD24-LauderOld!BD24=0,"",LauderNew!BD24-LauderOld!BD24)</f>
        <v/>
      </c>
    </row>
    <row r="25" spans="3:56" x14ac:dyDescent="0.25">
      <c r="C25" s="48"/>
      <c r="D25" s="50" t="s">
        <v>41</v>
      </c>
      <c r="E25" s="54" t="str">
        <f>IFERROR((SUM(E18:E24)*E27)/((40*(1-E26)+40)),"")</f>
        <v/>
      </c>
      <c r="F25" s="54" t="str">
        <f t="shared" ref="F25:BD25" si="2">IFERROR((SUM(F18:F24)*F27)/((40*(1-F26)+40)),"")</f>
        <v/>
      </c>
      <c r="G25" s="54" t="str">
        <f t="shared" si="2"/>
        <v/>
      </c>
      <c r="H25" s="54" t="str">
        <f t="shared" si="2"/>
        <v/>
      </c>
      <c r="I25" s="54" t="str">
        <f t="shared" si="2"/>
        <v/>
      </c>
      <c r="J25" s="54" t="str">
        <f t="shared" si="2"/>
        <v/>
      </c>
      <c r="K25" s="54" t="str">
        <f t="shared" si="2"/>
        <v/>
      </c>
      <c r="L25" s="54" t="str">
        <f t="shared" si="2"/>
        <v/>
      </c>
      <c r="M25" s="54" t="str">
        <f t="shared" si="2"/>
        <v/>
      </c>
      <c r="N25" s="54" t="str">
        <f t="shared" si="2"/>
        <v/>
      </c>
      <c r="O25" s="54" t="str">
        <f t="shared" si="2"/>
        <v/>
      </c>
      <c r="P25" s="54" t="str">
        <f t="shared" si="2"/>
        <v/>
      </c>
      <c r="Q25" s="54" t="str">
        <f t="shared" si="2"/>
        <v/>
      </c>
      <c r="R25" s="54" t="str">
        <f t="shared" si="2"/>
        <v/>
      </c>
      <c r="S25" s="54" t="str">
        <f t="shared" si="2"/>
        <v/>
      </c>
      <c r="T25" s="54" t="str">
        <f t="shared" si="2"/>
        <v/>
      </c>
      <c r="U25" s="54" t="str">
        <f t="shared" si="2"/>
        <v/>
      </c>
      <c r="V25" s="54" t="str">
        <f t="shared" si="2"/>
        <v/>
      </c>
      <c r="W25" s="54" t="str">
        <f t="shared" si="2"/>
        <v/>
      </c>
      <c r="X25" s="54" t="str">
        <f t="shared" si="2"/>
        <v/>
      </c>
      <c r="Y25" s="54" t="str">
        <f t="shared" si="2"/>
        <v/>
      </c>
      <c r="Z25" s="54" t="str">
        <f t="shared" si="2"/>
        <v/>
      </c>
      <c r="AA25" s="54" t="str">
        <f t="shared" si="2"/>
        <v/>
      </c>
      <c r="AB25" s="54" t="str">
        <f t="shared" si="2"/>
        <v/>
      </c>
      <c r="AC25" s="54" t="str">
        <f t="shared" si="2"/>
        <v/>
      </c>
      <c r="AD25" s="54" t="str">
        <f t="shared" si="2"/>
        <v/>
      </c>
      <c r="AE25" s="54" t="str">
        <f t="shared" si="2"/>
        <v/>
      </c>
      <c r="AF25" s="54" t="str">
        <f t="shared" si="2"/>
        <v/>
      </c>
      <c r="AG25" s="54" t="str">
        <f t="shared" si="2"/>
        <v/>
      </c>
      <c r="AH25" s="54" t="str">
        <f t="shared" si="2"/>
        <v/>
      </c>
      <c r="AI25" s="54" t="str">
        <f t="shared" si="2"/>
        <v/>
      </c>
      <c r="AJ25" s="54" t="str">
        <f t="shared" si="2"/>
        <v/>
      </c>
      <c r="AK25" s="54" t="str">
        <f t="shared" si="2"/>
        <v/>
      </c>
      <c r="AL25" s="54" t="str">
        <f t="shared" si="2"/>
        <v/>
      </c>
      <c r="AM25" s="54" t="str">
        <f t="shared" si="2"/>
        <v/>
      </c>
      <c r="AN25" s="54" t="str">
        <f t="shared" si="2"/>
        <v/>
      </c>
      <c r="AO25" s="54" t="str">
        <f t="shared" si="2"/>
        <v/>
      </c>
      <c r="AP25" s="54" t="str">
        <f t="shared" si="2"/>
        <v/>
      </c>
      <c r="AQ25" s="54" t="str">
        <f t="shared" si="2"/>
        <v/>
      </c>
      <c r="AR25" s="54" t="str">
        <f t="shared" si="2"/>
        <v/>
      </c>
      <c r="AS25" s="54" t="str">
        <f t="shared" si="2"/>
        <v/>
      </c>
      <c r="AT25" s="54" t="str">
        <f t="shared" si="2"/>
        <v/>
      </c>
      <c r="AU25" s="54" t="str">
        <f t="shared" si="2"/>
        <v/>
      </c>
      <c r="AV25" s="54" t="str">
        <f t="shared" si="2"/>
        <v/>
      </c>
      <c r="AW25" s="54" t="str">
        <f t="shared" si="2"/>
        <v/>
      </c>
      <c r="AX25" s="54" t="str">
        <f t="shared" si="2"/>
        <v/>
      </c>
      <c r="AY25" s="54" t="str">
        <f t="shared" si="2"/>
        <v/>
      </c>
      <c r="AZ25" s="54" t="str">
        <f t="shared" si="2"/>
        <v/>
      </c>
      <c r="BA25" s="54" t="str">
        <f t="shared" si="2"/>
        <v/>
      </c>
      <c r="BB25" s="54" t="str">
        <f t="shared" si="2"/>
        <v/>
      </c>
      <c r="BC25" s="54" t="str">
        <f t="shared" si="2"/>
        <v/>
      </c>
      <c r="BD25" s="54" t="str">
        <f t="shared" si="2"/>
        <v/>
      </c>
    </row>
    <row r="26" spans="3:56" x14ac:dyDescent="0.25">
      <c r="C26" s="48"/>
      <c r="D26" s="50" t="s">
        <v>42</v>
      </c>
      <c r="E26" s="67" t="str">
        <f>IF(LauderNew!E26-LauderOld!E26=0,"",LauderNew!E26-LauderOld!E26)</f>
        <v/>
      </c>
      <c r="F26" s="67" t="str">
        <f>IF(LauderNew!F26-LauderOld!F26=0,"",LauderNew!F26-LauderOld!F26)</f>
        <v/>
      </c>
      <c r="G26" s="67" t="str">
        <f>IF(LauderNew!G26-LauderOld!G26=0,"",LauderNew!G26-LauderOld!G26)</f>
        <v/>
      </c>
      <c r="H26" s="67" t="str">
        <f>IF(LauderNew!H26-LauderOld!H26=0,"",LauderNew!H26-LauderOld!H26)</f>
        <v/>
      </c>
      <c r="I26" s="67" t="str">
        <f>IF(LauderNew!I26-LauderOld!I26=0,"",LauderNew!I26-LauderOld!I26)</f>
        <v/>
      </c>
      <c r="J26" s="67" t="str">
        <f>IF(LauderNew!J26-LauderOld!J26=0,"",LauderNew!J26-LauderOld!J26)</f>
        <v/>
      </c>
      <c r="K26" s="67" t="str">
        <f>IF(LauderNew!K26-LauderOld!K26=0,"",LauderNew!K26-LauderOld!K26)</f>
        <v/>
      </c>
      <c r="L26" s="67" t="str">
        <f>IF(LauderNew!L26-LauderOld!L26=0,"",LauderNew!L26-LauderOld!L26)</f>
        <v/>
      </c>
      <c r="M26" s="67" t="str">
        <f>IF(LauderNew!M26-LauderOld!M26=0,"",LauderNew!M26-LauderOld!M26)</f>
        <v/>
      </c>
      <c r="N26" s="67" t="str">
        <f>IF(LauderNew!N26-LauderOld!N26=0,"",LauderNew!N26-LauderOld!N26)</f>
        <v/>
      </c>
      <c r="O26" s="67" t="str">
        <f>IF(LauderNew!O26-LauderOld!O26=0,"",LauderNew!O26-LauderOld!O26)</f>
        <v/>
      </c>
      <c r="P26" s="67" t="str">
        <f>IF(LauderNew!P26-LauderOld!P26=0,"",LauderNew!P26-LauderOld!P26)</f>
        <v/>
      </c>
      <c r="Q26" s="67" t="str">
        <f>IF(LauderNew!Q26-LauderOld!Q26=0,"",LauderNew!Q26-LauderOld!Q26)</f>
        <v/>
      </c>
      <c r="R26" s="67" t="str">
        <f>IF(LauderNew!R26-LauderOld!R26=0,"",LauderNew!R26-LauderOld!R26)</f>
        <v/>
      </c>
      <c r="S26" s="67" t="str">
        <f>IF(LauderNew!S26-LauderOld!S26=0,"",LauderNew!S26-LauderOld!S26)</f>
        <v/>
      </c>
      <c r="T26" s="67" t="str">
        <f>IF(LauderNew!T26-LauderOld!T26=0,"",LauderNew!T26-LauderOld!T26)</f>
        <v/>
      </c>
      <c r="U26" s="67" t="str">
        <f>IF(LauderNew!U26-LauderOld!U26=0,"",LauderNew!U26-LauderOld!U26)</f>
        <v/>
      </c>
      <c r="V26" s="67" t="str">
        <f>IF(LauderNew!V26-LauderOld!V26=0,"",LauderNew!V26-LauderOld!V26)</f>
        <v/>
      </c>
      <c r="W26" s="67" t="str">
        <f>IF(LauderNew!W26-LauderOld!W26=0,"",LauderNew!W26-LauderOld!W26)</f>
        <v/>
      </c>
      <c r="X26" s="67" t="str">
        <f>IF(LauderNew!X26-LauderOld!X26=0,"",LauderNew!X26-LauderOld!X26)</f>
        <v/>
      </c>
      <c r="Y26" s="67" t="str">
        <f>IF(LauderNew!Y26-LauderOld!Y26=0,"",LauderNew!Y26-LauderOld!Y26)</f>
        <v/>
      </c>
      <c r="Z26" s="67" t="str">
        <f>IF(LauderNew!Z26-LauderOld!Z26=0,"",LauderNew!Z26-LauderOld!Z26)</f>
        <v/>
      </c>
      <c r="AA26" s="67" t="str">
        <f>IF(LauderNew!AA26-LauderOld!AA26=0,"",LauderNew!AA26-LauderOld!AA26)</f>
        <v/>
      </c>
      <c r="AB26" s="67" t="str">
        <f>IF(LauderNew!AB26-LauderOld!AB26=0,"",LauderNew!AB26-LauderOld!AB26)</f>
        <v/>
      </c>
      <c r="AC26" s="67" t="str">
        <f>IF(LauderNew!AC26-LauderOld!AC26=0,"",LauderNew!AC26-LauderOld!AC26)</f>
        <v/>
      </c>
      <c r="AD26" s="67" t="str">
        <f>IF(LauderNew!AD26-LauderOld!AD26=0,"",LauderNew!AD26-LauderOld!AD26)</f>
        <v/>
      </c>
      <c r="AE26" s="67" t="str">
        <f>IF(LauderNew!AE26-LauderOld!AE26=0,"",LauderNew!AE26-LauderOld!AE26)</f>
        <v/>
      </c>
      <c r="AF26" s="67" t="str">
        <f>IF(LauderNew!AF26-LauderOld!AF26=0,"",LauderNew!AF26-LauderOld!AF26)</f>
        <v/>
      </c>
      <c r="AG26" s="67" t="str">
        <f>IF(LauderNew!AG26-LauderOld!AG26=0,"",LauderNew!AG26-LauderOld!AG26)</f>
        <v/>
      </c>
      <c r="AH26" s="67" t="str">
        <f>IF(LauderNew!AH26-LauderOld!AH26=0,"",LauderNew!AH26-LauderOld!AH26)</f>
        <v/>
      </c>
      <c r="AI26" s="67" t="str">
        <f>IF(LauderNew!AI26-LauderOld!AI26=0,"",LauderNew!AI26-LauderOld!AI26)</f>
        <v/>
      </c>
      <c r="AJ26" s="67" t="str">
        <f>IF(LauderNew!AJ26-LauderOld!AJ26=0,"",LauderNew!AJ26-LauderOld!AJ26)</f>
        <v/>
      </c>
      <c r="AK26" s="67" t="str">
        <f>IF(LauderNew!AK26-LauderOld!AK26=0,"",LauderNew!AK26-LauderOld!AK26)</f>
        <v/>
      </c>
      <c r="AL26" s="67" t="str">
        <f>IF(LauderNew!AL26-LauderOld!AL26=0,"",LauderNew!AL26-LauderOld!AL26)</f>
        <v/>
      </c>
      <c r="AM26" s="67" t="str">
        <f>IF(LauderNew!AM26-LauderOld!AM26=0,"",LauderNew!AM26-LauderOld!AM26)</f>
        <v/>
      </c>
      <c r="AN26" s="67" t="str">
        <f>IF(LauderNew!AN26-LauderOld!AN26=0,"",LauderNew!AN26-LauderOld!AN26)</f>
        <v/>
      </c>
      <c r="AO26" s="67" t="str">
        <f>IF(LauderNew!AO26-LauderOld!AO26=0,"",LauderNew!AO26-LauderOld!AO26)</f>
        <v/>
      </c>
      <c r="AP26" s="67" t="str">
        <f>IF(LauderNew!AP26-LauderOld!AP26=0,"",LauderNew!AP26-LauderOld!AP26)</f>
        <v/>
      </c>
      <c r="AQ26" s="67" t="str">
        <f>IF(LauderNew!AQ26-LauderOld!AQ26=0,"",LauderNew!AQ26-LauderOld!AQ26)</f>
        <v/>
      </c>
      <c r="AR26" s="67" t="str">
        <f>IF(LauderNew!AR26-LauderOld!AR26=0,"",LauderNew!AR26-LauderOld!AR26)</f>
        <v/>
      </c>
      <c r="AS26" s="67" t="str">
        <f>IF(LauderNew!AS26-LauderOld!AS26=0,"",LauderNew!AS26-LauderOld!AS26)</f>
        <v/>
      </c>
      <c r="AT26" s="67" t="str">
        <f>IF(LauderNew!AT26-LauderOld!AT26=0,"",LauderNew!AT26-LauderOld!AT26)</f>
        <v/>
      </c>
      <c r="AU26" s="67" t="str">
        <f>IF(LauderNew!AU26-LauderOld!AU26=0,"",LauderNew!AU26-LauderOld!AU26)</f>
        <v/>
      </c>
      <c r="AV26" s="67" t="str">
        <f>IF(LauderNew!AV26-LauderOld!AV26=0,"",LauderNew!AV26-LauderOld!AV26)</f>
        <v/>
      </c>
      <c r="AW26" s="67" t="str">
        <f>IF(LauderNew!AW26-LauderOld!AW26=0,"",LauderNew!AW26-LauderOld!AW26)</f>
        <v/>
      </c>
      <c r="AX26" s="67" t="str">
        <f>IF(LauderNew!AX26-LauderOld!AX26=0,"",LauderNew!AX26-LauderOld!AX26)</f>
        <v/>
      </c>
      <c r="AY26" s="67" t="str">
        <f>IF(LauderNew!AY26-LauderOld!AY26=0,"",LauderNew!AY26-LauderOld!AY26)</f>
        <v/>
      </c>
      <c r="AZ26" s="67" t="str">
        <f>IF(LauderNew!AZ26-LauderOld!AZ26=0,"",LauderNew!AZ26-LauderOld!AZ26)</f>
        <v/>
      </c>
      <c r="BA26" s="67" t="str">
        <f>IF(LauderNew!BA26-LauderOld!BA26=0,"",LauderNew!BA26-LauderOld!BA26)</f>
        <v/>
      </c>
      <c r="BB26" s="67" t="str">
        <f>IF(LauderNew!BB26-LauderOld!BB26=0,"",LauderNew!BB26-LauderOld!BB26)</f>
        <v/>
      </c>
      <c r="BC26" s="67" t="str">
        <f>IF(LauderNew!BC26-LauderOld!BC26=0,"",LauderNew!BC26-LauderOld!BC26)</f>
        <v/>
      </c>
      <c r="BD26" s="67" t="str">
        <f>IF(LauderNew!BD26-LauderOld!BD26=0,"",LauderNew!BD26-LauderOld!BD26)</f>
        <v/>
      </c>
    </row>
    <row r="27" spans="3:56" x14ac:dyDescent="0.25">
      <c r="C27" s="48"/>
      <c r="D27" s="50" t="s">
        <v>43</v>
      </c>
      <c r="E27" s="65" t="str">
        <f>IF(LauderNew!E27-LauderOld!E27=0,"",LauderNew!E27-LauderOld!E27)</f>
        <v/>
      </c>
      <c r="F27" s="65" t="str">
        <f>IF(LauderNew!F27-LauderOld!F27=0,"",LauderNew!F27-LauderOld!F27)</f>
        <v/>
      </c>
      <c r="G27" s="65" t="str">
        <f>IF(LauderNew!G27-LauderOld!G27=0,"",LauderNew!G27-LauderOld!G27)</f>
        <v/>
      </c>
      <c r="H27" s="65" t="str">
        <f>IF(LauderNew!H27-LauderOld!H27=0,"",LauderNew!H27-LauderOld!H27)</f>
        <v/>
      </c>
      <c r="I27" s="65" t="str">
        <f>IF(LauderNew!I27-LauderOld!I27=0,"",LauderNew!I27-LauderOld!I27)</f>
        <v/>
      </c>
      <c r="J27" s="65" t="str">
        <f>IF(LauderNew!J27-LauderOld!J27=0,"",LauderNew!J27-LauderOld!J27)</f>
        <v/>
      </c>
      <c r="K27" s="65" t="str">
        <f>IF(LauderNew!K27-LauderOld!K27=0,"",LauderNew!K27-LauderOld!K27)</f>
        <v/>
      </c>
      <c r="L27" s="65" t="str">
        <f>IF(LauderNew!L27-LauderOld!L27=0,"",LauderNew!L27-LauderOld!L27)</f>
        <v/>
      </c>
      <c r="M27" s="65" t="str">
        <f>IF(LauderNew!M27-LauderOld!M27=0,"",LauderNew!M27-LauderOld!M27)</f>
        <v/>
      </c>
      <c r="N27" s="65" t="str">
        <f>IF(LauderNew!N27-LauderOld!N27=0,"",LauderNew!N27-LauderOld!N27)</f>
        <v/>
      </c>
      <c r="O27" s="65" t="str">
        <f>IF(LauderNew!O27-LauderOld!O27=0,"",LauderNew!O27-LauderOld!O27)</f>
        <v/>
      </c>
      <c r="P27" s="65" t="str">
        <f>IF(LauderNew!P27-LauderOld!P27=0,"",LauderNew!P27-LauderOld!P27)</f>
        <v/>
      </c>
      <c r="Q27" s="65" t="str">
        <f>IF(LauderNew!Q27-LauderOld!Q27=0,"",LauderNew!Q27-LauderOld!Q27)</f>
        <v/>
      </c>
      <c r="R27" s="65" t="str">
        <f>IF(LauderNew!R27-LauderOld!R27=0,"",LauderNew!R27-LauderOld!R27)</f>
        <v/>
      </c>
      <c r="S27" s="65" t="str">
        <f>IF(LauderNew!S27-LauderOld!S27=0,"",LauderNew!S27-LauderOld!S27)</f>
        <v/>
      </c>
      <c r="T27" s="65" t="str">
        <f>IF(LauderNew!T27-LauderOld!T27=0,"",LauderNew!T27-LauderOld!T27)</f>
        <v/>
      </c>
      <c r="U27" s="65" t="str">
        <f>IF(LauderNew!U27-LauderOld!U27=0,"",LauderNew!U27-LauderOld!U27)</f>
        <v/>
      </c>
      <c r="V27" s="65" t="str">
        <f>IF(LauderNew!V27-LauderOld!V27=0,"",LauderNew!V27-LauderOld!V27)</f>
        <v/>
      </c>
      <c r="W27" s="65" t="str">
        <f>IF(LauderNew!W27-LauderOld!W27=0,"",LauderNew!W27-LauderOld!W27)</f>
        <v/>
      </c>
      <c r="X27" s="65" t="str">
        <f>IF(LauderNew!X27-LauderOld!X27=0,"",LauderNew!X27-LauderOld!X27)</f>
        <v/>
      </c>
      <c r="Y27" s="65" t="str">
        <f>IF(LauderNew!Y27-LauderOld!Y27=0,"",LauderNew!Y27-LauderOld!Y27)</f>
        <v/>
      </c>
      <c r="Z27" s="65" t="str">
        <f>IF(LauderNew!Z27-LauderOld!Z27=0,"",LauderNew!Z27-LauderOld!Z27)</f>
        <v/>
      </c>
      <c r="AA27" s="65" t="str">
        <f>IF(LauderNew!AA27-LauderOld!AA27=0,"",LauderNew!AA27-LauderOld!AA27)</f>
        <v/>
      </c>
      <c r="AB27" s="65" t="str">
        <f>IF(LauderNew!AB27-LauderOld!AB27=0,"",LauderNew!AB27-LauderOld!AB27)</f>
        <v/>
      </c>
      <c r="AC27" s="65" t="str">
        <f>IF(LauderNew!AC27-LauderOld!AC27=0,"",LauderNew!AC27-LauderOld!AC27)</f>
        <v/>
      </c>
      <c r="AD27" s="65" t="str">
        <f>IF(LauderNew!AD27-LauderOld!AD27=0,"",LauderNew!AD27-LauderOld!AD27)</f>
        <v/>
      </c>
      <c r="AE27" s="65" t="str">
        <f>IF(LauderNew!AE27-LauderOld!AE27=0,"",LauderNew!AE27-LauderOld!AE27)</f>
        <v/>
      </c>
      <c r="AF27" s="65" t="str">
        <f>IF(LauderNew!AF27-LauderOld!AF27=0,"",LauderNew!AF27-LauderOld!AF27)</f>
        <v/>
      </c>
      <c r="AG27" s="65" t="str">
        <f>IF(LauderNew!AG27-LauderOld!AG27=0,"",LauderNew!AG27-LauderOld!AG27)</f>
        <v/>
      </c>
      <c r="AH27" s="65" t="str">
        <f>IF(LauderNew!AH27-LauderOld!AH27=0,"",LauderNew!AH27-LauderOld!AH27)</f>
        <v/>
      </c>
      <c r="AI27" s="65" t="str">
        <f>IF(LauderNew!AI27-LauderOld!AI27=0,"",LauderNew!AI27-LauderOld!AI27)</f>
        <v/>
      </c>
      <c r="AJ27" s="65" t="str">
        <f>IF(LauderNew!AJ27-LauderOld!AJ27=0,"",LauderNew!AJ27-LauderOld!AJ27)</f>
        <v/>
      </c>
      <c r="AK27" s="65" t="str">
        <f>IF(LauderNew!AK27-LauderOld!AK27=0,"",LauderNew!AK27-LauderOld!AK27)</f>
        <v/>
      </c>
      <c r="AL27" s="65" t="str">
        <f>IF(LauderNew!AL27-LauderOld!AL27=0,"",LauderNew!AL27-LauderOld!AL27)</f>
        <v/>
      </c>
      <c r="AM27" s="65" t="str">
        <f>IF(LauderNew!AM27-LauderOld!AM27=0,"",LauderNew!AM27-LauderOld!AM27)</f>
        <v/>
      </c>
      <c r="AN27" s="65" t="str">
        <f>IF(LauderNew!AN27-LauderOld!AN27=0,"",LauderNew!AN27-LauderOld!AN27)</f>
        <v/>
      </c>
      <c r="AO27" s="65" t="str">
        <f>IF(LauderNew!AO27-LauderOld!AO27=0,"",LauderNew!AO27-LauderOld!AO27)</f>
        <v/>
      </c>
      <c r="AP27" s="65" t="str">
        <f>IF(LauderNew!AP27-LauderOld!AP27=0,"",LauderNew!AP27-LauderOld!AP27)</f>
        <v/>
      </c>
      <c r="AQ27" s="65" t="str">
        <f>IF(LauderNew!AQ27-LauderOld!AQ27=0,"",LauderNew!AQ27-LauderOld!AQ27)</f>
        <v/>
      </c>
      <c r="AR27" s="65" t="str">
        <f>IF(LauderNew!AR27-LauderOld!AR27=0,"",LauderNew!AR27-LauderOld!AR27)</f>
        <v/>
      </c>
      <c r="AS27" s="65" t="str">
        <f>IF(LauderNew!AS27-LauderOld!AS27=0,"",LauderNew!AS27-LauderOld!AS27)</f>
        <v/>
      </c>
      <c r="AT27" s="65" t="str">
        <f>IF(LauderNew!AT27-LauderOld!AT27=0,"",LauderNew!AT27-LauderOld!AT27)</f>
        <v/>
      </c>
      <c r="AU27" s="65" t="str">
        <f>IF(LauderNew!AU27-LauderOld!AU27=0,"",LauderNew!AU27-LauderOld!AU27)</f>
        <v/>
      </c>
      <c r="AV27" s="65" t="str">
        <f>IF(LauderNew!AV27-LauderOld!AV27=0,"",LauderNew!AV27-LauderOld!AV27)</f>
        <v/>
      </c>
      <c r="AW27" s="65" t="str">
        <f>IF(LauderNew!AW27-LauderOld!AW27=0,"",LauderNew!AW27-LauderOld!AW27)</f>
        <v/>
      </c>
      <c r="AX27" s="65" t="str">
        <f>IF(LauderNew!AX27-LauderOld!AX27=0,"",LauderNew!AX27-LauderOld!AX27)</f>
        <v/>
      </c>
      <c r="AY27" s="65" t="str">
        <f>IF(LauderNew!AY27-LauderOld!AY27=0,"",LauderNew!AY27-LauderOld!AY27)</f>
        <v/>
      </c>
      <c r="AZ27" s="65" t="str">
        <f>IF(LauderNew!AZ27-LauderOld!AZ27=0,"",LauderNew!AZ27-LauderOld!AZ27)</f>
        <v/>
      </c>
      <c r="BA27" s="65" t="str">
        <f>IF(LauderNew!BA27-LauderOld!BA27=0,"",LauderNew!BA27-LauderOld!BA27)</f>
        <v/>
      </c>
      <c r="BB27" s="65" t="str">
        <f>IF(LauderNew!BB27-LauderOld!BB27=0,"",LauderNew!BB27-LauderOld!BB27)</f>
        <v/>
      </c>
      <c r="BC27" s="65" t="str">
        <f>IF(LauderNew!BC27-LauderOld!BC27=0,"",LauderNew!BC27-LauderOld!BC27)</f>
        <v/>
      </c>
      <c r="BD27" s="65" t="str">
        <f>IF(LauderNew!BD27-LauderOld!BD27=0,"",LauderNew!BD27-LauderOld!BD27)</f>
        <v/>
      </c>
    </row>
    <row r="28" spans="3:56" x14ac:dyDescent="0.25">
      <c r="C28" s="48"/>
      <c r="D28" s="51" t="s">
        <v>44</v>
      </c>
      <c r="E28" s="55">
        <f t="shared" ref="E28:L28" si="3">SUM(E18:E25)</f>
        <v>0</v>
      </c>
      <c r="F28" s="55">
        <f t="shared" si="3"/>
        <v>0</v>
      </c>
      <c r="G28" s="55">
        <f t="shared" si="3"/>
        <v>0</v>
      </c>
      <c r="H28" s="55">
        <f t="shared" si="3"/>
        <v>0</v>
      </c>
      <c r="I28" s="55">
        <f t="shared" si="3"/>
        <v>0</v>
      </c>
      <c r="J28" s="55">
        <f t="shared" si="3"/>
        <v>0</v>
      </c>
      <c r="K28" s="55">
        <f t="shared" si="3"/>
        <v>0</v>
      </c>
      <c r="L28" s="55">
        <f t="shared" si="3"/>
        <v>0</v>
      </c>
      <c r="M28" s="55">
        <f t="shared" ref="M28:BD28" si="4">SUM(M18:M25)</f>
        <v>0</v>
      </c>
      <c r="N28" s="55">
        <f t="shared" si="4"/>
        <v>0</v>
      </c>
      <c r="O28" s="55">
        <f t="shared" si="4"/>
        <v>0</v>
      </c>
      <c r="P28" s="55">
        <f t="shared" si="4"/>
        <v>0</v>
      </c>
      <c r="Q28" s="55">
        <f t="shared" si="4"/>
        <v>0</v>
      </c>
      <c r="R28" s="55">
        <f t="shared" si="4"/>
        <v>0</v>
      </c>
      <c r="S28" s="55">
        <f t="shared" si="4"/>
        <v>0</v>
      </c>
      <c r="T28" s="55">
        <f t="shared" si="4"/>
        <v>0</v>
      </c>
      <c r="U28" s="55">
        <f t="shared" si="4"/>
        <v>0</v>
      </c>
      <c r="V28" s="55">
        <f t="shared" si="4"/>
        <v>0</v>
      </c>
      <c r="W28" s="55">
        <f t="shared" si="4"/>
        <v>0</v>
      </c>
      <c r="X28" s="55">
        <f t="shared" si="4"/>
        <v>0</v>
      </c>
      <c r="Y28" s="55">
        <f t="shared" si="4"/>
        <v>0</v>
      </c>
      <c r="Z28" s="55">
        <f t="shared" si="4"/>
        <v>0</v>
      </c>
      <c r="AA28" s="55">
        <f t="shared" si="4"/>
        <v>0</v>
      </c>
      <c r="AB28" s="55">
        <f t="shared" si="4"/>
        <v>0</v>
      </c>
      <c r="AC28" s="55">
        <f t="shared" si="4"/>
        <v>0</v>
      </c>
      <c r="AD28" s="55">
        <f t="shared" si="4"/>
        <v>0</v>
      </c>
      <c r="AE28" s="55">
        <f t="shared" si="4"/>
        <v>0</v>
      </c>
      <c r="AF28" s="55">
        <f t="shared" si="4"/>
        <v>0</v>
      </c>
      <c r="AG28" s="55">
        <f t="shared" si="4"/>
        <v>0</v>
      </c>
      <c r="AH28" s="55">
        <f t="shared" si="4"/>
        <v>0</v>
      </c>
      <c r="AI28" s="55">
        <f t="shared" si="4"/>
        <v>0</v>
      </c>
      <c r="AJ28" s="55">
        <f t="shared" si="4"/>
        <v>0</v>
      </c>
      <c r="AK28" s="55">
        <f t="shared" si="4"/>
        <v>0</v>
      </c>
      <c r="AL28" s="55">
        <f t="shared" si="4"/>
        <v>0</v>
      </c>
      <c r="AM28" s="55">
        <f t="shared" si="4"/>
        <v>0</v>
      </c>
      <c r="AN28" s="55">
        <f t="shared" si="4"/>
        <v>0</v>
      </c>
      <c r="AO28" s="55">
        <f t="shared" si="4"/>
        <v>0</v>
      </c>
      <c r="AP28" s="55">
        <f t="shared" si="4"/>
        <v>0</v>
      </c>
      <c r="AQ28" s="55">
        <f t="shared" si="4"/>
        <v>0</v>
      </c>
      <c r="AR28" s="55">
        <f t="shared" si="4"/>
        <v>0</v>
      </c>
      <c r="AS28" s="55">
        <f t="shared" si="4"/>
        <v>0</v>
      </c>
      <c r="AT28" s="55">
        <f t="shared" si="4"/>
        <v>0</v>
      </c>
      <c r="AU28" s="55">
        <f t="shared" si="4"/>
        <v>0</v>
      </c>
      <c r="AV28" s="55">
        <f t="shared" si="4"/>
        <v>0</v>
      </c>
      <c r="AW28" s="55">
        <f t="shared" si="4"/>
        <v>0</v>
      </c>
      <c r="AX28" s="55">
        <f t="shared" si="4"/>
        <v>0</v>
      </c>
      <c r="AY28" s="55">
        <f t="shared" si="4"/>
        <v>0</v>
      </c>
      <c r="AZ28" s="55">
        <f t="shared" si="4"/>
        <v>0</v>
      </c>
      <c r="BA28" s="55">
        <f t="shared" si="4"/>
        <v>0</v>
      </c>
      <c r="BB28" s="55">
        <f t="shared" si="4"/>
        <v>0</v>
      </c>
      <c r="BC28" s="55">
        <f t="shared" si="4"/>
        <v>0</v>
      </c>
      <c r="BD28" s="55">
        <f t="shared" si="4"/>
        <v>0</v>
      </c>
    </row>
    <row r="29" spans="3:56" x14ac:dyDescent="0.25">
      <c r="C29" s="48"/>
      <c r="D29" s="52" t="s">
        <v>45</v>
      </c>
      <c r="E29" s="56" t="str">
        <f>IFERROR(E28-E7,"")</f>
        <v/>
      </c>
      <c r="F29" s="56" t="str">
        <f t="shared" ref="F29:BD29" si="5">IFERROR(F28-F7,"")</f>
        <v/>
      </c>
      <c r="G29" s="56" t="str">
        <f t="shared" si="5"/>
        <v/>
      </c>
      <c r="H29" s="56" t="str">
        <f t="shared" si="5"/>
        <v/>
      </c>
      <c r="I29" s="56" t="str">
        <f t="shared" si="5"/>
        <v/>
      </c>
      <c r="J29" s="56" t="str">
        <f t="shared" si="5"/>
        <v/>
      </c>
      <c r="K29" s="56" t="str">
        <f t="shared" si="5"/>
        <v/>
      </c>
      <c r="L29" s="56" t="str">
        <f t="shared" si="5"/>
        <v/>
      </c>
      <c r="M29" s="56" t="str">
        <f t="shared" si="5"/>
        <v/>
      </c>
      <c r="N29" s="56" t="str">
        <f t="shared" si="5"/>
        <v/>
      </c>
      <c r="O29" s="56" t="str">
        <f t="shared" si="5"/>
        <v/>
      </c>
      <c r="P29" s="56" t="str">
        <f t="shared" si="5"/>
        <v/>
      </c>
      <c r="Q29" s="56" t="str">
        <f t="shared" si="5"/>
        <v/>
      </c>
      <c r="R29" s="56" t="str">
        <f t="shared" si="5"/>
        <v/>
      </c>
      <c r="S29" s="56" t="str">
        <f t="shared" si="5"/>
        <v/>
      </c>
      <c r="T29" s="56" t="str">
        <f t="shared" si="5"/>
        <v/>
      </c>
      <c r="U29" s="56" t="str">
        <f t="shared" si="5"/>
        <v/>
      </c>
      <c r="V29" s="56" t="str">
        <f t="shared" si="5"/>
        <v/>
      </c>
      <c r="W29" s="56" t="str">
        <f t="shared" si="5"/>
        <v/>
      </c>
      <c r="X29" s="56" t="str">
        <f t="shared" si="5"/>
        <v/>
      </c>
      <c r="Y29" s="56" t="str">
        <f t="shared" si="5"/>
        <v/>
      </c>
      <c r="Z29" s="56" t="str">
        <f t="shared" si="5"/>
        <v/>
      </c>
      <c r="AA29" s="56" t="str">
        <f t="shared" si="5"/>
        <v/>
      </c>
      <c r="AB29" s="56" t="str">
        <f t="shared" si="5"/>
        <v/>
      </c>
      <c r="AC29" s="56" t="str">
        <f t="shared" si="5"/>
        <v/>
      </c>
      <c r="AD29" s="56" t="str">
        <f t="shared" si="5"/>
        <v/>
      </c>
      <c r="AE29" s="56" t="str">
        <f t="shared" si="5"/>
        <v/>
      </c>
      <c r="AF29" s="56" t="str">
        <f t="shared" si="5"/>
        <v/>
      </c>
      <c r="AG29" s="56" t="str">
        <f t="shared" si="5"/>
        <v/>
      </c>
      <c r="AH29" s="56" t="str">
        <f t="shared" si="5"/>
        <v/>
      </c>
      <c r="AI29" s="56" t="str">
        <f t="shared" si="5"/>
        <v/>
      </c>
      <c r="AJ29" s="56" t="str">
        <f t="shared" si="5"/>
        <v/>
      </c>
      <c r="AK29" s="56" t="str">
        <f t="shared" si="5"/>
        <v/>
      </c>
      <c r="AL29" s="56" t="str">
        <f t="shared" si="5"/>
        <v/>
      </c>
      <c r="AM29" s="56" t="str">
        <f t="shared" si="5"/>
        <v/>
      </c>
      <c r="AN29" s="56" t="str">
        <f t="shared" si="5"/>
        <v/>
      </c>
      <c r="AO29" s="56" t="str">
        <f t="shared" si="5"/>
        <v/>
      </c>
      <c r="AP29" s="56" t="str">
        <f t="shared" si="5"/>
        <v/>
      </c>
      <c r="AQ29" s="56" t="str">
        <f t="shared" si="5"/>
        <v/>
      </c>
      <c r="AR29" s="56" t="str">
        <f t="shared" si="5"/>
        <v/>
      </c>
      <c r="AS29" s="56" t="str">
        <f t="shared" si="5"/>
        <v/>
      </c>
      <c r="AT29" s="56" t="str">
        <f t="shared" si="5"/>
        <v/>
      </c>
      <c r="AU29" s="56" t="str">
        <f t="shared" si="5"/>
        <v/>
      </c>
      <c r="AV29" s="56" t="str">
        <f t="shared" si="5"/>
        <v/>
      </c>
      <c r="AW29" s="56" t="str">
        <f t="shared" si="5"/>
        <v/>
      </c>
      <c r="AX29" s="56" t="str">
        <f t="shared" si="5"/>
        <v/>
      </c>
      <c r="AY29" s="56" t="str">
        <f t="shared" si="5"/>
        <v/>
      </c>
      <c r="AZ29" s="56" t="str">
        <f t="shared" si="5"/>
        <v/>
      </c>
      <c r="BA29" s="56" t="str">
        <f t="shared" si="5"/>
        <v/>
      </c>
      <c r="BB29" s="56" t="str">
        <f t="shared" si="5"/>
        <v/>
      </c>
      <c r="BC29" s="56" t="str">
        <f t="shared" si="5"/>
        <v/>
      </c>
      <c r="BD29" s="56" t="str">
        <f t="shared" si="5"/>
        <v/>
      </c>
    </row>
    <row r="30" spans="3:56" x14ac:dyDescent="0.25">
      <c r="C30" s="48"/>
      <c r="D30" s="52" t="s">
        <v>51</v>
      </c>
      <c r="E30" s="56">
        <f t="shared" ref="E30:BD30" si="6">E135</f>
        <v>0</v>
      </c>
      <c r="F30" s="56">
        <f t="shared" si="6"/>
        <v>0</v>
      </c>
      <c r="G30" s="56">
        <f t="shared" si="6"/>
        <v>0</v>
      </c>
      <c r="H30" s="56">
        <f t="shared" si="6"/>
        <v>0</v>
      </c>
      <c r="I30" s="56">
        <f t="shared" si="6"/>
        <v>0</v>
      </c>
      <c r="J30" s="56">
        <f t="shared" si="6"/>
        <v>0</v>
      </c>
      <c r="K30" s="56">
        <f t="shared" si="6"/>
        <v>0</v>
      </c>
      <c r="L30" s="56">
        <f t="shared" si="6"/>
        <v>0</v>
      </c>
      <c r="M30" s="56">
        <f t="shared" si="6"/>
        <v>0</v>
      </c>
      <c r="N30" s="56">
        <f t="shared" si="6"/>
        <v>0</v>
      </c>
      <c r="O30" s="56">
        <f t="shared" si="6"/>
        <v>0</v>
      </c>
      <c r="P30" s="56">
        <f t="shared" si="6"/>
        <v>0</v>
      </c>
      <c r="Q30" s="56">
        <f t="shared" si="6"/>
        <v>0</v>
      </c>
      <c r="R30" s="56">
        <f t="shared" si="6"/>
        <v>0</v>
      </c>
      <c r="S30" s="56">
        <f t="shared" si="6"/>
        <v>0</v>
      </c>
      <c r="T30" s="56">
        <f t="shared" si="6"/>
        <v>0</v>
      </c>
      <c r="U30" s="56">
        <f t="shared" si="6"/>
        <v>0</v>
      </c>
      <c r="V30" s="56">
        <f t="shared" si="6"/>
        <v>0</v>
      </c>
      <c r="W30" s="56">
        <f t="shared" si="6"/>
        <v>0</v>
      </c>
      <c r="X30" s="56">
        <f t="shared" si="6"/>
        <v>0</v>
      </c>
      <c r="Y30" s="56">
        <f t="shared" si="6"/>
        <v>2.7355125661375723</v>
      </c>
      <c r="Z30" s="56">
        <f t="shared" si="6"/>
        <v>0</v>
      </c>
      <c r="AA30" s="56">
        <f t="shared" si="6"/>
        <v>0</v>
      </c>
      <c r="AB30" s="56">
        <f t="shared" si="6"/>
        <v>0</v>
      </c>
      <c r="AC30" s="56">
        <f t="shared" si="6"/>
        <v>0</v>
      </c>
      <c r="AD30" s="56">
        <f t="shared" si="6"/>
        <v>0</v>
      </c>
      <c r="AE30" s="56">
        <f t="shared" si="6"/>
        <v>0</v>
      </c>
      <c r="AF30" s="56">
        <f t="shared" si="6"/>
        <v>0</v>
      </c>
      <c r="AG30" s="56">
        <f t="shared" si="6"/>
        <v>0</v>
      </c>
      <c r="AH30" s="56">
        <f t="shared" si="6"/>
        <v>0</v>
      </c>
      <c r="AI30" s="56">
        <f t="shared" si="6"/>
        <v>0</v>
      </c>
      <c r="AJ30" s="56">
        <f t="shared" si="6"/>
        <v>0</v>
      </c>
      <c r="AK30" s="56">
        <f t="shared" si="6"/>
        <v>0</v>
      </c>
      <c r="AL30" s="56">
        <f t="shared" si="6"/>
        <v>0</v>
      </c>
      <c r="AM30" s="56">
        <f t="shared" si="6"/>
        <v>0</v>
      </c>
      <c r="AN30" s="56">
        <f t="shared" si="6"/>
        <v>0</v>
      </c>
      <c r="AO30" s="56">
        <f t="shared" si="6"/>
        <v>0</v>
      </c>
      <c r="AP30" s="56">
        <f t="shared" si="6"/>
        <v>0</v>
      </c>
      <c r="AQ30" s="56">
        <f t="shared" si="6"/>
        <v>0</v>
      </c>
      <c r="AR30" s="56">
        <f t="shared" si="6"/>
        <v>0</v>
      </c>
      <c r="AS30" s="56">
        <f t="shared" si="6"/>
        <v>0</v>
      </c>
      <c r="AT30" s="56">
        <f t="shared" si="6"/>
        <v>0</v>
      </c>
      <c r="AU30" s="56">
        <f t="shared" si="6"/>
        <v>0</v>
      </c>
      <c r="AV30" s="56">
        <f t="shared" si="6"/>
        <v>0</v>
      </c>
      <c r="AW30" s="56">
        <f t="shared" si="6"/>
        <v>0</v>
      </c>
      <c r="AX30" s="56">
        <f t="shared" si="6"/>
        <v>0</v>
      </c>
      <c r="AY30" s="56">
        <f t="shared" si="6"/>
        <v>0</v>
      </c>
      <c r="AZ30" s="56">
        <f t="shared" si="6"/>
        <v>0</v>
      </c>
      <c r="BA30" s="56">
        <f t="shared" si="6"/>
        <v>0</v>
      </c>
      <c r="BB30" s="56">
        <f t="shared" si="6"/>
        <v>0</v>
      </c>
      <c r="BC30" s="56">
        <f t="shared" si="6"/>
        <v>0</v>
      </c>
      <c r="BD30" s="56">
        <f t="shared" si="6"/>
        <v>0</v>
      </c>
    </row>
    <row r="31" spans="3:56" x14ac:dyDescent="0.25">
      <c r="C31" s="48"/>
      <c r="D31" s="49" t="s">
        <v>49</v>
      </c>
      <c r="E31" s="44">
        <f t="shared" ref="E31:BD31" si="7">SUM(E10:E16)</f>
        <v>0</v>
      </c>
      <c r="F31" s="44">
        <f t="shared" si="7"/>
        <v>0</v>
      </c>
      <c r="G31" s="44">
        <f t="shared" si="7"/>
        <v>0</v>
      </c>
      <c r="H31" s="44">
        <f t="shared" si="7"/>
        <v>0</v>
      </c>
      <c r="I31" s="44">
        <f t="shared" si="7"/>
        <v>0</v>
      </c>
      <c r="J31" s="44">
        <f t="shared" si="7"/>
        <v>0</v>
      </c>
      <c r="K31" s="44">
        <f t="shared" si="7"/>
        <v>0</v>
      </c>
      <c r="L31" s="44">
        <f t="shared" si="7"/>
        <v>0</v>
      </c>
      <c r="M31" s="44">
        <f t="shared" si="7"/>
        <v>0</v>
      </c>
      <c r="N31" s="44">
        <f t="shared" si="7"/>
        <v>0</v>
      </c>
      <c r="O31" s="44">
        <f t="shared" si="7"/>
        <v>0</v>
      </c>
      <c r="P31" s="44">
        <f t="shared" si="7"/>
        <v>0</v>
      </c>
      <c r="Q31" s="44">
        <f t="shared" si="7"/>
        <v>0</v>
      </c>
      <c r="R31" s="44">
        <f t="shared" si="7"/>
        <v>0</v>
      </c>
      <c r="S31" s="44">
        <f t="shared" si="7"/>
        <v>0</v>
      </c>
      <c r="T31" s="44">
        <f t="shared" si="7"/>
        <v>0</v>
      </c>
      <c r="U31" s="44">
        <f t="shared" si="7"/>
        <v>0</v>
      </c>
      <c r="V31" s="44">
        <f t="shared" si="7"/>
        <v>0</v>
      </c>
      <c r="W31" s="44">
        <f t="shared" si="7"/>
        <v>0</v>
      </c>
      <c r="X31" s="44">
        <f t="shared" si="7"/>
        <v>0</v>
      </c>
      <c r="Y31" s="44">
        <f t="shared" si="7"/>
        <v>0</v>
      </c>
      <c r="Z31" s="44">
        <f t="shared" si="7"/>
        <v>0</v>
      </c>
      <c r="AA31" s="44">
        <f t="shared" si="7"/>
        <v>0</v>
      </c>
      <c r="AB31" s="44">
        <f t="shared" si="7"/>
        <v>0</v>
      </c>
      <c r="AC31" s="44">
        <f t="shared" si="7"/>
        <v>0</v>
      </c>
      <c r="AD31" s="44">
        <f t="shared" si="7"/>
        <v>0</v>
      </c>
      <c r="AE31" s="44">
        <f t="shared" si="7"/>
        <v>0</v>
      </c>
      <c r="AF31" s="44">
        <f t="shared" si="7"/>
        <v>0</v>
      </c>
      <c r="AG31" s="44">
        <f t="shared" si="7"/>
        <v>0</v>
      </c>
      <c r="AH31" s="44">
        <f t="shared" si="7"/>
        <v>0</v>
      </c>
      <c r="AI31" s="44">
        <f t="shared" si="7"/>
        <v>0</v>
      </c>
      <c r="AJ31" s="44">
        <f t="shared" si="7"/>
        <v>0</v>
      </c>
      <c r="AK31" s="44">
        <f t="shared" si="7"/>
        <v>0</v>
      </c>
      <c r="AL31" s="44">
        <f t="shared" si="7"/>
        <v>0</v>
      </c>
      <c r="AM31" s="44">
        <f t="shared" si="7"/>
        <v>0</v>
      </c>
      <c r="AN31" s="44">
        <f t="shared" si="7"/>
        <v>0</v>
      </c>
      <c r="AO31" s="44">
        <f t="shared" si="7"/>
        <v>0</v>
      </c>
      <c r="AP31" s="44">
        <f t="shared" si="7"/>
        <v>0</v>
      </c>
      <c r="AQ31" s="44">
        <f t="shared" si="7"/>
        <v>0</v>
      </c>
      <c r="AR31" s="44">
        <f t="shared" si="7"/>
        <v>0</v>
      </c>
      <c r="AS31" s="44">
        <f t="shared" si="7"/>
        <v>0</v>
      </c>
      <c r="AT31" s="44">
        <f t="shared" si="7"/>
        <v>0</v>
      </c>
      <c r="AU31" s="44">
        <f t="shared" si="7"/>
        <v>0</v>
      </c>
      <c r="AV31" s="44">
        <f t="shared" si="7"/>
        <v>0</v>
      </c>
      <c r="AW31" s="44">
        <f t="shared" si="7"/>
        <v>0</v>
      </c>
      <c r="AX31" s="44">
        <f t="shared" si="7"/>
        <v>0</v>
      </c>
      <c r="AY31" s="44">
        <f t="shared" si="7"/>
        <v>0</v>
      </c>
      <c r="AZ31" s="44">
        <f t="shared" si="7"/>
        <v>0</v>
      </c>
      <c r="BA31" s="44">
        <f t="shared" si="7"/>
        <v>0</v>
      </c>
      <c r="BB31" s="44">
        <f t="shared" si="7"/>
        <v>0</v>
      </c>
      <c r="BC31" s="44">
        <f t="shared" si="7"/>
        <v>0</v>
      </c>
      <c r="BD31" s="44">
        <f t="shared" si="7"/>
        <v>0</v>
      </c>
    </row>
    <row r="32" spans="3:56" x14ac:dyDescent="0.25">
      <c r="C32" s="48"/>
      <c r="E32" s="42"/>
      <c r="F32" s="42"/>
      <c r="G32" s="42"/>
      <c r="H32" s="42"/>
      <c r="I32" s="42"/>
      <c r="J32" s="42"/>
      <c r="K32" s="42"/>
      <c r="L32" s="42"/>
      <c r="M32" s="42"/>
    </row>
    <row r="33" spans="3:56" x14ac:dyDescent="0.25">
      <c r="D33" s="46" t="s">
        <v>20</v>
      </c>
      <c r="E33" s="82">
        <f t="shared" ref="E33:BD33" si="8">E2</f>
        <v>44569</v>
      </c>
      <c r="F33" s="82">
        <f t="shared" si="8"/>
        <v>44576</v>
      </c>
      <c r="G33" s="82">
        <f t="shared" si="8"/>
        <v>44583</v>
      </c>
      <c r="H33" s="82">
        <f t="shared" si="8"/>
        <v>44590</v>
      </c>
      <c r="I33" s="82">
        <f t="shared" si="8"/>
        <v>44597</v>
      </c>
      <c r="J33" s="82">
        <f t="shared" si="8"/>
        <v>44604</v>
      </c>
      <c r="K33" s="82">
        <f t="shared" si="8"/>
        <v>44611</v>
      </c>
      <c r="L33" s="82">
        <f t="shared" si="8"/>
        <v>44618</v>
      </c>
      <c r="M33" s="82">
        <f t="shared" si="8"/>
        <v>44625</v>
      </c>
      <c r="N33" s="82">
        <f t="shared" si="8"/>
        <v>44632</v>
      </c>
      <c r="O33" s="82">
        <f t="shared" si="8"/>
        <v>44639</v>
      </c>
      <c r="P33" s="82">
        <f t="shared" si="8"/>
        <v>44646</v>
      </c>
      <c r="Q33" s="82">
        <f t="shared" si="8"/>
        <v>44653</v>
      </c>
      <c r="R33" s="82">
        <f t="shared" si="8"/>
        <v>44660</v>
      </c>
      <c r="S33" s="82">
        <f t="shared" si="8"/>
        <v>44667</v>
      </c>
      <c r="T33" s="82">
        <f t="shared" si="8"/>
        <v>44674</v>
      </c>
      <c r="U33" s="82">
        <f t="shared" si="8"/>
        <v>44681</v>
      </c>
      <c r="V33" s="82">
        <f t="shared" si="8"/>
        <v>44688</v>
      </c>
      <c r="W33" s="82">
        <f t="shared" si="8"/>
        <v>44695</v>
      </c>
      <c r="X33" s="82">
        <f t="shared" si="8"/>
        <v>44702</v>
      </c>
      <c r="Y33" s="82">
        <f t="shared" si="8"/>
        <v>44709</v>
      </c>
      <c r="Z33" s="82">
        <f t="shared" si="8"/>
        <v>44716</v>
      </c>
      <c r="AA33" s="82">
        <f t="shared" si="8"/>
        <v>44723</v>
      </c>
      <c r="AB33" s="82">
        <f t="shared" si="8"/>
        <v>44730</v>
      </c>
      <c r="AC33" s="82">
        <f t="shared" si="8"/>
        <v>44737</v>
      </c>
      <c r="AD33" s="82">
        <f t="shared" si="8"/>
        <v>44744</v>
      </c>
      <c r="AE33" s="82">
        <f t="shared" si="8"/>
        <v>44751</v>
      </c>
      <c r="AF33" s="82">
        <f t="shared" si="8"/>
        <v>44758</v>
      </c>
      <c r="AG33" s="82">
        <f t="shared" si="8"/>
        <v>44765</v>
      </c>
      <c r="AH33" s="82">
        <f t="shared" si="8"/>
        <v>44772</v>
      </c>
      <c r="AI33" s="82">
        <f t="shared" si="8"/>
        <v>44779</v>
      </c>
      <c r="AJ33" s="82">
        <f t="shared" si="8"/>
        <v>44786</v>
      </c>
      <c r="AK33" s="82">
        <f t="shared" si="8"/>
        <v>44793</v>
      </c>
      <c r="AL33" s="82">
        <f t="shared" si="8"/>
        <v>44800</v>
      </c>
      <c r="AM33" s="82">
        <f t="shared" si="8"/>
        <v>44807</v>
      </c>
      <c r="AN33" s="82">
        <f t="shared" si="8"/>
        <v>44814</v>
      </c>
      <c r="AO33" s="82">
        <f t="shared" si="8"/>
        <v>44821</v>
      </c>
      <c r="AP33" s="82">
        <f t="shared" si="8"/>
        <v>44828</v>
      </c>
      <c r="AQ33" s="82">
        <f t="shared" si="8"/>
        <v>44835</v>
      </c>
      <c r="AR33" s="82">
        <f t="shared" si="8"/>
        <v>44842</v>
      </c>
      <c r="AS33" s="82">
        <f t="shared" si="8"/>
        <v>44849</v>
      </c>
      <c r="AT33" s="82">
        <f t="shared" si="8"/>
        <v>44856</v>
      </c>
      <c r="AU33" s="82">
        <f t="shared" si="8"/>
        <v>44863</v>
      </c>
      <c r="AV33" s="82">
        <f t="shared" si="8"/>
        <v>44870</v>
      </c>
      <c r="AW33" s="82">
        <f t="shared" si="8"/>
        <v>44877</v>
      </c>
      <c r="AX33" s="82">
        <f t="shared" si="8"/>
        <v>44884</v>
      </c>
      <c r="AY33" s="82">
        <f t="shared" si="8"/>
        <v>44891</v>
      </c>
      <c r="AZ33" s="82">
        <f t="shared" si="8"/>
        <v>44898</v>
      </c>
      <c r="BA33" s="82">
        <f t="shared" si="8"/>
        <v>44905</v>
      </c>
      <c r="BB33" s="82">
        <f t="shared" si="8"/>
        <v>44912</v>
      </c>
      <c r="BC33" s="82">
        <f t="shared" si="8"/>
        <v>44919</v>
      </c>
      <c r="BD33" s="82">
        <f t="shared" si="8"/>
        <v>44926</v>
      </c>
    </row>
    <row r="34" spans="3:56" x14ac:dyDescent="0.25">
      <c r="C34" s="107" t="s">
        <v>20</v>
      </c>
      <c r="D34" s="41" t="s">
        <v>21</v>
      </c>
      <c r="E34" s="70" t="str">
        <f>IF(LauderNew!E34-LauderOld!E34=0,"",LauderNew!E34-LauderOld!E34)</f>
        <v/>
      </c>
      <c r="F34" s="70" t="str">
        <f>IF(LauderNew!F34-LauderOld!F34=0,"",LauderNew!F34-LauderOld!F34)</f>
        <v/>
      </c>
      <c r="G34" s="70" t="str">
        <f>IF(LauderNew!G34-LauderOld!G34=0,"",LauderNew!G34-LauderOld!G34)</f>
        <v/>
      </c>
      <c r="H34" s="70" t="str">
        <f>IF(LauderNew!H34-LauderOld!H34=0,"",LauderNew!H34-LauderOld!H34)</f>
        <v/>
      </c>
      <c r="I34" s="70" t="str">
        <f>IF(LauderNew!I34-LauderOld!I34=0,"",LauderNew!I34-LauderOld!I34)</f>
        <v/>
      </c>
      <c r="J34" s="70" t="str">
        <f>IF(LauderNew!J34-LauderOld!J34=0,"",LauderNew!J34-LauderOld!J34)</f>
        <v/>
      </c>
      <c r="K34" s="70" t="str">
        <f>IF(LauderNew!K34-LauderOld!K34=0,"",LauderNew!K34-LauderOld!K34)</f>
        <v/>
      </c>
      <c r="L34" s="70" t="str">
        <f>IF(LauderNew!L34-LauderOld!L34=0,"",LauderNew!L34-LauderOld!L34)</f>
        <v/>
      </c>
      <c r="M34" s="70" t="str">
        <f>IF(LauderNew!M34-LauderOld!M34=0,"",LauderNew!M34-LauderOld!M34)</f>
        <v/>
      </c>
      <c r="N34" s="70" t="str">
        <f>IF(LauderNew!N34-LauderOld!N34=0,"",LauderNew!N34-LauderOld!N34)</f>
        <v/>
      </c>
      <c r="O34" s="70" t="str">
        <f>IF(LauderNew!O34-LauderOld!O34=0,"",LauderNew!O34-LauderOld!O34)</f>
        <v/>
      </c>
      <c r="P34" s="70" t="str">
        <f>IF(LauderNew!P34-LauderOld!P34=0,"",LauderNew!P34-LauderOld!P34)</f>
        <v/>
      </c>
      <c r="Q34" s="70" t="str">
        <f>IF(LauderNew!Q34-LauderOld!Q34=0,"",LauderNew!Q34-LauderOld!Q34)</f>
        <v/>
      </c>
      <c r="R34" s="70" t="str">
        <f>IF(LauderNew!R34-LauderOld!R34=0,"",LauderNew!R34-LauderOld!R34)</f>
        <v/>
      </c>
      <c r="S34" s="70" t="str">
        <f>IF(LauderNew!S34-LauderOld!S34=0,"",LauderNew!S34-LauderOld!S34)</f>
        <v/>
      </c>
      <c r="T34" s="70" t="str">
        <f>IF(LauderNew!T34-LauderOld!T34=0,"",LauderNew!T34-LauderOld!T34)</f>
        <v/>
      </c>
      <c r="U34" s="70" t="str">
        <f>IF(LauderNew!U34-LauderOld!U34=0,"",LauderNew!U34-LauderOld!U34)</f>
        <v/>
      </c>
      <c r="V34" s="70" t="str">
        <f>IF(LauderNew!V34-LauderOld!V34=0,"",LauderNew!V34-LauderOld!V34)</f>
        <v/>
      </c>
      <c r="W34" s="70" t="str">
        <f>IF(LauderNew!W34-LauderOld!W34=0,"",LauderNew!W34-LauderOld!W34)</f>
        <v/>
      </c>
      <c r="X34" s="70" t="str">
        <f>IF(LauderNew!X34-LauderOld!X34=0,"",LauderNew!X34-LauderOld!X34)</f>
        <v/>
      </c>
      <c r="Y34" s="70" t="str">
        <f>IF(LauderNew!Y34-LauderOld!Y34=0,"",LauderNew!Y34-LauderOld!Y34)</f>
        <v/>
      </c>
      <c r="Z34" s="70" t="str">
        <f>IF(LauderNew!Z34-LauderOld!Z34=0,"",LauderNew!Z34-LauderOld!Z34)</f>
        <v/>
      </c>
      <c r="AA34" s="70" t="str">
        <f>IF(LauderNew!AA34-LauderOld!AA34=0,"",LauderNew!AA34-LauderOld!AA34)</f>
        <v/>
      </c>
      <c r="AB34" s="70" t="str">
        <f>IF(LauderNew!AB34-LauderOld!AB34=0,"",LauderNew!AB34-LauderOld!AB34)</f>
        <v/>
      </c>
      <c r="AC34" s="70" t="str">
        <f>IF(LauderNew!AC34-LauderOld!AC34=0,"",LauderNew!AC34-LauderOld!AC34)</f>
        <v/>
      </c>
      <c r="AD34" s="70" t="str">
        <f>IF(LauderNew!AD34-LauderOld!AD34=0,"",LauderNew!AD34-LauderOld!AD34)</f>
        <v/>
      </c>
      <c r="AE34" s="70" t="str">
        <f>IF(LauderNew!AE34-LauderOld!AE34=0,"",LauderNew!AE34-LauderOld!AE34)</f>
        <v/>
      </c>
      <c r="AF34" s="70" t="str">
        <f>IF(LauderNew!AF34-LauderOld!AF34=0,"",LauderNew!AF34-LauderOld!AF34)</f>
        <v/>
      </c>
      <c r="AG34" s="70" t="str">
        <f>IF(LauderNew!AG34-LauderOld!AG34=0,"",LauderNew!AG34-LauderOld!AG34)</f>
        <v/>
      </c>
      <c r="AH34" s="70" t="str">
        <f>IF(LauderNew!AH34-LauderOld!AH34=0,"",LauderNew!AH34-LauderOld!AH34)</f>
        <v/>
      </c>
      <c r="AI34" s="70" t="str">
        <f>IF(LauderNew!AI34-LauderOld!AI34=0,"",LauderNew!AI34-LauderOld!AI34)</f>
        <v/>
      </c>
      <c r="AJ34" s="70" t="str">
        <f>IF(LauderNew!AJ34-LauderOld!AJ34=0,"",LauderNew!AJ34-LauderOld!AJ34)</f>
        <v/>
      </c>
      <c r="AK34" s="70" t="str">
        <f>IF(LauderNew!AK34-LauderOld!AK34=0,"",LauderNew!AK34-LauderOld!AK34)</f>
        <v/>
      </c>
      <c r="AL34" s="70" t="str">
        <f>IF(LauderNew!AL34-LauderOld!AL34=0,"",LauderNew!AL34-LauderOld!AL34)</f>
        <v/>
      </c>
      <c r="AM34" s="70" t="str">
        <f>IF(LauderNew!AM34-LauderOld!AM34=0,"",LauderNew!AM34-LauderOld!AM34)</f>
        <v/>
      </c>
      <c r="AN34" s="70" t="str">
        <f>IF(LauderNew!AN34-LauderOld!AN34=0,"",LauderNew!AN34-LauderOld!AN34)</f>
        <v/>
      </c>
      <c r="AO34" s="70" t="str">
        <f>IF(LauderNew!AO34-LauderOld!AO34=0,"",LauderNew!AO34-LauderOld!AO34)</f>
        <v/>
      </c>
      <c r="AP34" s="70" t="str">
        <f>IF(LauderNew!AP34-LauderOld!AP34=0,"",LauderNew!AP34-LauderOld!AP34)</f>
        <v/>
      </c>
      <c r="AQ34" s="70" t="str">
        <f>IF(LauderNew!AQ34-LauderOld!AQ34=0,"",LauderNew!AQ34-LauderOld!AQ34)</f>
        <v/>
      </c>
      <c r="AR34" s="70" t="str">
        <f>IF(LauderNew!AR34-LauderOld!AR34=0,"",LauderNew!AR34-LauderOld!AR34)</f>
        <v/>
      </c>
      <c r="AS34" s="70" t="str">
        <f>IF(LauderNew!AS34-LauderOld!AS34=0,"",LauderNew!AS34-LauderOld!AS34)</f>
        <v/>
      </c>
      <c r="AT34" s="70" t="str">
        <f>IF(LauderNew!AT34-LauderOld!AT34=0,"",LauderNew!AT34-LauderOld!AT34)</f>
        <v/>
      </c>
      <c r="AU34" s="70" t="str">
        <f>IF(LauderNew!AU34-LauderOld!AU34=0,"",LauderNew!AU34-LauderOld!AU34)</f>
        <v/>
      </c>
      <c r="AV34" s="70" t="str">
        <f>IF(LauderNew!AV34-LauderOld!AV34=0,"",LauderNew!AV34-LauderOld!AV34)</f>
        <v/>
      </c>
      <c r="AW34" s="70" t="str">
        <f>IF(LauderNew!AW34-LauderOld!AW34=0,"",LauderNew!AW34-LauderOld!AW34)</f>
        <v/>
      </c>
      <c r="AX34" s="70" t="str">
        <f>IF(LauderNew!AX34-LauderOld!AX34=0,"",LauderNew!AX34-LauderOld!AX34)</f>
        <v/>
      </c>
      <c r="AY34" s="70" t="str">
        <f>IF(LauderNew!AY34-LauderOld!AY34=0,"",LauderNew!AY34-LauderOld!AY34)</f>
        <v/>
      </c>
      <c r="AZ34" s="70" t="str">
        <f>IF(LauderNew!AZ34-LauderOld!AZ34=0,"",LauderNew!AZ34-LauderOld!AZ34)</f>
        <v/>
      </c>
      <c r="BA34" s="70" t="str">
        <f>IF(LauderNew!BA34-LauderOld!BA34=0,"",LauderNew!BA34-LauderOld!BA34)</f>
        <v/>
      </c>
      <c r="BB34" s="70" t="str">
        <f>IF(LauderNew!BB34-LauderOld!BB34=0,"",LauderNew!BB34-LauderOld!BB34)</f>
        <v/>
      </c>
      <c r="BC34" s="70" t="str">
        <f>IF(LauderNew!BC34-LauderOld!BC34=0,"",LauderNew!BC34-LauderOld!BC34)</f>
        <v/>
      </c>
      <c r="BD34" s="70" t="str">
        <f>IF(LauderNew!BD34-LauderOld!BD34=0,"",LauderNew!BD34-LauderOld!BD34)</f>
        <v/>
      </c>
    </row>
    <row r="35" spans="3:56" x14ac:dyDescent="0.25">
      <c r="C35" s="108"/>
      <c r="D35" s="41" t="s">
        <v>22</v>
      </c>
      <c r="E35" s="70" t="str">
        <f>IF(LauderNew!E35-LauderOld!E35=0,"",LauderNew!E35-LauderOld!E35)</f>
        <v/>
      </c>
      <c r="F35" s="70" t="str">
        <f>IF(LauderNew!F35-LauderOld!F35=0,"",LauderNew!F35-LauderOld!F35)</f>
        <v/>
      </c>
      <c r="G35" s="70" t="str">
        <f>IF(LauderNew!G35-LauderOld!G35=0,"",LauderNew!G35-LauderOld!G35)</f>
        <v/>
      </c>
      <c r="H35" s="70" t="str">
        <f>IF(LauderNew!H35-LauderOld!H35=0,"",LauderNew!H35-LauderOld!H35)</f>
        <v/>
      </c>
      <c r="I35" s="70" t="str">
        <f>IF(LauderNew!I35-LauderOld!I35=0,"",LauderNew!I35-LauderOld!I35)</f>
        <v/>
      </c>
      <c r="J35" s="70" t="str">
        <f>IF(LauderNew!J35-LauderOld!J35=0,"",LauderNew!J35-LauderOld!J35)</f>
        <v/>
      </c>
      <c r="K35" s="70" t="str">
        <f>IF(LauderNew!K35-LauderOld!K35=0,"",LauderNew!K35-LauderOld!K35)</f>
        <v/>
      </c>
      <c r="L35" s="70" t="str">
        <f>IF(LauderNew!L35-LauderOld!L35=0,"",LauderNew!L35-LauderOld!L35)</f>
        <v/>
      </c>
      <c r="M35" s="70" t="str">
        <f>IF(LauderNew!M35-LauderOld!M35=0,"",LauderNew!M35-LauderOld!M35)</f>
        <v/>
      </c>
      <c r="N35" s="70" t="str">
        <f>IF(LauderNew!N35-LauderOld!N35=0,"",LauderNew!N35-LauderOld!N35)</f>
        <v/>
      </c>
      <c r="O35" s="70" t="str">
        <f>IF(LauderNew!O35-LauderOld!O35=0,"",LauderNew!O35-LauderOld!O35)</f>
        <v/>
      </c>
      <c r="P35" s="70" t="str">
        <f>IF(LauderNew!P35-LauderOld!P35=0,"",LauderNew!P35-LauderOld!P35)</f>
        <v/>
      </c>
      <c r="Q35" s="70" t="str">
        <f>IF(LauderNew!Q35-LauderOld!Q35=0,"",LauderNew!Q35-LauderOld!Q35)</f>
        <v/>
      </c>
      <c r="R35" s="70" t="str">
        <f>IF(LauderNew!R35-LauderOld!R35=0,"",LauderNew!R35-LauderOld!R35)</f>
        <v/>
      </c>
      <c r="S35" s="70" t="str">
        <f>IF(LauderNew!S35-LauderOld!S35=0,"",LauderNew!S35-LauderOld!S35)</f>
        <v/>
      </c>
      <c r="T35" s="70" t="str">
        <f>IF(LauderNew!T35-LauderOld!T35=0,"",LauderNew!T35-LauderOld!T35)</f>
        <v/>
      </c>
      <c r="U35" s="70" t="str">
        <f>IF(LauderNew!U35-LauderOld!U35=0,"",LauderNew!U35-LauderOld!U35)</f>
        <v/>
      </c>
      <c r="V35" s="70" t="str">
        <f>IF(LauderNew!V35-LauderOld!V35=0,"",LauderNew!V35-LauderOld!V35)</f>
        <v/>
      </c>
      <c r="W35" s="70" t="str">
        <f>IF(LauderNew!W35-LauderOld!W35=0,"",LauderNew!W35-LauderOld!W35)</f>
        <v/>
      </c>
      <c r="X35" s="70" t="str">
        <f>IF(LauderNew!X35-LauderOld!X35=0,"",LauderNew!X35-LauderOld!X35)</f>
        <v/>
      </c>
      <c r="Y35" s="70" t="str">
        <f>IF(LauderNew!Y35-LauderOld!Y35=0,"",LauderNew!Y35-LauderOld!Y35)</f>
        <v/>
      </c>
      <c r="Z35" s="70" t="str">
        <f>IF(LauderNew!Z35-LauderOld!Z35=0,"",LauderNew!Z35-LauderOld!Z35)</f>
        <v/>
      </c>
      <c r="AA35" s="70" t="str">
        <f>IF(LauderNew!AA35-LauderOld!AA35=0,"",LauderNew!AA35-LauderOld!AA35)</f>
        <v/>
      </c>
      <c r="AB35" s="70" t="str">
        <f>IF(LauderNew!AB35-LauderOld!AB35=0,"",LauderNew!AB35-LauderOld!AB35)</f>
        <v/>
      </c>
      <c r="AC35" s="70" t="str">
        <f>IF(LauderNew!AC35-LauderOld!AC35=0,"",LauderNew!AC35-LauderOld!AC35)</f>
        <v/>
      </c>
      <c r="AD35" s="70" t="str">
        <f>IF(LauderNew!AD35-LauderOld!AD35=0,"",LauderNew!AD35-LauderOld!AD35)</f>
        <v/>
      </c>
      <c r="AE35" s="70" t="str">
        <f>IF(LauderNew!AE35-LauderOld!AE35=0,"",LauderNew!AE35-LauderOld!AE35)</f>
        <v/>
      </c>
      <c r="AF35" s="70" t="str">
        <f>IF(LauderNew!AF35-LauderOld!AF35=0,"",LauderNew!AF35-LauderOld!AF35)</f>
        <v/>
      </c>
      <c r="AG35" s="70" t="str">
        <f>IF(LauderNew!AG35-LauderOld!AG35=0,"",LauderNew!AG35-LauderOld!AG35)</f>
        <v/>
      </c>
      <c r="AH35" s="70" t="str">
        <f>IF(LauderNew!AH35-LauderOld!AH35=0,"",LauderNew!AH35-LauderOld!AH35)</f>
        <v/>
      </c>
      <c r="AI35" s="70" t="str">
        <f>IF(LauderNew!AI35-LauderOld!AI35=0,"",LauderNew!AI35-LauderOld!AI35)</f>
        <v/>
      </c>
      <c r="AJ35" s="70" t="str">
        <f>IF(LauderNew!AJ35-LauderOld!AJ35=0,"",LauderNew!AJ35-LauderOld!AJ35)</f>
        <v/>
      </c>
      <c r="AK35" s="70" t="str">
        <f>IF(LauderNew!AK35-LauderOld!AK35=0,"",LauderNew!AK35-LauderOld!AK35)</f>
        <v/>
      </c>
      <c r="AL35" s="70" t="str">
        <f>IF(LauderNew!AL35-LauderOld!AL35=0,"",LauderNew!AL35-LauderOld!AL35)</f>
        <v/>
      </c>
      <c r="AM35" s="70" t="str">
        <f>IF(LauderNew!AM35-LauderOld!AM35=0,"",LauderNew!AM35-LauderOld!AM35)</f>
        <v/>
      </c>
      <c r="AN35" s="70" t="str">
        <f>IF(LauderNew!AN35-LauderOld!AN35=0,"",LauderNew!AN35-LauderOld!AN35)</f>
        <v/>
      </c>
      <c r="AO35" s="70" t="str">
        <f>IF(LauderNew!AO35-LauderOld!AO35=0,"",LauderNew!AO35-LauderOld!AO35)</f>
        <v/>
      </c>
      <c r="AP35" s="70" t="str">
        <f>IF(LauderNew!AP35-LauderOld!AP35=0,"",LauderNew!AP35-LauderOld!AP35)</f>
        <v/>
      </c>
      <c r="AQ35" s="70" t="str">
        <f>IF(LauderNew!AQ35-LauderOld!AQ35=0,"",LauderNew!AQ35-LauderOld!AQ35)</f>
        <v/>
      </c>
      <c r="AR35" s="70" t="str">
        <f>IF(LauderNew!AR35-LauderOld!AR35=0,"",LauderNew!AR35-LauderOld!AR35)</f>
        <v/>
      </c>
      <c r="AS35" s="70" t="str">
        <f>IF(LauderNew!AS35-LauderOld!AS35=0,"",LauderNew!AS35-LauderOld!AS35)</f>
        <v/>
      </c>
      <c r="AT35" s="70" t="str">
        <f>IF(LauderNew!AT35-LauderOld!AT35=0,"",LauderNew!AT35-LauderOld!AT35)</f>
        <v/>
      </c>
      <c r="AU35" s="70" t="str">
        <f>IF(LauderNew!AU35-LauderOld!AU35=0,"",LauderNew!AU35-LauderOld!AU35)</f>
        <v/>
      </c>
      <c r="AV35" s="70" t="str">
        <f>IF(LauderNew!AV35-LauderOld!AV35=0,"",LauderNew!AV35-LauderOld!AV35)</f>
        <v/>
      </c>
      <c r="AW35" s="70" t="str">
        <f>IF(LauderNew!AW35-LauderOld!AW35=0,"",LauderNew!AW35-LauderOld!AW35)</f>
        <v/>
      </c>
      <c r="AX35" s="70" t="str">
        <f>IF(LauderNew!AX35-LauderOld!AX35=0,"",LauderNew!AX35-LauderOld!AX35)</f>
        <v/>
      </c>
      <c r="AY35" s="70" t="str">
        <f>IF(LauderNew!AY35-LauderOld!AY35=0,"",LauderNew!AY35-LauderOld!AY35)</f>
        <v/>
      </c>
      <c r="AZ35" s="70" t="str">
        <f>IF(LauderNew!AZ35-LauderOld!AZ35=0,"",LauderNew!AZ35-LauderOld!AZ35)</f>
        <v/>
      </c>
      <c r="BA35" s="70" t="str">
        <f>IF(LauderNew!BA35-LauderOld!BA35=0,"",LauderNew!BA35-LauderOld!BA35)</f>
        <v/>
      </c>
      <c r="BB35" s="70" t="str">
        <f>IF(LauderNew!BB35-LauderOld!BB35=0,"",LauderNew!BB35-LauderOld!BB35)</f>
        <v/>
      </c>
      <c r="BC35" s="70" t="str">
        <f>IF(LauderNew!BC35-LauderOld!BC35=0,"",LauderNew!BC35-LauderOld!BC35)</f>
        <v/>
      </c>
      <c r="BD35" s="70" t="str">
        <f>IF(LauderNew!BD35-LauderOld!BD35=0,"",LauderNew!BD35-LauderOld!BD35)</f>
        <v/>
      </c>
    </row>
    <row r="36" spans="3:56" x14ac:dyDescent="0.25">
      <c r="C36" s="108"/>
      <c r="D36" s="41" t="s">
        <v>30</v>
      </c>
      <c r="E36" s="68" t="str">
        <f>IF(LauderNew!E36-LauderOld!E36=0,"",LauderNew!E36-LauderOld!E36)</f>
        <v/>
      </c>
      <c r="F36" s="68" t="str">
        <f>IF(LauderNew!F36-LauderOld!F36=0,"",LauderNew!F36-LauderOld!F36)</f>
        <v/>
      </c>
      <c r="G36" s="68" t="str">
        <f>IF(LauderNew!G36-LauderOld!G36=0,"",LauderNew!G36-LauderOld!G36)</f>
        <v/>
      </c>
      <c r="H36" s="68" t="str">
        <f>IF(LauderNew!H36-LauderOld!H36=0,"",LauderNew!H36-LauderOld!H36)</f>
        <v/>
      </c>
      <c r="I36" s="68" t="str">
        <f>IF(LauderNew!I36-LauderOld!I36=0,"",LauderNew!I36-LauderOld!I36)</f>
        <v/>
      </c>
      <c r="J36" s="68" t="str">
        <f>IF(LauderNew!J36-LauderOld!J36=0,"",LauderNew!J36-LauderOld!J36)</f>
        <v/>
      </c>
      <c r="K36" s="68" t="str">
        <f>IF(LauderNew!K36-LauderOld!K36=0,"",LauderNew!K36-LauderOld!K36)</f>
        <v/>
      </c>
      <c r="L36" s="68" t="str">
        <f>IF(LauderNew!L36-LauderOld!L36=0,"",LauderNew!L36-LauderOld!L36)</f>
        <v/>
      </c>
      <c r="M36" s="68" t="str">
        <f>IF(LauderNew!M36-LauderOld!M36=0,"",LauderNew!M36-LauderOld!M36)</f>
        <v/>
      </c>
      <c r="N36" s="68" t="str">
        <f>IF(LauderNew!N36-LauderOld!N36=0,"",LauderNew!N36-LauderOld!N36)</f>
        <v/>
      </c>
      <c r="O36" s="68" t="str">
        <f>IF(LauderNew!O36-LauderOld!O36=0,"",LauderNew!O36-LauderOld!O36)</f>
        <v/>
      </c>
      <c r="P36" s="68" t="str">
        <f>IF(LauderNew!P36-LauderOld!P36=0,"",LauderNew!P36-LauderOld!P36)</f>
        <v/>
      </c>
      <c r="Q36" s="68" t="str">
        <f>IF(LauderNew!Q36-LauderOld!Q36=0,"",LauderNew!Q36-LauderOld!Q36)</f>
        <v/>
      </c>
      <c r="R36" s="68" t="str">
        <f>IF(LauderNew!R36-LauderOld!R36=0,"",LauderNew!R36-LauderOld!R36)</f>
        <v/>
      </c>
      <c r="S36" s="68" t="str">
        <f>IF(LauderNew!S36-LauderOld!S36=0,"",LauderNew!S36-LauderOld!S36)</f>
        <v/>
      </c>
      <c r="T36" s="68" t="str">
        <f>IF(LauderNew!T36-LauderOld!T36=0,"",LauderNew!T36-LauderOld!T36)</f>
        <v/>
      </c>
      <c r="U36" s="68" t="str">
        <f>IF(LauderNew!U36-LauderOld!U36=0,"",LauderNew!U36-LauderOld!U36)</f>
        <v/>
      </c>
      <c r="V36" s="68" t="str">
        <f>IF(LauderNew!V36-LauderOld!V36=0,"",LauderNew!V36-LauderOld!V36)</f>
        <v/>
      </c>
      <c r="W36" s="68" t="str">
        <f>IF(LauderNew!W36-LauderOld!W36=0,"",LauderNew!W36-LauderOld!W36)</f>
        <v/>
      </c>
      <c r="X36" s="68" t="str">
        <f>IF(LauderNew!X36-LauderOld!X36=0,"",LauderNew!X36-LauderOld!X36)</f>
        <v/>
      </c>
      <c r="Y36" s="68" t="str">
        <f>IF(LauderNew!Y36-LauderOld!Y36=0,"",LauderNew!Y36-LauderOld!Y36)</f>
        <v/>
      </c>
      <c r="Z36" s="68" t="str">
        <f>IF(LauderNew!Z36-LauderOld!Z36=0,"",LauderNew!Z36-LauderOld!Z36)</f>
        <v/>
      </c>
      <c r="AA36" s="68" t="str">
        <f>IF(LauderNew!AA36-LauderOld!AA36=0,"",LauderNew!AA36-LauderOld!AA36)</f>
        <v/>
      </c>
      <c r="AB36" s="68" t="str">
        <f>IF(LauderNew!AB36-LauderOld!AB36=0,"",LauderNew!AB36-LauderOld!AB36)</f>
        <v/>
      </c>
      <c r="AC36" s="68" t="str">
        <f>IF(LauderNew!AC36-LauderOld!AC36=0,"",LauderNew!AC36-LauderOld!AC36)</f>
        <v/>
      </c>
      <c r="AD36" s="68" t="str">
        <f>IF(LauderNew!AD36-LauderOld!AD36=0,"",LauderNew!AD36-LauderOld!AD36)</f>
        <v/>
      </c>
      <c r="AE36" s="68" t="str">
        <f>IF(LauderNew!AE36-LauderOld!AE36=0,"",LauderNew!AE36-LauderOld!AE36)</f>
        <v/>
      </c>
      <c r="AF36" s="68" t="str">
        <f>IF(LauderNew!AF36-LauderOld!AF36=0,"",LauderNew!AF36-LauderOld!AF36)</f>
        <v/>
      </c>
      <c r="AG36" s="68" t="str">
        <f>IF(LauderNew!AG36-LauderOld!AG36=0,"",LauderNew!AG36-LauderOld!AG36)</f>
        <v/>
      </c>
      <c r="AH36" s="68" t="str">
        <f>IF(LauderNew!AH36-LauderOld!AH36=0,"",LauderNew!AH36-LauderOld!AH36)</f>
        <v/>
      </c>
      <c r="AI36" s="68" t="str">
        <f>IF(LauderNew!AI36-LauderOld!AI36=0,"",LauderNew!AI36-LauderOld!AI36)</f>
        <v/>
      </c>
      <c r="AJ36" s="68" t="str">
        <f>IF(LauderNew!AJ36-LauderOld!AJ36=0,"",LauderNew!AJ36-LauderOld!AJ36)</f>
        <v/>
      </c>
      <c r="AK36" s="68" t="str">
        <f>IF(LauderNew!AK36-LauderOld!AK36=0,"",LauderNew!AK36-LauderOld!AK36)</f>
        <v/>
      </c>
      <c r="AL36" s="68" t="str">
        <f>IF(LauderNew!AL36-LauderOld!AL36=0,"",LauderNew!AL36-LauderOld!AL36)</f>
        <v/>
      </c>
      <c r="AM36" s="68" t="str">
        <f>IF(LauderNew!AM36-LauderOld!AM36=0,"",LauderNew!AM36-LauderOld!AM36)</f>
        <v/>
      </c>
      <c r="AN36" s="68" t="str">
        <f>IF(LauderNew!AN36-LauderOld!AN36=0,"",LauderNew!AN36-LauderOld!AN36)</f>
        <v/>
      </c>
      <c r="AO36" s="68" t="str">
        <f>IF(LauderNew!AO36-LauderOld!AO36=0,"",LauderNew!AO36-LauderOld!AO36)</f>
        <v/>
      </c>
      <c r="AP36" s="68" t="str">
        <f>IF(LauderNew!AP36-LauderOld!AP36=0,"",LauderNew!AP36-LauderOld!AP36)</f>
        <v/>
      </c>
      <c r="AQ36" s="68" t="str">
        <f>IF(LauderNew!AQ36-LauderOld!AQ36=0,"",LauderNew!AQ36-LauderOld!AQ36)</f>
        <v/>
      </c>
      <c r="AR36" s="68" t="str">
        <f>IF(LauderNew!AR36-LauderOld!AR36=0,"",LauderNew!AR36-LauderOld!AR36)</f>
        <v/>
      </c>
      <c r="AS36" s="68" t="str">
        <f>IF(LauderNew!AS36-LauderOld!AS36=0,"",LauderNew!AS36-LauderOld!AS36)</f>
        <v/>
      </c>
      <c r="AT36" s="68" t="str">
        <f>IF(LauderNew!AT36-LauderOld!AT36=0,"",LauderNew!AT36-LauderOld!AT36)</f>
        <v/>
      </c>
      <c r="AU36" s="68" t="str">
        <f>IF(LauderNew!AU36-LauderOld!AU36=0,"",LauderNew!AU36-LauderOld!AU36)</f>
        <v/>
      </c>
      <c r="AV36" s="68" t="str">
        <f>IF(LauderNew!AV36-LauderOld!AV36=0,"",LauderNew!AV36-LauderOld!AV36)</f>
        <v/>
      </c>
      <c r="AW36" s="68" t="str">
        <f>IF(LauderNew!AW36-LauderOld!AW36=0,"",LauderNew!AW36-LauderOld!AW36)</f>
        <v/>
      </c>
      <c r="AX36" s="68" t="str">
        <f>IF(LauderNew!AX36-LauderOld!AX36=0,"",LauderNew!AX36-LauderOld!AX36)</f>
        <v/>
      </c>
      <c r="AY36" s="68" t="str">
        <f>IF(LauderNew!AY36-LauderOld!AY36=0,"",LauderNew!AY36-LauderOld!AY36)</f>
        <v/>
      </c>
      <c r="AZ36" s="68" t="str">
        <f>IF(LauderNew!AZ36-LauderOld!AZ36=0,"",LauderNew!AZ36-LauderOld!AZ36)</f>
        <v/>
      </c>
      <c r="BA36" s="68" t="str">
        <f>IF(LauderNew!BA36-LauderOld!BA36=0,"",LauderNew!BA36-LauderOld!BA36)</f>
        <v/>
      </c>
      <c r="BB36" s="68" t="str">
        <f>IF(LauderNew!BB36-LauderOld!BB36=0,"",LauderNew!BB36-LauderOld!BB36)</f>
        <v/>
      </c>
      <c r="BC36" s="68" t="str">
        <f>IF(LauderNew!BC36-LauderOld!BC36=0,"",LauderNew!BC36-LauderOld!BC36)</f>
        <v/>
      </c>
      <c r="BD36" s="68" t="str">
        <f>IF(LauderNew!BD36-LauderOld!BD36=0,"",LauderNew!BD36-LauderOld!BD36)</f>
        <v/>
      </c>
    </row>
    <row r="37" spans="3:56" x14ac:dyDescent="0.25">
      <c r="C37" s="108"/>
      <c r="D37" s="41" t="s">
        <v>31</v>
      </c>
      <c r="E37" s="68" t="str">
        <f>IF(LauderNew!E37-LauderOld!E37=0,"",LauderNew!E37-LauderOld!E37)</f>
        <v/>
      </c>
      <c r="F37" s="68" t="str">
        <f>IF(LauderNew!F37-LauderOld!F37=0,"",LauderNew!F37-LauderOld!F37)</f>
        <v/>
      </c>
      <c r="G37" s="68" t="str">
        <f>IF(LauderNew!G37-LauderOld!G37=0,"",LauderNew!G37-LauderOld!G37)</f>
        <v/>
      </c>
      <c r="H37" s="68" t="str">
        <f>IF(LauderNew!H37-LauderOld!H37=0,"",LauderNew!H37-LauderOld!H37)</f>
        <v/>
      </c>
      <c r="I37" s="68" t="str">
        <f>IF(LauderNew!I37-LauderOld!I37=0,"",LauderNew!I37-LauderOld!I37)</f>
        <v/>
      </c>
      <c r="J37" s="68" t="str">
        <f>IF(LauderNew!J37-LauderOld!J37=0,"",LauderNew!J37-LauderOld!J37)</f>
        <v/>
      </c>
      <c r="K37" s="68" t="str">
        <f>IF(LauderNew!K37-LauderOld!K37=0,"",LauderNew!K37-LauderOld!K37)</f>
        <v/>
      </c>
      <c r="L37" s="68" t="str">
        <f>IF(LauderNew!L37-LauderOld!L37=0,"",LauderNew!L37-LauderOld!L37)</f>
        <v/>
      </c>
      <c r="M37" s="68" t="str">
        <f>IF(LauderNew!M37-LauderOld!M37=0,"",LauderNew!M37-LauderOld!M37)</f>
        <v/>
      </c>
      <c r="N37" s="68" t="str">
        <f>IF(LauderNew!N37-LauderOld!N37=0,"",LauderNew!N37-LauderOld!N37)</f>
        <v/>
      </c>
      <c r="O37" s="68" t="str">
        <f>IF(LauderNew!O37-LauderOld!O37=0,"",LauderNew!O37-LauderOld!O37)</f>
        <v/>
      </c>
      <c r="P37" s="68" t="str">
        <f>IF(LauderNew!P37-LauderOld!P37=0,"",LauderNew!P37-LauderOld!P37)</f>
        <v/>
      </c>
      <c r="Q37" s="68" t="str">
        <f>IF(LauderNew!Q37-LauderOld!Q37=0,"",LauderNew!Q37-LauderOld!Q37)</f>
        <v/>
      </c>
      <c r="R37" s="68" t="str">
        <f>IF(LauderNew!R37-LauderOld!R37=0,"",LauderNew!R37-LauderOld!R37)</f>
        <v/>
      </c>
      <c r="S37" s="68" t="str">
        <f>IF(LauderNew!S37-LauderOld!S37=0,"",LauderNew!S37-LauderOld!S37)</f>
        <v/>
      </c>
      <c r="T37" s="68" t="str">
        <f>IF(LauderNew!T37-LauderOld!T37=0,"",LauderNew!T37-LauderOld!T37)</f>
        <v/>
      </c>
      <c r="U37" s="68" t="str">
        <f>IF(LauderNew!U37-LauderOld!U37=0,"",LauderNew!U37-LauderOld!U37)</f>
        <v/>
      </c>
      <c r="V37" s="68" t="str">
        <f>IF(LauderNew!V37-LauderOld!V37=0,"",LauderNew!V37-LauderOld!V37)</f>
        <v/>
      </c>
      <c r="W37" s="68" t="str">
        <f>IF(LauderNew!W37-LauderOld!W37=0,"",LauderNew!W37-LauderOld!W37)</f>
        <v/>
      </c>
      <c r="X37" s="68" t="str">
        <f>IF(LauderNew!X37-LauderOld!X37=0,"",LauderNew!X37-LauderOld!X37)</f>
        <v/>
      </c>
      <c r="Y37" s="68" t="str">
        <f>IF(LauderNew!Y37-LauderOld!Y37=0,"",LauderNew!Y37-LauderOld!Y37)</f>
        <v/>
      </c>
      <c r="Z37" s="68" t="str">
        <f>IF(LauderNew!Z37-LauderOld!Z37=0,"",LauderNew!Z37-LauderOld!Z37)</f>
        <v/>
      </c>
      <c r="AA37" s="68" t="str">
        <f>IF(LauderNew!AA37-LauderOld!AA37=0,"",LauderNew!AA37-LauderOld!AA37)</f>
        <v/>
      </c>
      <c r="AB37" s="68" t="str">
        <f>IF(LauderNew!AB37-LauderOld!AB37=0,"",LauderNew!AB37-LauderOld!AB37)</f>
        <v/>
      </c>
      <c r="AC37" s="68" t="str">
        <f>IF(LauderNew!AC37-LauderOld!AC37=0,"",LauderNew!AC37-LauderOld!AC37)</f>
        <v/>
      </c>
      <c r="AD37" s="68" t="str">
        <f>IF(LauderNew!AD37-LauderOld!AD37=0,"",LauderNew!AD37-LauderOld!AD37)</f>
        <v/>
      </c>
      <c r="AE37" s="68" t="str">
        <f>IF(LauderNew!AE37-LauderOld!AE37=0,"",LauderNew!AE37-LauderOld!AE37)</f>
        <v/>
      </c>
      <c r="AF37" s="68" t="str">
        <f>IF(LauderNew!AF37-LauderOld!AF37=0,"",LauderNew!AF37-LauderOld!AF37)</f>
        <v/>
      </c>
      <c r="AG37" s="68" t="str">
        <f>IF(LauderNew!AG37-LauderOld!AG37=0,"",LauderNew!AG37-LauderOld!AG37)</f>
        <v/>
      </c>
      <c r="AH37" s="68" t="str">
        <f>IF(LauderNew!AH37-LauderOld!AH37=0,"",LauderNew!AH37-LauderOld!AH37)</f>
        <v/>
      </c>
      <c r="AI37" s="68" t="str">
        <f>IF(LauderNew!AI37-LauderOld!AI37=0,"",LauderNew!AI37-LauderOld!AI37)</f>
        <v/>
      </c>
      <c r="AJ37" s="68" t="str">
        <f>IF(LauderNew!AJ37-LauderOld!AJ37=0,"",LauderNew!AJ37-LauderOld!AJ37)</f>
        <v/>
      </c>
      <c r="AK37" s="68" t="str">
        <f>IF(LauderNew!AK37-LauderOld!AK37=0,"",LauderNew!AK37-LauderOld!AK37)</f>
        <v/>
      </c>
      <c r="AL37" s="68" t="str">
        <f>IF(LauderNew!AL37-LauderOld!AL37=0,"",LauderNew!AL37-LauderOld!AL37)</f>
        <v/>
      </c>
      <c r="AM37" s="68" t="str">
        <f>IF(LauderNew!AM37-LauderOld!AM37=0,"",LauderNew!AM37-LauderOld!AM37)</f>
        <v/>
      </c>
      <c r="AN37" s="68" t="str">
        <f>IF(LauderNew!AN37-LauderOld!AN37=0,"",LauderNew!AN37-LauderOld!AN37)</f>
        <v/>
      </c>
      <c r="AO37" s="68" t="str">
        <f>IF(LauderNew!AO37-LauderOld!AO37=0,"",LauderNew!AO37-LauderOld!AO37)</f>
        <v/>
      </c>
      <c r="AP37" s="68" t="str">
        <f>IF(LauderNew!AP37-LauderOld!AP37=0,"",LauderNew!AP37-LauderOld!AP37)</f>
        <v/>
      </c>
      <c r="AQ37" s="68" t="str">
        <f>IF(LauderNew!AQ37-LauderOld!AQ37=0,"",LauderNew!AQ37-LauderOld!AQ37)</f>
        <v/>
      </c>
      <c r="AR37" s="68" t="str">
        <f>IF(LauderNew!AR37-LauderOld!AR37=0,"",LauderNew!AR37-LauderOld!AR37)</f>
        <v/>
      </c>
      <c r="AS37" s="68" t="str">
        <f>IF(LauderNew!AS37-LauderOld!AS37=0,"",LauderNew!AS37-LauderOld!AS37)</f>
        <v/>
      </c>
      <c r="AT37" s="68" t="str">
        <f>IF(LauderNew!AT37-LauderOld!AT37=0,"",LauderNew!AT37-LauderOld!AT37)</f>
        <v/>
      </c>
      <c r="AU37" s="68" t="str">
        <f>IF(LauderNew!AU37-LauderOld!AU37=0,"",LauderNew!AU37-LauderOld!AU37)</f>
        <v/>
      </c>
      <c r="AV37" s="68" t="str">
        <f>IF(LauderNew!AV37-LauderOld!AV37=0,"",LauderNew!AV37-LauderOld!AV37)</f>
        <v/>
      </c>
      <c r="AW37" s="68" t="str">
        <f>IF(LauderNew!AW37-LauderOld!AW37=0,"",LauderNew!AW37-LauderOld!AW37)</f>
        <v/>
      </c>
      <c r="AX37" s="68" t="str">
        <f>IF(LauderNew!AX37-LauderOld!AX37=0,"",LauderNew!AX37-LauderOld!AX37)</f>
        <v/>
      </c>
      <c r="AY37" s="68" t="str">
        <f>IF(LauderNew!AY37-LauderOld!AY37=0,"",LauderNew!AY37-LauderOld!AY37)</f>
        <v/>
      </c>
      <c r="AZ37" s="68" t="str">
        <f>IF(LauderNew!AZ37-LauderOld!AZ37=0,"",LauderNew!AZ37-LauderOld!AZ37)</f>
        <v/>
      </c>
      <c r="BA37" s="68" t="str">
        <f>IF(LauderNew!BA37-LauderOld!BA37=0,"",LauderNew!BA37-LauderOld!BA37)</f>
        <v/>
      </c>
      <c r="BB37" s="68" t="str">
        <f>IF(LauderNew!BB37-LauderOld!BB37=0,"",LauderNew!BB37-LauderOld!BB37)</f>
        <v/>
      </c>
      <c r="BC37" s="68" t="str">
        <f>IF(LauderNew!BC37-LauderOld!BC37=0,"",LauderNew!BC37-LauderOld!BC37)</f>
        <v/>
      </c>
      <c r="BD37" s="68" t="str">
        <f>IF(LauderNew!BD37-LauderOld!BD37=0,"",LauderNew!BD37-LauderOld!BD37)</f>
        <v/>
      </c>
    </row>
    <row r="38" spans="3:56" x14ac:dyDescent="0.25">
      <c r="C38" s="108"/>
      <c r="D38" s="41" t="s">
        <v>33</v>
      </c>
      <c r="E38" s="83" t="str">
        <f>IFERROR((E34*E35)/3600/40/E36/(1-E37),"")</f>
        <v/>
      </c>
      <c r="F38" s="83" t="str">
        <f t="shared" ref="F38:T38" si="9">IFERROR((F34*F35)/3600/40/F36/(1-F37),"")</f>
        <v/>
      </c>
      <c r="G38" s="83" t="str">
        <f t="shared" si="9"/>
        <v/>
      </c>
      <c r="H38" s="83" t="str">
        <f t="shared" si="9"/>
        <v/>
      </c>
      <c r="I38" s="83" t="str">
        <f t="shared" si="9"/>
        <v/>
      </c>
      <c r="J38" s="83" t="str">
        <f t="shared" si="9"/>
        <v/>
      </c>
      <c r="K38" s="83" t="str">
        <f t="shared" si="9"/>
        <v/>
      </c>
      <c r="L38" s="83" t="str">
        <f t="shared" si="9"/>
        <v/>
      </c>
      <c r="M38" s="83" t="str">
        <f t="shared" si="9"/>
        <v/>
      </c>
      <c r="N38" s="83" t="str">
        <f t="shared" si="9"/>
        <v/>
      </c>
      <c r="O38" s="83" t="str">
        <f t="shared" si="9"/>
        <v/>
      </c>
      <c r="P38" s="83" t="str">
        <f t="shared" si="9"/>
        <v/>
      </c>
      <c r="Q38" s="83" t="str">
        <f t="shared" si="9"/>
        <v/>
      </c>
      <c r="R38" s="83" t="str">
        <f t="shared" si="9"/>
        <v/>
      </c>
      <c r="S38" s="83" t="str">
        <f t="shared" si="9"/>
        <v/>
      </c>
      <c r="T38" s="83" t="str">
        <f t="shared" si="9"/>
        <v/>
      </c>
      <c r="U38" s="83" t="str">
        <f>IF(LauderNew!U38-LauderOld!U38=0,"",LauderNew!U38-LauderOld!U38)</f>
        <v/>
      </c>
      <c r="V38" s="83" t="str">
        <f>IF(LauderNew!V38-LauderOld!V38=0,"",LauderNew!V38-LauderOld!V38)</f>
        <v/>
      </c>
      <c r="W38" s="83" t="str">
        <f>IF(LauderNew!W38-LauderOld!W38=0,"",LauderNew!W38-LauderOld!W38)</f>
        <v/>
      </c>
      <c r="X38" s="83" t="str">
        <f>IF(LauderNew!X38-LauderOld!X38=0,"",LauderNew!X38-LauderOld!X38)</f>
        <v/>
      </c>
      <c r="Y38" s="83" t="str">
        <f>IF(LauderNew!Y38-LauderOld!Y38=0,"",LauderNew!Y38-LauderOld!Y38)</f>
        <v/>
      </c>
      <c r="Z38" s="83" t="str">
        <f>IF(LauderNew!Z38-LauderOld!Z38=0,"",LauderNew!Z38-LauderOld!Z38)</f>
        <v/>
      </c>
      <c r="AA38" s="83" t="str">
        <f>IF(LauderNew!AA38-LauderOld!AA38=0,"",LauderNew!AA38-LauderOld!AA38)</f>
        <v/>
      </c>
      <c r="AB38" s="83" t="str">
        <f>IF(LauderNew!AB38-LauderOld!AB38=0,"",LauderNew!AB38-LauderOld!AB38)</f>
        <v/>
      </c>
      <c r="AC38" s="83" t="str">
        <f>IF(LauderNew!AC38-LauderOld!AC38=0,"",LauderNew!AC38-LauderOld!AC38)</f>
        <v/>
      </c>
      <c r="AD38" s="83" t="str">
        <f>IF(LauderNew!AD38-LauderOld!AD38=0,"",LauderNew!AD38-LauderOld!AD38)</f>
        <v/>
      </c>
      <c r="AE38" s="83" t="str">
        <f>IF(LauderNew!AE38-LauderOld!AE38=0,"",LauderNew!AE38-LauderOld!AE38)</f>
        <v/>
      </c>
      <c r="AF38" s="83" t="str">
        <f>IF(LauderNew!AF38-LauderOld!AF38=0,"",LauderNew!AF38-LauderOld!AF38)</f>
        <v/>
      </c>
      <c r="AG38" s="83" t="str">
        <f>IF(LauderNew!AG38-LauderOld!AG38=0,"",LauderNew!AG38-LauderOld!AG38)</f>
        <v/>
      </c>
      <c r="AH38" s="83" t="str">
        <f>IF(LauderNew!AH38-LauderOld!AH38=0,"",LauderNew!AH38-LauderOld!AH38)</f>
        <v/>
      </c>
      <c r="AI38" s="83" t="str">
        <f>IF(LauderNew!AI38-LauderOld!AI38=0,"",LauderNew!AI38-LauderOld!AI38)</f>
        <v/>
      </c>
      <c r="AJ38" s="83" t="str">
        <f>IF(LauderNew!AJ38-LauderOld!AJ38=0,"",LauderNew!AJ38-LauderOld!AJ38)</f>
        <v/>
      </c>
      <c r="AK38" s="83" t="str">
        <f>IF(LauderNew!AK38-LauderOld!AK38=0,"",LauderNew!AK38-LauderOld!AK38)</f>
        <v/>
      </c>
      <c r="AL38" s="83" t="str">
        <f>IF(LauderNew!AL38-LauderOld!AL38=0,"",LauderNew!AL38-LauderOld!AL38)</f>
        <v/>
      </c>
      <c r="AM38" s="83" t="str">
        <f>IF(LauderNew!AM38-LauderOld!AM38=0,"",LauderNew!AM38-LauderOld!AM38)</f>
        <v/>
      </c>
      <c r="AN38" s="83" t="str">
        <f>IF(LauderNew!AN38-LauderOld!AN38=0,"",LauderNew!AN38-LauderOld!AN38)</f>
        <v/>
      </c>
      <c r="AO38" s="83" t="str">
        <f>IF(LauderNew!AO38-LauderOld!AO38=0,"",LauderNew!AO38-LauderOld!AO38)</f>
        <v/>
      </c>
      <c r="AP38" s="83" t="str">
        <f>IF(LauderNew!AP38-LauderOld!AP38=0,"",LauderNew!AP38-LauderOld!AP38)</f>
        <v/>
      </c>
      <c r="AQ38" s="83" t="str">
        <f>IF(LauderNew!AQ38-LauderOld!AQ38=0,"",LauderNew!AQ38-LauderOld!AQ38)</f>
        <v/>
      </c>
      <c r="AR38" s="83" t="str">
        <f>IF(LauderNew!AR38-LauderOld!AR38=0,"",LauderNew!AR38-LauderOld!AR38)</f>
        <v/>
      </c>
      <c r="AS38" s="83" t="str">
        <f>IF(LauderNew!AS38-LauderOld!AS38=0,"",LauderNew!AS38-LauderOld!AS38)</f>
        <v/>
      </c>
      <c r="AT38" s="83" t="str">
        <f>IF(LauderNew!AT38-LauderOld!AT38=0,"",LauderNew!AT38-LauderOld!AT38)</f>
        <v/>
      </c>
      <c r="AU38" s="83" t="str">
        <f>IF(LauderNew!AU38-LauderOld!AU38=0,"",LauderNew!AU38-LauderOld!AU38)</f>
        <v/>
      </c>
      <c r="AV38" s="83" t="str">
        <f>IF(LauderNew!AV38-LauderOld!AV38=0,"",LauderNew!AV38-LauderOld!AV38)</f>
        <v/>
      </c>
      <c r="AW38" s="83" t="str">
        <f>IF(LauderNew!AW38-LauderOld!AW38=0,"",LauderNew!AW38-LauderOld!AW38)</f>
        <v/>
      </c>
      <c r="AX38" s="83" t="str">
        <f>IF(LauderNew!AX38-LauderOld!AX38=0,"",LauderNew!AX38-LauderOld!AX38)</f>
        <v/>
      </c>
      <c r="AY38" s="83" t="str">
        <f>IF(LauderNew!AY38-LauderOld!AY38=0,"",LauderNew!AY38-LauderOld!AY38)</f>
        <v/>
      </c>
      <c r="AZ38" s="83" t="str">
        <f>IF(LauderNew!AZ38-LauderOld!AZ38=0,"",LauderNew!AZ38-LauderOld!AZ38)</f>
        <v/>
      </c>
      <c r="BA38" s="83" t="str">
        <f>IF(LauderNew!BA38-LauderOld!BA38=0,"",LauderNew!BA38-LauderOld!BA38)</f>
        <v/>
      </c>
      <c r="BB38" s="83" t="str">
        <f>IF(LauderNew!BB38-LauderOld!BB38=0,"",LauderNew!BB38-LauderOld!BB38)</f>
        <v/>
      </c>
      <c r="BC38" s="83" t="str">
        <f>IF(LauderNew!BC38-LauderOld!BC38=0,"",LauderNew!BC38-LauderOld!BC38)</f>
        <v/>
      </c>
      <c r="BD38" s="83" t="str">
        <f>IF(LauderNew!BD38-LauderOld!BD38=0,"",LauderNew!BD38-LauderOld!BD38)</f>
        <v/>
      </c>
    </row>
    <row r="39" spans="3:56" x14ac:dyDescent="0.25">
      <c r="C39" s="108"/>
      <c r="E39" s="42"/>
      <c r="F39" s="42"/>
      <c r="G39" s="42"/>
      <c r="H39" s="42"/>
      <c r="I39" s="42"/>
      <c r="J39" s="42"/>
      <c r="K39" s="42"/>
      <c r="L39" s="42"/>
      <c r="M39" s="42"/>
    </row>
    <row r="40" spans="3:56" x14ac:dyDescent="0.25">
      <c r="C40" s="108"/>
      <c r="D40" s="49" t="s">
        <v>34</v>
      </c>
      <c r="E40" s="65" t="str">
        <f>IF(LauderNew!E40-LauderOld!E40=0,"",LauderNew!E40-LauderOld!E40)</f>
        <v/>
      </c>
      <c r="F40" s="65" t="str">
        <f>IF(LauderNew!F40-LauderOld!F40=0,"",LauderNew!F40-LauderOld!F40)</f>
        <v/>
      </c>
      <c r="G40" s="65" t="str">
        <f>IF(LauderNew!G40-LauderOld!G40=0,"",LauderNew!G40-LauderOld!G40)</f>
        <v/>
      </c>
      <c r="H40" s="65" t="str">
        <f>IF(LauderNew!H40-LauderOld!H40=0,"",LauderNew!H40-LauderOld!H40)</f>
        <v/>
      </c>
      <c r="I40" s="65" t="str">
        <f>IF(LauderNew!I40-LauderOld!I40=0,"",LauderNew!I40-LauderOld!I40)</f>
        <v/>
      </c>
      <c r="J40" s="65" t="str">
        <f>IF(LauderNew!J40-LauderOld!J40=0,"",LauderNew!J40-LauderOld!J40)</f>
        <v/>
      </c>
      <c r="K40" s="65" t="str">
        <f>IF(LauderNew!K40-LauderOld!K40=0,"",LauderNew!K40-LauderOld!K40)</f>
        <v/>
      </c>
      <c r="L40" s="65" t="str">
        <f>IF(LauderNew!L40-LauderOld!L40=0,"",LauderNew!L40-LauderOld!L40)</f>
        <v/>
      </c>
      <c r="M40" s="65" t="str">
        <f>IF(LauderNew!M40-LauderOld!M40=0,"",LauderNew!M40-LauderOld!M40)</f>
        <v/>
      </c>
      <c r="N40" s="65" t="str">
        <f>IF(LauderNew!N40-LauderOld!N40=0,"",LauderNew!N40-LauderOld!N40)</f>
        <v/>
      </c>
      <c r="O40" s="65" t="str">
        <f>IF(LauderNew!O40-LauderOld!O40=0,"",LauderNew!O40-LauderOld!O40)</f>
        <v/>
      </c>
      <c r="P40" s="65" t="str">
        <f>IF(LauderNew!P40-LauderOld!P40=0,"",LauderNew!P40-LauderOld!P40)</f>
        <v/>
      </c>
      <c r="Q40" s="65" t="str">
        <f>IF(LauderNew!Q40-LauderOld!Q40=0,"",LauderNew!Q40-LauderOld!Q40)</f>
        <v/>
      </c>
      <c r="R40" s="65" t="str">
        <f>IF(LauderNew!R40-LauderOld!R40=0,"",LauderNew!R40-LauderOld!R40)</f>
        <v/>
      </c>
      <c r="S40" s="65" t="str">
        <f>IF(LauderNew!S40-LauderOld!S40=0,"",LauderNew!S40-LauderOld!S40)</f>
        <v/>
      </c>
      <c r="T40" s="65" t="str">
        <f>IF(LauderNew!T40-LauderOld!T40=0,"",LauderNew!T40-LauderOld!T40)</f>
        <v/>
      </c>
      <c r="U40" s="65" t="str">
        <f>IF(LauderNew!U40-LauderOld!U40=0,"",LauderNew!U40-LauderOld!U40)</f>
        <v/>
      </c>
      <c r="V40" s="65" t="str">
        <f>IF(LauderNew!V40-LauderOld!V40=0,"",LauderNew!V40-LauderOld!V40)</f>
        <v/>
      </c>
      <c r="W40" s="65" t="str">
        <f>IF(LauderNew!W40-LauderOld!W40=0,"",LauderNew!W40-LauderOld!W40)</f>
        <v/>
      </c>
      <c r="X40" s="65" t="str">
        <f>IF(LauderNew!X40-LauderOld!X40=0,"",LauderNew!X40-LauderOld!X40)</f>
        <v/>
      </c>
      <c r="Y40" s="65" t="str">
        <f>IF(LauderNew!Y40-LauderOld!Y40=0,"",LauderNew!Y40-LauderOld!Y40)</f>
        <v/>
      </c>
      <c r="Z40" s="65" t="str">
        <f>IF(LauderNew!Z40-LauderOld!Z40=0,"",LauderNew!Z40-LauderOld!Z40)</f>
        <v/>
      </c>
      <c r="AA40" s="65" t="str">
        <f>IF(LauderNew!AA40-LauderOld!AA40=0,"",LauderNew!AA40-LauderOld!AA40)</f>
        <v/>
      </c>
      <c r="AB40" s="65" t="str">
        <f>IF(LauderNew!AB40-LauderOld!AB40=0,"",LauderNew!AB40-LauderOld!AB40)</f>
        <v/>
      </c>
      <c r="AC40" s="65" t="str">
        <f>IF(LauderNew!AC40-LauderOld!AC40=0,"",LauderNew!AC40-LauderOld!AC40)</f>
        <v/>
      </c>
      <c r="AD40" s="65" t="str">
        <f>IF(LauderNew!AD40-LauderOld!AD40=0,"",LauderNew!AD40-LauderOld!AD40)</f>
        <v/>
      </c>
      <c r="AE40" s="65" t="str">
        <f>IF(LauderNew!AE40-LauderOld!AE40=0,"",LauderNew!AE40-LauderOld!AE40)</f>
        <v/>
      </c>
      <c r="AF40" s="65" t="str">
        <f>IF(LauderNew!AF40-LauderOld!AF40=0,"",LauderNew!AF40-LauderOld!AF40)</f>
        <v/>
      </c>
      <c r="AG40" s="65" t="str">
        <f>IF(LauderNew!AG40-LauderOld!AG40=0,"",LauderNew!AG40-LauderOld!AG40)</f>
        <v/>
      </c>
      <c r="AH40" s="65" t="str">
        <f>IF(LauderNew!AH40-LauderOld!AH40=0,"",LauderNew!AH40-LauderOld!AH40)</f>
        <v/>
      </c>
      <c r="AI40" s="65" t="str">
        <f>IF(LauderNew!AI40-LauderOld!AI40=0,"",LauderNew!AI40-LauderOld!AI40)</f>
        <v/>
      </c>
      <c r="AJ40" s="65" t="str">
        <f>IF(LauderNew!AJ40-LauderOld!AJ40=0,"",LauderNew!AJ40-LauderOld!AJ40)</f>
        <v/>
      </c>
      <c r="AK40" s="65" t="str">
        <f>IF(LauderNew!AK40-LauderOld!AK40=0,"",LauderNew!AK40-LauderOld!AK40)</f>
        <v/>
      </c>
      <c r="AL40" s="65" t="str">
        <f>IF(LauderNew!AL40-LauderOld!AL40=0,"",LauderNew!AL40-LauderOld!AL40)</f>
        <v/>
      </c>
      <c r="AM40" s="65" t="str">
        <f>IF(LauderNew!AM40-LauderOld!AM40=0,"",LauderNew!AM40-LauderOld!AM40)</f>
        <v/>
      </c>
      <c r="AN40" s="65" t="str">
        <f>IF(LauderNew!AN40-LauderOld!AN40=0,"",LauderNew!AN40-LauderOld!AN40)</f>
        <v/>
      </c>
      <c r="AO40" s="65" t="str">
        <f>IF(LauderNew!AO40-LauderOld!AO40=0,"",LauderNew!AO40-LauderOld!AO40)</f>
        <v/>
      </c>
      <c r="AP40" s="65" t="str">
        <f>IF(LauderNew!AP40-LauderOld!AP40=0,"",LauderNew!AP40-LauderOld!AP40)</f>
        <v/>
      </c>
      <c r="AQ40" s="65" t="str">
        <f>IF(LauderNew!AQ40-LauderOld!AQ40=0,"",LauderNew!AQ40-LauderOld!AQ40)</f>
        <v/>
      </c>
      <c r="AR40" s="65" t="str">
        <f>IF(LauderNew!AR40-LauderOld!AR40=0,"",LauderNew!AR40-LauderOld!AR40)</f>
        <v/>
      </c>
      <c r="AS40" s="65" t="str">
        <f>IF(LauderNew!AS40-LauderOld!AS40=0,"",LauderNew!AS40-LauderOld!AS40)</f>
        <v/>
      </c>
      <c r="AT40" s="65" t="str">
        <f>IF(LauderNew!AT40-LauderOld!AT40=0,"",LauderNew!AT40-LauderOld!AT40)</f>
        <v/>
      </c>
      <c r="AU40" s="65" t="str">
        <f>IF(LauderNew!AU40-LauderOld!AU40=0,"",LauderNew!AU40-LauderOld!AU40)</f>
        <v/>
      </c>
      <c r="AV40" s="65" t="str">
        <f>IF(LauderNew!AV40-LauderOld!AV40=0,"",LauderNew!AV40-LauderOld!AV40)</f>
        <v/>
      </c>
      <c r="AW40" s="65" t="str">
        <f>IF(LauderNew!AW40-LauderOld!AW40=0,"",LauderNew!AW40-LauderOld!AW40)</f>
        <v/>
      </c>
      <c r="AX40" s="65" t="str">
        <f>IF(LauderNew!AX40-LauderOld!AX40=0,"",LauderNew!AX40-LauderOld!AX40)</f>
        <v/>
      </c>
      <c r="AY40" s="65" t="str">
        <f>IF(LauderNew!AY40-LauderOld!AY40=0,"",LauderNew!AY40-LauderOld!AY40)</f>
        <v/>
      </c>
      <c r="AZ40" s="65" t="str">
        <f>IF(LauderNew!AZ40-LauderOld!AZ40=0,"",LauderNew!AZ40-LauderOld!AZ40)</f>
        <v/>
      </c>
      <c r="BA40" s="65" t="str">
        <f>IF(LauderNew!BA40-LauderOld!BA40=0,"",LauderNew!BA40-LauderOld!BA40)</f>
        <v/>
      </c>
      <c r="BB40" s="65" t="str">
        <f>IF(LauderNew!BB40-LauderOld!BB40=0,"",LauderNew!BB40-LauderOld!BB40)</f>
        <v/>
      </c>
      <c r="BC40" s="65" t="str">
        <f>IF(LauderNew!BC40-LauderOld!BC40=0,"",LauderNew!BC40-LauderOld!BC40)</f>
        <v/>
      </c>
      <c r="BD40" s="65" t="str">
        <f>IF(LauderNew!BD40-LauderOld!BD40=0,"",LauderNew!BD40-LauderOld!BD40)</f>
        <v/>
      </c>
    </row>
    <row r="41" spans="3:56" x14ac:dyDescent="0.25">
      <c r="C41" s="108"/>
      <c r="D41" s="49" t="s">
        <v>35</v>
      </c>
      <c r="E41" s="65" t="str">
        <f>IF(LauderNew!E41-LauderOld!E41=0,"",LauderNew!E41-LauderOld!E41)</f>
        <v/>
      </c>
      <c r="F41" s="65" t="str">
        <f>IF(LauderNew!F41-LauderOld!F41=0,"",LauderNew!F41-LauderOld!F41)</f>
        <v/>
      </c>
      <c r="G41" s="65" t="str">
        <f>IF(LauderNew!G41-LauderOld!G41=0,"",LauderNew!G41-LauderOld!G41)</f>
        <v/>
      </c>
      <c r="H41" s="65" t="str">
        <f>IF(LauderNew!H41-LauderOld!H41=0,"",LauderNew!H41-LauderOld!H41)</f>
        <v/>
      </c>
      <c r="I41" s="65" t="str">
        <f>IF(LauderNew!I41-LauderOld!I41=0,"",LauderNew!I41-LauderOld!I41)</f>
        <v/>
      </c>
      <c r="J41" s="65" t="str">
        <f>IF(LauderNew!J41-LauderOld!J41=0,"",LauderNew!J41-LauderOld!J41)</f>
        <v/>
      </c>
      <c r="K41" s="65" t="str">
        <f>IF(LauderNew!K41-LauderOld!K41=0,"",LauderNew!K41-LauderOld!K41)</f>
        <v/>
      </c>
      <c r="L41" s="65" t="str">
        <f>IF(LauderNew!L41-LauderOld!L41=0,"",LauderNew!L41-LauderOld!L41)</f>
        <v/>
      </c>
      <c r="M41" s="65" t="str">
        <f>IF(LauderNew!M41-LauderOld!M41=0,"",LauderNew!M41-LauderOld!M41)</f>
        <v/>
      </c>
      <c r="N41" s="65" t="str">
        <f>IF(LauderNew!N41-LauderOld!N41=0,"",LauderNew!N41-LauderOld!N41)</f>
        <v/>
      </c>
      <c r="O41" s="65" t="str">
        <f>IF(LauderNew!O41-LauderOld!O41=0,"",LauderNew!O41-LauderOld!O41)</f>
        <v/>
      </c>
      <c r="P41" s="65" t="str">
        <f>IF(LauderNew!P41-LauderOld!P41=0,"",LauderNew!P41-LauderOld!P41)</f>
        <v/>
      </c>
      <c r="Q41" s="65" t="str">
        <f>IF(LauderNew!Q41-LauderOld!Q41=0,"",LauderNew!Q41-LauderOld!Q41)</f>
        <v/>
      </c>
      <c r="R41" s="65" t="str">
        <f>IF(LauderNew!R41-LauderOld!R41=0,"",LauderNew!R41-LauderOld!R41)</f>
        <v/>
      </c>
      <c r="S41" s="65" t="str">
        <f>IF(LauderNew!S41-LauderOld!S41=0,"",LauderNew!S41-LauderOld!S41)</f>
        <v/>
      </c>
      <c r="T41" s="65" t="str">
        <f>IF(LauderNew!T41-LauderOld!T41=0,"",LauderNew!T41-LauderOld!T41)</f>
        <v/>
      </c>
      <c r="U41" s="65" t="str">
        <f>IF(LauderNew!U41-LauderOld!U41=0,"",LauderNew!U41-LauderOld!U41)</f>
        <v/>
      </c>
      <c r="V41" s="65" t="str">
        <f>IF(LauderNew!V41-LauderOld!V41=0,"",LauderNew!V41-LauderOld!V41)</f>
        <v/>
      </c>
      <c r="W41" s="65" t="str">
        <f>IF(LauderNew!W41-LauderOld!W41=0,"",LauderNew!W41-LauderOld!W41)</f>
        <v/>
      </c>
      <c r="X41" s="65" t="str">
        <f>IF(LauderNew!X41-LauderOld!X41=0,"",LauderNew!X41-LauderOld!X41)</f>
        <v/>
      </c>
      <c r="Y41" s="65" t="str">
        <f>IF(LauderNew!Y41-LauderOld!Y41=0,"",LauderNew!Y41-LauderOld!Y41)</f>
        <v/>
      </c>
      <c r="Z41" s="65" t="str">
        <f>IF(LauderNew!Z41-LauderOld!Z41=0,"",LauderNew!Z41-LauderOld!Z41)</f>
        <v/>
      </c>
      <c r="AA41" s="65" t="str">
        <f>IF(LauderNew!AA41-LauderOld!AA41=0,"",LauderNew!AA41-LauderOld!AA41)</f>
        <v/>
      </c>
      <c r="AB41" s="65" t="str">
        <f>IF(LauderNew!AB41-LauderOld!AB41=0,"",LauderNew!AB41-LauderOld!AB41)</f>
        <v/>
      </c>
      <c r="AC41" s="65" t="str">
        <f>IF(LauderNew!AC41-LauderOld!AC41=0,"",LauderNew!AC41-LauderOld!AC41)</f>
        <v/>
      </c>
      <c r="AD41" s="65" t="str">
        <f>IF(LauderNew!AD41-LauderOld!AD41=0,"",LauderNew!AD41-LauderOld!AD41)</f>
        <v/>
      </c>
      <c r="AE41" s="65" t="str">
        <f>IF(LauderNew!AE41-LauderOld!AE41=0,"",LauderNew!AE41-LauderOld!AE41)</f>
        <v/>
      </c>
      <c r="AF41" s="65" t="str">
        <f>IF(LauderNew!AF41-LauderOld!AF41=0,"",LauderNew!AF41-LauderOld!AF41)</f>
        <v/>
      </c>
      <c r="AG41" s="65" t="str">
        <f>IF(LauderNew!AG41-LauderOld!AG41=0,"",LauderNew!AG41-LauderOld!AG41)</f>
        <v/>
      </c>
      <c r="AH41" s="65" t="str">
        <f>IF(LauderNew!AH41-LauderOld!AH41=0,"",LauderNew!AH41-LauderOld!AH41)</f>
        <v/>
      </c>
      <c r="AI41" s="65" t="str">
        <f>IF(LauderNew!AI41-LauderOld!AI41=0,"",LauderNew!AI41-LauderOld!AI41)</f>
        <v/>
      </c>
      <c r="AJ41" s="65" t="str">
        <f>IF(LauderNew!AJ41-LauderOld!AJ41=0,"",LauderNew!AJ41-LauderOld!AJ41)</f>
        <v/>
      </c>
      <c r="AK41" s="65" t="str">
        <f>IF(LauderNew!AK41-LauderOld!AK41=0,"",LauderNew!AK41-LauderOld!AK41)</f>
        <v/>
      </c>
      <c r="AL41" s="65" t="str">
        <f>IF(LauderNew!AL41-LauderOld!AL41=0,"",LauderNew!AL41-LauderOld!AL41)</f>
        <v/>
      </c>
      <c r="AM41" s="65" t="str">
        <f>IF(LauderNew!AM41-LauderOld!AM41=0,"",LauderNew!AM41-LauderOld!AM41)</f>
        <v/>
      </c>
      <c r="AN41" s="65" t="str">
        <f>IF(LauderNew!AN41-LauderOld!AN41=0,"",LauderNew!AN41-LauderOld!AN41)</f>
        <v/>
      </c>
      <c r="AO41" s="65" t="str">
        <f>IF(LauderNew!AO41-LauderOld!AO41=0,"",LauderNew!AO41-LauderOld!AO41)</f>
        <v/>
      </c>
      <c r="AP41" s="65" t="str">
        <f>IF(LauderNew!AP41-LauderOld!AP41=0,"",LauderNew!AP41-LauderOld!AP41)</f>
        <v/>
      </c>
      <c r="AQ41" s="65" t="str">
        <f>IF(LauderNew!AQ41-LauderOld!AQ41=0,"",LauderNew!AQ41-LauderOld!AQ41)</f>
        <v/>
      </c>
      <c r="AR41" s="65" t="str">
        <f>IF(LauderNew!AR41-LauderOld!AR41=0,"",LauderNew!AR41-LauderOld!AR41)</f>
        <v/>
      </c>
      <c r="AS41" s="65" t="str">
        <f>IF(LauderNew!AS41-LauderOld!AS41=0,"",LauderNew!AS41-LauderOld!AS41)</f>
        <v/>
      </c>
      <c r="AT41" s="65" t="str">
        <f>IF(LauderNew!AT41-LauderOld!AT41=0,"",LauderNew!AT41-LauderOld!AT41)</f>
        <v/>
      </c>
      <c r="AU41" s="65" t="str">
        <f>IF(LauderNew!AU41-LauderOld!AU41=0,"",LauderNew!AU41-LauderOld!AU41)</f>
        <v/>
      </c>
      <c r="AV41" s="65" t="str">
        <f>IF(LauderNew!AV41-LauderOld!AV41=0,"",LauderNew!AV41-LauderOld!AV41)</f>
        <v/>
      </c>
      <c r="AW41" s="65" t="str">
        <f>IF(LauderNew!AW41-LauderOld!AW41=0,"",LauderNew!AW41-LauderOld!AW41)</f>
        <v/>
      </c>
      <c r="AX41" s="65" t="str">
        <f>IF(LauderNew!AX41-LauderOld!AX41=0,"",LauderNew!AX41-LauderOld!AX41)</f>
        <v/>
      </c>
      <c r="AY41" s="65" t="str">
        <f>IF(LauderNew!AY41-LauderOld!AY41=0,"",LauderNew!AY41-LauderOld!AY41)</f>
        <v/>
      </c>
      <c r="AZ41" s="65" t="str">
        <f>IF(LauderNew!AZ41-LauderOld!AZ41=0,"",LauderNew!AZ41-LauderOld!AZ41)</f>
        <v/>
      </c>
      <c r="BA41" s="65" t="str">
        <f>IF(LauderNew!BA41-LauderOld!BA41=0,"",LauderNew!BA41-LauderOld!BA41)</f>
        <v/>
      </c>
      <c r="BB41" s="65" t="str">
        <f>IF(LauderNew!BB41-LauderOld!BB41=0,"",LauderNew!BB41-LauderOld!BB41)</f>
        <v/>
      </c>
      <c r="BC41" s="65" t="str">
        <f>IF(LauderNew!BC41-LauderOld!BC41=0,"",LauderNew!BC41-LauderOld!BC41)</f>
        <v/>
      </c>
      <c r="BD41" s="65" t="str">
        <f>IF(LauderNew!BD41-LauderOld!BD41=0,"",LauderNew!BD41-LauderOld!BD41)</f>
        <v/>
      </c>
    </row>
    <row r="42" spans="3:56" x14ac:dyDescent="0.25">
      <c r="C42" s="108"/>
      <c r="D42" s="49" t="s">
        <v>36</v>
      </c>
      <c r="E42" s="65" t="str">
        <f>IF(LauderNew!E42-LauderOld!E42=0,"",LauderNew!E42-LauderOld!E42)</f>
        <v/>
      </c>
      <c r="F42" s="65" t="str">
        <f>IF(LauderNew!F42-LauderOld!F42=0,"",LauderNew!F42-LauderOld!F42)</f>
        <v/>
      </c>
      <c r="G42" s="65" t="str">
        <f>IF(LauderNew!G42-LauderOld!G42=0,"",LauderNew!G42-LauderOld!G42)</f>
        <v/>
      </c>
      <c r="H42" s="65" t="str">
        <f>IF(LauderNew!H42-LauderOld!H42=0,"",LauderNew!H42-LauderOld!H42)</f>
        <v/>
      </c>
      <c r="I42" s="65" t="str">
        <f>IF(LauderNew!I42-LauderOld!I42=0,"",LauderNew!I42-LauderOld!I42)</f>
        <v/>
      </c>
      <c r="J42" s="65" t="str">
        <f>IF(LauderNew!J42-LauderOld!J42=0,"",LauderNew!J42-LauderOld!J42)</f>
        <v/>
      </c>
      <c r="K42" s="65" t="str">
        <f>IF(LauderNew!K42-LauderOld!K42=0,"",LauderNew!K42-LauderOld!K42)</f>
        <v/>
      </c>
      <c r="L42" s="65" t="str">
        <f>IF(LauderNew!L42-LauderOld!L42=0,"",LauderNew!L42-LauderOld!L42)</f>
        <v/>
      </c>
      <c r="M42" s="65" t="str">
        <f>IF(LauderNew!M42-LauderOld!M42=0,"",LauderNew!M42-LauderOld!M42)</f>
        <v/>
      </c>
      <c r="N42" s="65" t="str">
        <f>IF(LauderNew!N42-LauderOld!N42=0,"",LauderNew!N42-LauderOld!N42)</f>
        <v/>
      </c>
      <c r="O42" s="65" t="str">
        <f>IF(LauderNew!O42-LauderOld!O42=0,"",LauderNew!O42-LauderOld!O42)</f>
        <v/>
      </c>
      <c r="P42" s="65" t="str">
        <f>IF(LauderNew!P42-LauderOld!P42=0,"",LauderNew!P42-LauderOld!P42)</f>
        <v/>
      </c>
      <c r="Q42" s="65" t="str">
        <f>IF(LauderNew!Q42-LauderOld!Q42=0,"",LauderNew!Q42-LauderOld!Q42)</f>
        <v/>
      </c>
      <c r="R42" s="65" t="str">
        <f>IF(LauderNew!R42-LauderOld!R42=0,"",LauderNew!R42-LauderOld!R42)</f>
        <v/>
      </c>
      <c r="S42" s="65" t="str">
        <f>IF(LauderNew!S42-LauderOld!S42=0,"",LauderNew!S42-LauderOld!S42)</f>
        <v/>
      </c>
      <c r="T42" s="65" t="str">
        <f>IF(LauderNew!T42-LauderOld!T42=0,"",LauderNew!T42-LauderOld!T42)</f>
        <v/>
      </c>
      <c r="U42" s="65" t="str">
        <f>IF(LauderNew!U42-LauderOld!U42=0,"",LauderNew!U42-LauderOld!U42)</f>
        <v/>
      </c>
      <c r="V42" s="65" t="str">
        <f>IF(LauderNew!V42-LauderOld!V42=0,"",LauderNew!V42-LauderOld!V42)</f>
        <v/>
      </c>
      <c r="W42" s="65" t="str">
        <f>IF(LauderNew!W42-LauderOld!W42=0,"",LauderNew!W42-LauderOld!W42)</f>
        <v/>
      </c>
      <c r="X42" s="65" t="str">
        <f>IF(LauderNew!X42-LauderOld!X42=0,"",LauderNew!X42-LauderOld!X42)</f>
        <v/>
      </c>
      <c r="Y42" s="65" t="str">
        <f>IF(LauderNew!Y42-LauderOld!Y42=0,"",LauderNew!Y42-LauderOld!Y42)</f>
        <v/>
      </c>
      <c r="Z42" s="65" t="str">
        <f>IF(LauderNew!Z42-LauderOld!Z42=0,"",LauderNew!Z42-LauderOld!Z42)</f>
        <v/>
      </c>
      <c r="AA42" s="65" t="str">
        <f>IF(LauderNew!AA42-LauderOld!AA42=0,"",LauderNew!AA42-LauderOld!AA42)</f>
        <v/>
      </c>
      <c r="AB42" s="65" t="str">
        <f>IF(LauderNew!AB42-LauderOld!AB42=0,"",LauderNew!AB42-LauderOld!AB42)</f>
        <v/>
      </c>
      <c r="AC42" s="65" t="str">
        <f>IF(LauderNew!AC42-LauderOld!AC42=0,"",LauderNew!AC42-LauderOld!AC42)</f>
        <v/>
      </c>
      <c r="AD42" s="65" t="str">
        <f>IF(LauderNew!AD42-LauderOld!AD42=0,"",LauderNew!AD42-LauderOld!AD42)</f>
        <v/>
      </c>
      <c r="AE42" s="65" t="str">
        <f>IF(LauderNew!AE42-LauderOld!AE42=0,"",LauderNew!AE42-LauderOld!AE42)</f>
        <v/>
      </c>
      <c r="AF42" s="65" t="str">
        <f>IF(LauderNew!AF42-LauderOld!AF42=0,"",LauderNew!AF42-LauderOld!AF42)</f>
        <v/>
      </c>
      <c r="AG42" s="65" t="str">
        <f>IF(LauderNew!AG42-LauderOld!AG42=0,"",LauderNew!AG42-LauderOld!AG42)</f>
        <v/>
      </c>
      <c r="AH42" s="65" t="str">
        <f>IF(LauderNew!AH42-LauderOld!AH42=0,"",LauderNew!AH42-LauderOld!AH42)</f>
        <v/>
      </c>
      <c r="AI42" s="65" t="str">
        <f>IF(LauderNew!AI42-LauderOld!AI42=0,"",LauderNew!AI42-LauderOld!AI42)</f>
        <v/>
      </c>
      <c r="AJ42" s="65" t="str">
        <f>IF(LauderNew!AJ42-LauderOld!AJ42=0,"",LauderNew!AJ42-LauderOld!AJ42)</f>
        <v/>
      </c>
      <c r="AK42" s="65" t="str">
        <f>IF(LauderNew!AK42-LauderOld!AK42=0,"",LauderNew!AK42-LauderOld!AK42)</f>
        <v/>
      </c>
      <c r="AL42" s="65" t="str">
        <f>IF(LauderNew!AL42-LauderOld!AL42=0,"",LauderNew!AL42-LauderOld!AL42)</f>
        <v/>
      </c>
      <c r="AM42" s="65" t="str">
        <f>IF(LauderNew!AM42-LauderOld!AM42=0,"",LauderNew!AM42-LauderOld!AM42)</f>
        <v/>
      </c>
      <c r="AN42" s="65" t="str">
        <f>IF(LauderNew!AN42-LauderOld!AN42=0,"",LauderNew!AN42-LauderOld!AN42)</f>
        <v/>
      </c>
      <c r="AO42" s="65" t="str">
        <f>IF(LauderNew!AO42-LauderOld!AO42=0,"",LauderNew!AO42-LauderOld!AO42)</f>
        <v/>
      </c>
      <c r="AP42" s="65" t="str">
        <f>IF(LauderNew!AP42-LauderOld!AP42=0,"",LauderNew!AP42-LauderOld!AP42)</f>
        <v/>
      </c>
      <c r="AQ42" s="65" t="str">
        <f>IF(LauderNew!AQ42-LauderOld!AQ42=0,"",LauderNew!AQ42-LauderOld!AQ42)</f>
        <v/>
      </c>
      <c r="AR42" s="65" t="str">
        <f>IF(LauderNew!AR42-LauderOld!AR42=0,"",LauderNew!AR42-LauderOld!AR42)</f>
        <v/>
      </c>
      <c r="AS42" s="65" t="str">
        <f>IF(LauderNew!AS42-LauderOld!AS42=0,"",LauderNew!AS42-LauderOld!AS42)</f>
        <v/>
      </c>
      <c r="AT42" s="65" t="str">
        <f>IF(LauderNew!AT42-LauderOld!AT42=0,"",LauderNew!AT42-LauderOld!AT42)</f>
        <v/>
      </c>
      <c r="AU42" s="65" t="str">
        <f>IF(LauderNew!AU42-LauderOld!AU42=0,"",LauderNew!AU42-LauderOld!AU42)</f>
        <v/>
      </c>
      <c r="AV42" s="65" t="str">
        <f>IF(LauderNew!AV42-LauderOld!AV42=0,"",LauderNew!AV42-LauderOld!AV42)</f>
        <v/>
      </c>
      <c r="AW42" s="65" t="str">
        <f>IF(LauderNew!AW42-LauderOld!AW42=0,"",LauderNew!AW42-LauderOld!AW42)</f>
        <v/>
      </c>
      <c r="AX42" s="65" t="str">
        <f>IF(LauderNew!AX42-LauderOld!AX42=0,"",LauderNew!AX42-LauderOld!AX42)</f>
        <v/>
      </c>
      <c r="AY42" s="65" t="str">
        <f>IF(LauderNew!AY42-LauderOld!AY42=0,"",LauderNew!AY42-LauderOld!AY42)</f>
        <v/>
      </c>
      <c r="AZ42" s="65" t="str">
        <f>IF(LauderNew!AZ42-LauderOld!AZ42=0,"",LauderNew!AZ42-LauderOld!AZ42)</f>
        <v/>
      </c>
      <c r="BA42" s="65" t="str">
        <f>IF(LauderNew!BA42-LauderOld!BA42=0,"",LauderNew!BA42-LauderOld!BA42)</f>
        <v/>
      </c>
      <c r="BB42" s="65" t="str">
        <f>IF(LauderNew!BB42-LauderOld!BB42=0,"",LauderNew!BB42-LauderOld!BB42)</f>
        <v/>
      </c>
      <c r="BC42" s="65" t="str">
        <f>IF(LauderNew!BC42-LauderOld!BC42=0,"",LauderNew!BC42-LauderOld!BC42)</f>
        <v/>
      </c>
      <c r="BD42" s="65" t="str">
        <f>IF(LauderNew!BD42-LauderOld!BD42=0,"",LauderNew!BD42-LauderOld!BD42)</f>
        <v/>
      </c>
    </row>
    <row r="43" spans="3:56" x14ac:dyDescent="0.25">
      <c r="C43" s="108"/>
      <c r="D43" s="49" t="s">
        <v>37</v>
      </c>
      <c r="E43" s="65" t="str">
        <f>IF(LauderNew!E43-LauderOld!E43=0,"",LauderNew!E43-LauderOld!E43)</f>
        <v/>
      </c>
      <c r="F43" s="65" t="str">
        <f>IF(LauderNew!F43-LauderOld!F43=0,"",LauderNew!F43-LauderOld!F43)</f>
        <v/>
      </c>
      <c r="G43" s="65" t="str">
        <f>IF(LauderNew!G43-LauderOld!G43=0,"",LauderNew!G43-LauderOld!G43)</f>
        <v/>
      </c>
      <c r="H43" s="65" t="str">
        <f>IF(LauderNew!H43-LauderOld!H43=0,"",LauderNew!H43-LauderOld!H43)</f>
        <v/>
      </c>
      <c r="I43" s="65" t="str">
        <f>IF(LauderNew!I43-LauderOld!I43=0,"",LauderNew!I43-LauderOld!I43)</f>
        <v/>
      </c>
      <c r="J43" s="65" t="str">
        <f>IF(LauderNew!J43-LauderOld!J43=0,"",LauderNew!J43-LauderOld!J43)</f>
        <v/>
      </c>
      <c r="K43" s="65" t="str">
        <f>IF(LauderNew!K43-LauderOld!K43=0,"",LauderNew!K43-LauderOld!K43)</f>
        <v/>
      </c>
      <c r="L43" s="65" t="str">
        <f>IF(LauderNew!L43-LauderOld!L43=0,"",LauderNew!L43-LauderOld!L43)</f>
        <v/>
      </c>
      <c r="M43" s="65" t="str">
        <f>IF(LauderNew!M43-LauderOld!M43=0,"",LauderNew!M43-LauderOld!M43)</f>
        <v/>
      </c>
      <c r="N43" s="65" t="str">
        <f>IF(LauderNew!N43-LauderOld!N43=0,"",LauderNew!N43-LauderOld!N43)</f>
        <v/>
      </c>
      <c r="O43" s="65" t="str">
        <f>IF(LauderNew!O43-LauderOld!O43=0,"",LauderNew!O43-LauderOld!O43)</f>
        <v/>
      </c>
      <c r="P43" s="65" t="str">
        <f>IF(LauderNew!P43-LauderOld!P43=0,"",LauderNew!P43-LauderOld!P43)</f>
        <v/>
      </c>
      <c r="Q43" s="65" t="str">
        <f>IF(LauderNew!Q43-LauderOld!Q43=0,"",LauderNew!Q43-LauderOld!Q43)</f>
        <v/>
      </c>
      <c r="R43" s="65" t="str">
        <f>IF(LauderNew!R43-LauderOld!R43=0,"",LauderNew!R43-LauderOld!R43)</f>
        <v/>
      </c>
      <c r="S43" s="65" t="str">
        <f>IF(LauderNew!S43-LauderOld!S43=0,"",LauderNew!S43-LauderOld!S43)</f>
        <v/>
      </c>
      <c r="T43" s="65" t="str">
        <f>IF(LauderNew!T43-LauderOld!T43=0,"",LauderNew!T43-LauderOld!T43)</f>
        <v/>
      </c>
      <c r="U43" s="65" t="str">
        <f>IF(LauderNew!U43-LauderOld!U43=0,"",LauderNew!U43-LauderOld!U43)</f>
        <v/>
      </c>
      <c r="V43" s="65" t="str">
        <f>IF(LauderNew!V43-LauderOld!V43=0,"",LauderNew!V43-LauderOld!V43)</f>
        <v/>
      </c>
      <c r="W43" s="65" t="str">
        <f>IF(LauderNew!W43-LauderOld!W43=0,"",LauderNew!W43-LauderOld!W43)</f>
        <v/>
      </c>
      <c r="X43" s="65" t="str">
        <f>IF(LauderNew!X43-LauderOld!X43=0,"",LauderNew!X43-LauderOld!X43)</f>
        <v/>
      </c>
      <c r="Y43" s="65" t="str">
        <f>IF(LauderNew!Y43-LauderOld!Y43=0,"",LauderNew!Y43-LauderOld!Y43)</f>
        <v/>
      </c>
      <c r="Z43" s="65" t="str">
        <f>IF(LauderNew!Z43-LauderOld!Z43=0,"",LauderNew!Z43-LauderOld!Z43)</f>
        <v/>
      </c>
      <c r="AA43" s="65" t="str">
        <f>IF(LauderNew!AA43-LauderOld!AA43=0,"",LauderNew!AA43-LauderOld!AA43)</f>
        <v/>
      </c>
      <c r="AB43" s="65" t="str">
        <f>IF(LauderNew!AB43-LauderOld!AB43=0,"",LauderNew!AB43-LauderOld!AB43)</f>
        <v/>
      </c>
      <c r="AC43" s="65" t="str">
        <f>IF(LauderNew!AC43-LauderOld!AC43=0,"",LauderNew!AC43-LauderOld!AC43)</f>
        <v/>
      </c>
      <c r="AD43" s="65" t="str">
        <f>IF(LauderNew!AD43-LauderOld!AD43=0,"",LauderNew!AD43-LauderOld!AD43)</f>
        <v/>
      </c>
      <c r="AE43" s="65" t="str">
        <f>IF(LauderNew!AE43-LauderOld!AE43=0,"",LauderNew!AE43-LauderOld!AE43)</f>
        <v/>
      </c>
      <c r="AF43" s="65" t="str">
        <f>IF(LauderNew!AF43-LauderOld!AF43=0,"",LauderNew!AF43-LauderOld!AF43)</f>
        <v/>
      </c>
      <c r="AG43" s="65" t="str">
        <f>IF(LauderNew!AG43-LauderOld!AG43=0,"",LauderNew!AG43-LauderOld!AG43)</f>
        <v/>
      </c>
      <c r="AH43" s="65" t="str">
        <f>IF(LauderNew!AH43-LauderOld!AH43=0,"",LauderNew!AH43-LauderOld!AH43)</f>
        <v/>
      </c>
      <c r="AI43" s="65" t="str">
        <f>IF(LauderNew!AI43-LauderOld!AI43=0,"",LauderNew!AI43-LauderOld!AI43)</f>
        <v/>
      </c>
      <c r="AJ43" s="65" t="str">
        <f>IF(LauderNew!AJ43-LauderOld!AJ43=0,"",LauderNew!AJ43-LauderOld!AJ43)</f>
        <v/>
      </c>
      <c r="AK43" s="65" t="str">
        <f>IF(LauderNew!AK43-LauderOld!AK43=0,"",LauderNew!AK43-LauderOld!AK43)</f>
        <v/>
      </c>
      <c r="AL43" s="65" t="str">
        <f>IF(LauderNew!AL43-LauderOld!AL43=0,"",LauderNew!AL43-LauderOld!AL43)</f>
        <v/>
      </c>
      <c r="AM43" s="65" t="str">
        <f>IF(LauderNew!AM43-LauderOld!AM43=0,"",LauderNew!AM43-LauderOld!AM43)</f>
        <v/>
      </c>
      <c r="AN43" s="65" t="str">
        <f>IF(LauderNew!AN43-LauderOld!AN43=0,"",LauderNew!AN43-LauderOld!AN43)</f>
        <v/>
      </c>
      <c r="AO43" s="65" t="str">
        <f>IF(LauderNew!AO43-LauderOld!AO43=0,"",LauderNew!AO43-LauderOld!AO43)</f>
        <v/>
      </c>
      <c r="AP43" s="65" t="str">
        <f>IF(LauderNew!AP43-LauderOld!AP43=0,"",LauderNew!AP43-LauderOld!AP43)</f>
        <v/>
      </c>
      <c r="AQ43" s="65" t="str">
        <f>IF(LauderNew!AQ43-LauderOld!AQ43=0,"",LauderNew!AQ43-LauderOld!AQ43)</f>
        <v/>
      </c>
      <c r="AR43" s="65" t="str">
        <f>IF(LauderNew!AR43-LauderOld!AR43=0,"",LauderNew!AR43-LauderOld!AR43)</f>
        <v/>
      </c>
      <c r="AS43" s="65" t="str">
        <f>IF(LauderNew!AS43-LauderOld!AS43=0,"",LauderNew!AS43-LauderOld!AS43)</f>
        <v/>
      </c>
      <c r="AT43" s="65" t="str">
        <f>IF(LauderNew!AT43-LauderOld!AT43=0,"",LauderNew!AT43-LauderOld!AT43)</f>
        <v/>
      </c>
      <c r="AU43" s="65" t="str">
        <f>IF(LauderNew!AU43-LauderOld!AU43=0,"",LauderNew!AU43-LauderOld!AU43)</f>
        <v/>
      </c>
      <c r="AV43" s="65" t="str">
        <f>IF(LauderNew!AV43-LauderOld!AV43=0,"",LauderNew!AV43-LauderOld!AV43)</f>
        <v/>
      </c>
      <c r="AW43" s="65" t="str">
        <f>IF(LauderNew!AW43-LauderOld!AW43=0,"",LauderNew!AW43-LauderOld!AW43)</f>
        <v/>
      </c>
      <c r="AX43" s="65" t="str">
        <f>IF(LauderNew!AX43-LauderOld!AX43=0,"",LauderNew!AX43-LauderOld!AX43)</f>
        <v/>
      </c>
      <c r="AY43" s="65" t="str">
        <f>IF(LauderNew!AY43-LauderOld!AY43=0,"",LauderNew!AY43-LauderOld!AY43)</f>
        <v/>
      </c>
      <c r="AZ43" s="65" t="str">
        <f>IF(LauderNew!AZ43-LauderOld!AZ43=0,"",LauderNew!AZ43-LauderOld!AZ43)</f>
        <v/>
      </c>
      <c r="BA43" s="65" t="str">
        <f>IF(LauderNew!BA43-LauderOld!BA43=0,"",LauderNew!BA43-LauderOld!BA43)</f>
        <v/>
      </c>
      <c r="BB43" s="65" t="str">
        <f>IF(LauderNew!BB43-LauderOld!BB43=0,"",LauderNew!BB43-LauderOld!BB43)</f>
        <v/>
      </c>
      <c r="BC43" s="65" t="str">
        <f>IF(LauderNew!BC43-LauderOld!BC43=0,"",LauderNew!BC43-LauderOld!BC43)</f>
        <v/>
      </c>
      <c r="BD43" s="65" t="str">
        <f>IF(LauderNew!BD43-LauderOld!BD43=0,"",LauderNew!BD43-LauderOld!BD43)</f>
        <v/>
      </c>
    </row>
    <row r="44" spans="3:56" x14ac:dyDescent="0.25">
      <c r="C44" s="108"/>
      <c r="D44" s="49" t="s">
        <v>38</v>
      </c>
      <c r="E44" s="65" t="str">
        <f>IF(LauderNew!E44-LauderOld!E44=0,"",LauderNew!E44-LauderOld!E44)</f>
        <v/>
      </c>
      <c r="F44" s="65" t="str">
        <f>IF(LauderNew!F44-LauderOld!F44=0,"",LauderNew!F44-LauderOld!F44)</f>
        <v/>
      </c>
      <c r="G44" s="65" t="str">
        <f>IF(LauderNew!G44-LauderOld!G44=0,"",LauderNew!G44-LauderOld!G44)</f>
        <v/>
      </c>
      <c r="H44" s="65" t="str">
        <f>IF(LauderNew!H44-LauderOld!H44=0,"",LauderNew!H44-LauderOld!H44)</f>
        <v/>
      </c>
      <c r="I44" s="65" t="str">
        <f>IF(LauderNew!I44-LauderOld!I44=0,"",LauderNew!I44-LauderOld!I44)</f>
        <v/>
      </c>
      <c r="J44" s="65" t="str">
        <f>IF(LauderNew!J44-LauderOld!J44=0,"",LauderNew!J44-LauderOld!J44)</f>
        <v/>
      </c>
      <c r="K44" s="65" t="str">
        <f>IF(LauderNew!K44-LauderOld!K44=0,"",LauderNew!K44-LauderOld!K44)</f>
        <v/>
      </c>
      <c r="L44" s="65" t="str">
        <f>IF(LauderNew!L44-LauderOld!L44=0,"",LauderNew!L44-LauderOld!L44)</f>
        <v/>
      </c>
      <c r="M44" s="65" t="str">
        <f>IF(LauderNew!M44-LauderOld!M44=0,"",LauderNew!M44-LauderOld!M44)</f>
        <v/>
      </c>
      <c r="N44" s="65" t="str">
        <f>IF(LauderNew!N44-LauderOld!N44=0,"",LauderNew!N44-LauderOld!N44)</f>
        <v/>
      </c>
      <c r="O44" s="65" t="str">
        <f>IF(LauderNew!O44-LauderOld!O44=0,"",LauderNew!O44-LauderOld!O44)</f>
        <v/>
      </c>
      <c r="P44" s="65" t="str">
        <f>IF(LauderNew!P44-LauderOld!P44=0,"",LauderNew!P44-LauderOld!P44)</f>
        <v/>
      </c>
      <c r="Q44" s="65" t="str">
        <f>IF(LauderNew!Q44-LauderOld!Q44=0,"",LauderNew!Q44-LauderOld!Q44)</f>
        <v/>
      </c>
      <c r="R44" s="65" t="str">
        <f>IF(LauderNew!R44-LauderOld!R44=0,"",LauderNew!R44-LauderOld!R44)</f>
        <v/>
      </c>
      <c r="S44" s="65" t="str">
        <f>IF(LauderNew!S44-LauderOld!S44=0,"",LauderNew!S44-LauderOld!S44)</f>
        <v/>
      </c>
      <c r="T44" s="65" t="str">
        <f>IF(LauderNew!T44-LauderOld!T44=0,"",LauderNew!T44-LauderOld!T44)</f>
        <v/>
      </c>
      <c r="U44" s="65" t="str">
        <f>IF(LauderNew!U44-LauderOld!U44=0,"",LauderNew!U44-LauderOld!U44)</f>
        <v/>
      </c>
      <c r="V44" s="65" t="str">
        <f>IF(LauderNew!V44-LauderOld!V44=0,"",LauderNew!V44-LauderOld!V44)</f>
        <v/>
      </c>
      <c r="W44" s="65" t="str">
        <f>IF(LauderNew!W44-LauderOld!W44=0,"",LauderNew!W44-LauderOld!W44)</f>
        <v/>
      </c>
      <c r="X44" s="65" t="str">
        <f>IF(LauderNew!X44-LauderOld!X44=0,"",LauderNew!X44-LauderOld!X44)</f>
        <v/>
      </c>
      <c r="Y44" s="65" t="str">
        <f>IF(LauderNew!Y44-LauderOld!Y44=0,"",LauderNew!Y44-LauderOld!Y44)</f>
        <v/>
      </c>
      <c r="Z44" s="65" t="str">
        <f>IF(LauderNew!Z44-LauderOld!Z44=0,"",LauderNew!Z44-LauderOld!Z44)</f>
        <v/>
      </c>
      <c r="AA44" s="65" t="str">
        <f>IF(LauderNew!AA44-LauderOld!AA44=0,"",LauderNew!AA44-LauderOld!AA44)</f>
        <v/>
      </c>
      <c r="AB44" s="65" t="str">
        <f>IF(LauderNew!AB44-LauderOld!AB44=0,"",LauderNew!AB44-LauderOld!AB44)</f>
        <v/>
      </c>
      <c r="AC44" s="65" t="str">
        <f>IF(LauderNew!AC44-LauderOld!AC44=0,"",LauderNew!AC44-LauderOld!AC44)</f>
        <v/>
      </c>
      <c r="AD44" s="65" t="str">
        <f>IF(LauderNew!AD44-LauderOld!AD44=0,"",LauderNew!AD44-LauderOld!AD44)</f>
        <v/>
      </c>
      <c r="AE44" s="65" t="str">
        <f>IF(LauderNew!AE44-LauderOld!AE44=0,"",LauderNew!AE44-LauderOld!AE44)</f>
        <v/>
      </c>
      <c r="AF44" s="65" t="str">
        <f>IF(LauderNew!AF44-LauderOld!AF44=0,"",LauderNew!AF44-LauderOld!AF44)</f>
        <v/>
      </c>
      <c r="AG44" s="65" t="str">
        <f>IF(LauderNew!AG44-LauderOld!AG44=0,"",LauderNew!AG44-LauderOld!AG44)</f>
        <v/>
      </c>
      <c r="AH44" s="65" t="str">
        <f>IF(LauderNew!AH44-LauderOld!AH44=0,"",LauderNew!AH44-LauderOld!AH44)</f>
        <v/>
      </c>
      <c r="AI44" s="65" t="str">
        <f>IF(LauderNew!AI44-LauderOld!AI44=0,"",LauderNew!AI44-LauderOld!AI44)</f>
        <v/>
      </c>
      <c r="AJ44" s="65" t="str">
        <f>IF(LauderNew!AJ44-LauderOld!AJ44=0,"",LauderNew!AJ44-LauderOld!AJ44)</f>
        <v/>
      </c>
      <c r="AK44" s="65" t="str">
        <f>IF(LauderNew!AK44-LauderOld!AK44=0,"",LauderNew!AK44-LauderOld!AK44)</f>
        <v/>
      </c>
      <c r="AL44" s="65" t="str">
        <f>IF(LauderNew!AL44-LauderOld!AL44=0,"",LauderNew!AL44-LauderOld!AL44)</f>
        <v/>
      </c>
      <c r="AM44" s="65" t="str">
        <f>IF(LauderNew!AM44-LauderOld!AM44=0,"",LauderNew!AM44-LauderOld!AM44)</f>
        <v/>
      </c>
      <c r="AN44" s="65" t="str">
        <f>IF(LauderNew!AN44-LauderOld!AN44=0,"",LauderNew!AN44-LauderOld!AN44)</f>
        <v/>
      </c>
      <c r="AO44" s="65" t="str">
        <f>IF(LauderNew!AO44-LauderOld!AO44=0,"",LauderNew!AO44-LauderOld!AO44)</f>
        <v/>
      </c>
      <c r="AP44" s="65" t="str">
        <f>IF(LauderNew!AP44-LauderOld!AP44=0,"",LauderNew!AP44-LauderOld!AP44)</f>
        <v/>
      </c>
      <c r="AQ44" s="65" t="str">
        <f>IF(LauderNew!AQ44-LauderOld!AQ44=0,"",LauderNew!AQ44-LauderOld!AQ44)</f>
        <v/>
      </c>
      <c r="AR44" s="65" t="str">
        <f>IF(LauderNew!AR44-LauderOld!AR44=0,"",LauderNew!AR44-LauderOld!AR44)</f>
        <v/>
      </c>
      <c r="AS44" s="65" t="str">
        <f>IF(LauderNew!AS44-LauderOld!AS44=0,"",LauderNew!AS44-LauderOld!AS44)</f>
        <v/>
      </c>
      <c r="AT44" s="65" t="str">
        <f>IF(LauderNew!AT44-LauderOld!AT44=0,"",LauderNew!AT44-LauderOld!AT44)</f>
        <v/>
      </c>
      <c r="AU44" s="65" t="str">
        <f>IF(LauderNew!AU44-LauderOld!AU44=0,"",LauderNew!AU44-LauderOld!AU44)</f>
        <v/>
      </c>
      <c r="AV44" s="65" t="str">
        <f>IF(LauderNew!AV44-LauderOld!AV44=0,"",LauderNew!AV44-LauderOld!AV44)</f>
        <v/>
      </c>
      <c r="AW44" s="65" t="str">
        <f>IF(LauderNew!AW44-LauderOld!AW44=0,"",LauderNew!AW44-LauderOld!AW44)</f>
        <v/>
      </c>
      <c r="AX44" s="65" t="str">
        <f>IF(LauderNew!AX44-LauderOld!AX44=0,"",LauderNew!AX44-LauderOld!AX44)</f>
        <v/>
      </c>
      <c r="AY44" s="65" t="str">
        <f>IF(LauderNew!AY44-LauderOld!AY44=0,"",LauderNew!AY44-LauderOld!AY44)</f>
        <v/>
      </c>
      <c r="AZ44" s="65" t="str">
        <f>IF(LauderNew!AZ44-LauderOld!AZ44=0,"",LauderNew!AZ44-LauderOld!AZ44)</f>
        <v/>
      </c>
      <c r="BA44" s="65" t="str">
        <f>IF(LauderNew!BA44-LauderOld!BA44=0,"",LauderNew!BA44-LauderOld!BA44)</f>
        <v/>
      </c>
      <c r="BB44" s="65" t="str">
        <f>IF(LauderNew!BB44-LauderOld!BB44=0,"",LauderNew!BB44-LauderOld!BB44)</f>
        <v/>
      </c>
      <c r="BC44" s="65" t="str">
        <f>IF(LauderNew!BC44-LauderOld!BC44=0,"",LauderNew!BC44-LauderOld!BC44)</f>
        <v/>
      </c>
      <c r="BD44" s="65" t="str">
        <f>IF(LauderNew!BD44-LauderOld!BD44=0,"",LauderNew!BD44-LauderOld!BD44)</f>
        <v/>
      </c>
    </row>
    <row r="45" spans="3:56" x14ac:dyDescent="0.25">
      <c r="C45" s="108"/>
      <c r="D45" s="49" t="s">
        <v>39</v>
      </c>
      <c r="E45" s="65" t="str">
        <f>IF(LauderNew!E45-LauderOld!E45=0,"",LauderNew!E45-LauderOld!E45)</f>
        <v/>
      </c>
      <c r="F45" s="65" t="str">
        <f>IF(LauderNew!F45-LauderOld!F45=0,"",LauderNew!F45-LauderOld!F45)</f>
        <v/>
      </c>
      <c r="G45" s="65" t="str">
        <f>IF(LauderNew!G45-LauderOld!G45=0,"",LauderNew!G45-LauderOld!G45)</f>
        <v/>
      </c>
      <c r="H45" s="65" t="str">
        <f>IF(LauderNew!H45-LauderOld!H45=0,"",LauderNew!H45-LauderOld!H45)</f>
        <v/>
      </c>
      <c r="I45" s="65" t="str">
        <f>IF(LauderNew!I45-LauderOld!I45=0,"",LauderNew!I45-LauderOld!I45)</f>
        <v/>
      </c>
      <c r="J45" s="65" t="str">
        <f>IF(LauderNew!J45-LauderOld!J45=0,"",LauderNew!J45-LauderOld!J45)</f>
        <v/>
      </c>
      <c r="K45" s="65" t="str">
        <f>IF(LauderNew!K45-LauderOld!K45=0,"",LauderNew!K45-LauderOld!K45)</f>
        <v/>
      </c>
      <c r="L45" s="65" t="str">
        <f>IF(LauderNew!L45-LauderOld!L45=0,"",LauderNew!L45-LauderOld!L45)</f>
        <v/>
      </c>
      <c r="M45" s="65" t="str">
        <f>IF(LauderNew!M45-LauderOld!M45=0,"",LauderNew!M45-LauderOld!M45)</f>
        <v/>
      </c>
      <c r="N45" s="65" t="str">
        <f>IF(LauderNew!N45-LauderOld!N45=0,"",LauderNew!N45-LauderOld!N45)</f>
        <v/>
      </c>
      <c r="O45" s="65" t="str">
        <f>IF(LauderNew!O45-LauderOld!O45=0,"",LauderNew!O45-LauderOld!O45)</f>
        <v/>
      </c>
      <c r="P45" s="65" t="str">
        <f>IF(LauderNew!P45-LauderOld!P45=0,"",LauderNew!P45-LauderOld!P45)</f>
        <v/>
      </c>
      <c r="Q45" s="65" t="str">
        <f>IF(LauderNew!Q45-LauderOld!Q45=0,"",LauderNew!Q45-LauderOld!Q45)</f>
        <v/>
      </c>
      <c r="R45" s="65" t="str">
        <f>IF(LauderNew!R45-LauderOld!R45=0,"",LauderNew!R45-LauderOld!R45)</f>
        <v/>
      </c>
      <c r="S45" s="65" t="str">
        <f>IF(LauderNew!S45-LauderOld!S45=0,"",LauderNew!S45-LauderOld!S45)</f>
        <v/>
      </c>
      <c r="T45" s="65" t="str">
        <f>IF(LauderNew!T45-LauderOld!T45=0,"",LauderNew!T45-LauderOld!T45)</f>
        <v/>
      </c>
      <c r="U45" s="65" t="str">
        <f>IF(LauderNew!U45-LauderOld!U45=0,"",LauderNew!U45-LauderOld!U45)</f>
        <v/>
      </c>
      <c r="V45" s="65" t="str">
        <f>IF(LauderNew!V45-LauderOld!V45=0,"",LauderNew!V45-LauderOld!V45)</f>
        <v/>
      </c>
      <c r="W45" s="65" t="str">
        <f>IF(LauderNew!W45-LauderOld!W45=0,"",LauderNew!W45-LauderOld!W45)</f>
        <v/>
      </c>
      <c r="X45" s="65" t="str">
        <f>IF(LauderNew!X45-LauderOld!X45=0,"",LauderNew!X45-LauderOld!X45)</f>
        <v/>
      </c>
      <c r="Y45" s="65" t="str">
        <f>IF(LauderNew!Y45-LauderOld!Y45=0,"",LauderNew!Y45-LauderOld!Y45)</f>
        <v/>
      </c>
      <c r="Z45" s="65" t="str">
        <f>IF(LauderNew!Z45-LauderOld!Z45=0,"",LauderNew!Z45-LauderOld!Z45)</f>
        <v/>
      </c>
      <c r="AA45" s="65" t="str">
        <f>IF(LauderNew!AA45-LauderOld!AA45=0,"",LauderNew!AA45-LauderOld!AA45)</f>
        <v/>
      </c>
      <c r="AB45" s="65" t="str">
        <f>IF(LauderNew!AB45-LauderOld!AB45=0,"",LauderNew!AB45-LauderOld!AB45)</f>
        <v/>
      </c>
      <c r="AC45" s="65" t="str">
        <f>IF(LauderNew!AC45-LauderOld!AC45=0,"",LauderNew!AC45-LauderOld!AC45)</f>
        <v/>
      </c>
      <c r="AD45" s="65" t="str">
        <f>IF(LauderNew!AD45-LauderOld!AD45=0,"",LauderNew!AD45-LauderOld!AD45)</f>
        <v/>
      </c>
      <c r="AE45" s="65" t="str">
        <f>IF(LauderNew!AE45-LauderOld!AE45=0,"",LauderNew!AE45-LauderOld!AE45)</f>
        <v/>
      </c>
      <c r="AF45" s="65" t="str">
        <f>IF(LauderNew!AF45-LauderOld!AF45=0,"",LauderNew!AF45-LauderOld!AF45)</f>
        <v/>
      </c>
      <c r="AG45" s="65" t="str">
        <f>IF(LauderNew!AG45-LauderOld!AG45=0,"",LauderNew!AG45-LauderOld!AG45)</f>
        <v/>
      </c>
      <c r="AH45" s="65" t="str">
        <f>IF(LauderNew!AH45-LauderOld!AH45=0,"",LauderNew!AH45-LauderOld!AH45)</f>
        <v/>
      </c>
      <c r="AI45" s="65" t="str">
        <f>IF(LauderNew!AI45-LauderOld!AI45=0,"",LauderNew!AI45-LauderOld!AI45)</f>
        <v/>
      </c>
      <c r="AJ45" s="65" t="str">
        <f>IF(LauderNew!AJ45-LauderOld!AJ45=0,"",LauderNew!AJ45-LauderOld!AJ45)</f>
        <v/>
      </c>
      <c r="AK45" s="65" t="str">
        <f>IF(LauderNew!AK45-LauderOld!AK45=0,"",LauderNew!AK45-LauderOld!AK45)</f>
        <v/>
      </c>
      <c r="AL45" s="65" t="str">
        <f>IF(LauderNew!AL45-LauderOld!AL45=0,"",LauderNew!AL45-LauderOld!AL45)</f>
        <v/>
      </c>
      <c r="AM45" s="65" t="str">
        <f>IF(LauderNew!AM45-LauderOld!AM45=0,"",LauderNew!AM45-LauderOld!AM45)</f>
        <v/>
      </c>
      <c r="AN45" s="65" t="str">
        <f>IF(LauderNew!AN45-LauderOld!AN45=0,"",LauderNew!AN45-LauderOld!AN45)</f>
        <v/>
      </c>
      <c r="AO45" s="65" t="str">
        <f>IF(LauderNew!AO45-LauderOld!AO45=0,"",LauderNew!AO45-LauderOld!AO45)</f>
        <v/>
      </c>
      <c r="AP45" s="65" t="str">
        <f>IF(LauderNew!AP45-LauderOld!AP45=0,"",LauderNew!AP45-LauderOld!AP45)</f>
        <v/>
      </c>
      <c r="AQ45" s="65" t="str">
        <f>IF(LauderNew!AQ45-LauderOld!AQ45=0,"",LauderNew!AQ45-LauderOld!AQ45)</f>
        <v/>
      </c>
      <c r="AR45" s="65" t="str">
        <f>IF(LauderNew!AR45-LauderOld!AR45=0,"",LauderNew!AR45-LauderOld!AR45)</f>
        <v/>
      </c>
      <c r="AS45" s="65" t="str">
        <f>IF(LauderNew!AS45-LauderOld!AS45=0,"",LauderNew!AS45-LauderOld!AS45)</f>
        <v/>
      </c>
      <c r="AT45" s="65" t="str">
        <f>IF(LauderNew!AT45-LauderOld!AT45=0,"",LauderNew!AT45-LauderOld!AT45)</f>
        <v/>
      </c>
      <c r="AU45" s="65" t="str">
        <f>IF(LauderNew!AU45-LauderOld!AU45=0,"",LauderNew!AU45-LauderOld!AU45)</f>
        <v/>
      </c>
      <c r="AV45" s="65" t="str">
        <f>IF(LauderNew!AV45-LauderOld!AV45=0,"",LauderNew!AV45-LauderOld!AV45)</f>
        <v/>
      </c>
      <c r="AW45" s="65" t="str">
        <f>IF(LauderNew!AW45-LauderOld!AW45=0,"",LauderNew!AW45-LauderOld!AW45)</f>
        <v/>
      </c>
      <c r="AX45" s="65" t="str">
        <f>IF(LauderNew!AX45-LauderOld!AX45=0,"",LauderNew!AX45-LauderOld!AX45)</f>
        <v/>
      </c>
      <c r="AY45" s="65" t="str">
        <f>IF(LauderNew!AY45-LauderOld!AY45=0,"",LauderNew!AY45-LauderOld!AY45)</f>
        <v/>
      </c>
      <c r="AZ45" s="65" t="str">
        <f>IF(LauderNew!AZ45-LauderOld!AZ45=0,"",LauderNew!AZ45-LauderOld!AZ45)</f>
        <v/>
      </c>
      <c r="BA45" s="65" t="str">
        <f>IF(LauderNew!BA45-LauderOld!BA45=0,"",LauderNew!BA45-LauderOld!BA45)</f>
        <v/>
      </c>
      <c r="BB45" s="65" t="str">
        <f>IF(LauderNew!BB45-LauderOld!BB45=0,"",LauderNew!BB45-LauderOld!BB45)</f>
        <v/>
      </c>
      <c r="BC45" s="65" t="str">
        <f>IF(LauderNew!BC45-LauderOld!BC45=0,"",LauderNew!BC45-LauderOld!BC45)</f>
        <v/>
      </c>
      <c r="BD45" s="65" t="str">
        <f>IF(LauderNew!BD45-LauderOld!BD45=0,"",LauderNew!BD45-LauderOld!BD45)</f>
        <v/>
      </c>
    </row>
    <row r="46" spans="3:56" x14ac:dyDescent="0.25">
      <c r="C46" s="108"/>
      <c r="D46" s="49" t="s">
        <v>40</v>
      </c>
      <c r="E46" s="65" t="str">
        <f>IF(LauderNew!E46-LauderOld!E46=0,"",LauderNew!E46-LauderOld!E46)</f>
        <v/>
      </c>
      <c r="F46" s="65" t="str">
        <f>IF(LauderNew!F46-LauderOld!F46=0,"",LauderNew!F46-LauderOld!F46)</f>
        <v/>
      </c>
      <c r="G46" s="65" t="str">
        <f>IF(LauderNew!G46-LauderOld!G46=0,"",LauderNew!G46-LauderOld!G46)</f>
        <v/>
      </c>
      <c r="H46" s="65" t="str">
        <f>IF(LauderNew!H46-LauderOld!H46=0,"",LauderNew!H46-LauderOld!H46)</f>
        <v/>
      </c>
      <c r="I46" s="65" t="str">
        <f>IF(LauderNew!I46-LauderOld!I46=0,"",LauderNew!I46-LauderOld!I46)</f>
        <v/>
      </c>
      <c r="J46" s="65" t="str">
        <f>IF(LauderNew!J46-LauderOld!J46=0,"",LauderNew!J46-LauderOld!J46)</f>
        <v/>
      </c>
      <c r="K46" s="65" t="str">
        <f>IF(LauderNew!K46-LauderOld!K46=0,"",LauderNew!K46-LauderOld!K46)</f>
        <v/>
      </c>
      <c r="L46" s="65" t="str">
        <f>IF(LauderNew!L46-LauderOld!L46=0,"",LauderNew!L46-LauderOld!L46)</f>
        <v/>
      </c>
      <c r="M46" s="65" t="str">
        <f>IF(LauderNew!M46-LauderOld!M46=0,"",LauderNew!M46-LauderOld!M46)</f>
        <v/>
      </c>
      <c r="N46" s="65" t="str">
        <f>IF(LauderNew!N46-LauderOld!N46=0,"",LauderNew!N46-LauderOld!N46)</f>
        <v/>
      </c>
      <c r="O46" s="65" t="str">
        <f>IF(LauderNew!O46-LauderOld!O46=0,"",LauderNew!O46-LauderOld!O46)</f>
        <v/>
      </c>
      <c r="P46" s="65" t="str">
        <f>IF(LauderNew!P46-LauderOld!P46=0,"",LauderNew!P46-LauderOld!P46)</f>
        <v/>
      </c>
      <c r="Q46" s="65" t="str">
        <f>IF(LauderNew!Q46-LauderOld!Q46=0,"",LauderNew!Q46-LauderOld!Q46)</f>
        <v/>
      </c>
      <c r="R46" s="65" t="str">
        <f>IF(LauderNew!R46-LauderOld!R46=0,"",LauderNew!R46-LauderOld!R46)</f>
        <v/>
      </c>
      <c r="S46" s="65" t="str">
        <f>IF(LauderNew!S46-LauderOld!S46=0,"",LauderNew!S46-LauderOld!S46)</f>
        <v/>
      </c>
      <c r="T46" s="65" t="str">
        <f>IF(LauderNew!T46-LauderOld!T46=0,"",LauderNew!T46-LauderOld!T46)</f>
        <v/>
      </c>
      <c r="U46" s="65" t="str">
        <f>IF(LauderNew!U46-LauderOld!U46=0,"",LauderNew!U46-LauderOld!U46)</f>
        <v/>
      </c>
      <c r="V46" s="65" t="str">
        <f>IF(LauderNew!V46-LauderOld!V46=0,"",LauderNew!V46-LauderOld!V46)</f>
        <v/>
      </c>
      <c r="W46" s="65" t="str">
        <f>IF(LauderNew!W46-LauderOld!W46=0,"",LauderNew!W46-LauderOld!W46)</f>
        <v/>
      </c>
      <c r="X46" s="65" t="str">
        <f>IF(LauderNew!X46-LauderOld!X46=0,"",LauderNew!X46-LauderOld!X46)</f>
        <v/>
      </c>
      <c r="Y46" s="65" t="str">
        <f>IF(LauderNew!Y46-LauderOld!Y46=0,"",LauderNew!Y46-LauderOld!Y46)</f>
        <v/>
      </c>
      <c r="Z46" s="65" t="str">
        <f>IF(LauderNew!Z46-LauderOld!Z46=0,"",LauderNew!Z46-LauderOld!Z46)</f>
        <v/>
      </c>
      <c r="AA46" s="65" t="str">
        <f>IF(LauderNew!AA46-LauderOld!AA46=0,"",LauderNew!AA46-LauderOld!AA46)</f>
        <v/>
      </c>
      <c r="AB46" s="65" t="str">
        <f>IF(LauderNew!AB46-LauderOld!AB46=0,"",LauderNew!AB46-LauderOld!AB46)</f>
        <v/>
      </c>
      <c r="AC46" s="65" t="str">
        <f>IF(LauderNew!AC46-LauderOld!AC46=0,"",LauderNew!AC46-LauderOld!AC46)</f>
        <v/>
      </c>
      <c r="AD46" s="65" t="str">
        <f>IF(LauderNew!AD46-LauderOld!AD46=0,"",LauderNew!AD46-LauderOld!AD46)</f>
        <v/>
      </c>
      <c r="AE46" s="65" t="str">
        <f>IF(LauderNew!AE46-LauderOld!AE46=0,"",LauderNew!AE46-LauderOld!AE46)</f>
        <v/>
      </c>
      <c r="AF46" s="65" t="str">
        <f>IF(LauderNew!AF46-LauderOld!AF46=0,"",LauderNew!AF46-LauderOld!AF46)</f>
        <v/>
      </c>
      <c r="AG46" s="65" t="str">
        <f>IF(LauderNew!AG46-LauderOld!AG46=0,"",LauderNew!AG46-LauderOld!AG46)</f>
        <v/>
      </c>
      <c r="AH46" s="65" t="str">
        <f>IF(LauderNew!AH46-LauderOld!AH46=0,"",LauderNew!AH46-LauderOld!AH46)</f>
        <v/>
      </c>
      <c r="AI46" s="65" t="str">
        <f>IF(LauderNew!AI46-LauderOld!AI46=0,"",LauderNew!AI46-LauderOld!AI46)</f>
        <v/>
      </c>
      <c r="AJ46" s="65" t="str">
        <f>IF(LauderNew!AJ46-LauderOld!AJ46=0,"",LauderNew!AJ46-LauderOld!AJ46)</f>
        <v/>
      </c>
      <c r="AK46" s="65" t="str">
        <f>IF(LauderNew!AK46-LauderOld!AK46=0,"",LauderNew!AK46-LauderOld!AK46)</f>
        <v/>
      </c>
      <c r="AL46" s="65" t="str">
        <f>IF(LauderNew!AL46-LauderOld!AL46=0,"",LauderNew!AL46-LauderOld!AL46)</f>
        <v/>
      </c>
      <c r="AM46" s="65" t="str">
        <f>IF(LauderNew!AM46-LauderOld!AM46=0,"",LauderNew!AM46-LauderOld!AM46)</f>
        <v/>
      </c>
      <c r="AN46" s="65" t="str">
        <f>IF(LauderNew!AN46-LauderOld!AN46=0,"",LauderNew!AN46-LauderOld!AN46)</f>
        <v/>
      </c>
      <c r="AO46" s="65" t="str">
        <f>IF(LauderNew!AO46-LauderOld!AO46=0,"",LauderNew!AO46-LauderOld!AO46)</f>
        <v/>
      </c>
      <c r="AP46" s="65" t="str">
        <f>IF(LauderNew!AP46-LauderOld!AP46=0,"",LauderNew!AP46-LauderOld!AP46)</f>
        <v/>
      </c>
      <c r="AQ46" s="65" t="str">
        <f>IF(LauderNew!AQ46-LauderOld!AQ46=0,"",LauderNew!AQ46-LauderOld!AQ46)</f>
        <v/>
      </c>
      <c r="AR46" s="65" t="str">
        <f>IF(LauderNew!AR46-LauderOld!AR46=0,"",LauderNew!AR46-LauderOld!AR46)</f>
        <v/>
      </c>
      <c r="AS46" s="65" t="str">
        <f>IF(LauderNew!AS46-LauderOld!AS46=0,"",LauderNew!AS46-LauderOld!AS46)</f>
        <v/>
      </c>
      <c r="AT46" s="65" t="str">
        <f>IF(LauderNew!AT46-LauderOld!AT46=0,"",LauderNew!AT46-LauderOld!AT46)</f>
        <v/>
      </c>
      <c r="AU46" s="65" t="str">
        <f>IF(LauderNew!AU46-LauderOld!AU46=0,"",LauderNew!AU46-LauderOld!AU46)</f>
        <v/>
      </c>
      <c r="AV46" s="65" t="str">
        <f>IF(LauderNew!AV46-LauderOld!AV46=0,"",LauderNew!AV46-LauderOld!AV46)</f>
        <v/>
      </c>
      <c r="AW46" s="65" t="str">
        <f>IF(LauderNew!AW46-LauderOld!AW46=0,"",LauderNew!AW46-LauderOld!AW46)</f>
        <v/>
      </c>
      <c r="AX46" s="65" t="str">
        <f>IF(LauderNew!AX46-LauderOld!AX46=0,"",LauderNew!AX46-LauderOld!AX46)</f>
        <v/>
      </c>
      <c r="AY46" s="65" t="str">
        <f>IF(LauderNew!AY46-LauderOld!AY46=0,"",LauderNew!AY46-LauderOld!AY46)</f>
        <v/>
      </c>
      <c r="AZ46" s="65" t="str">
        <f>IF(LauderNew!AZ46-LauderOld!AZ46=0,"",LauderNew!AZ46-LauderOld!AZ46)</f>
        <v/>
      </c>
      <c r="BA46" s="65" t="str">
        <f>IF(LauderNew!BA46-LauderOld!BA46=0,"",LauderNew!BA46-LauderOld!BA46)</f>
        <v/>
      </c>
      <c r="BB46" s="65" t="str">
        <f>IF(LauderNew!BB46-LauderOld!BB46=0,"",LauderNew!BB46-LauderOld!BB46)</f>
        <v/>
      </c>
      <c r="BC46" s="65" t="str">
        <f>IF(LauderNew!BC46-LauderOld!BC46=0,"",LauderNew!BC46-LauderOld!BC46)</f>
        <v/>
      </c>
      <c r="BD46" s="65" t="str">
        <f>IF(LauderNew!BD46-LauderOld!BD46=0,"",LauderNew!BD46-LauderOld!BD46)</f>
        <v/>
      </c>
    </row>
    <row r="47" spans="3:56" x14ac:dyDescent="0.25">
      <c r="C47" s="108"/>
      <c r="D47" s="50" t="s">
        <v>41</v>
      </c>
      <c r="E47" s="54" t="str">
        <f>IFERROR((SUM(E40:E46)*E49)/((40*(1-E48)+40)),"")</f>
        <v/>
      </c>
      <c r="F47" s="54" t="str">
        <f t="shared" ref="F47:BD47" si="10">IFERROR((SUM(F40:F46)*F49)/((40*(1-F48)+40)),"")</f>
        <v/>
      </c>
      <c r="G47" s="54" t="str">
        <f t="shared" si="10"/>
        <v/>
      </c>
      <c r="H47" s="54" t="str">
        <f t="shared" si="10"/>
        <v/>
      </c>
      <c r="I47" s="54" t="str">
        <f t="shared" si="10"/>
        <v/>
      </c>
      <c r="J47" s="54" t="str">
        <f t="shared" si="10"/>
        <v/>
      </c>
      <c r="K47" s="54" t="str">
        <f t="shared" si="10"/>
        <v/>
      </c>
      <c r="L47" s="54" t="str">
        <f t="shared" si="10"/>
        <v/>
      </c>
      <c r="M47" s="54" t="str">
        <f t="shared" si="10"/>
        <v/>
      </c>
      <c r="N47" s="54" t="str">
        <f t="shared" si="10"/>
        <v/>
      </c>
      <c r="O47" s="54" t="str">
        <f t="shared" si="10"/>
        <v/>
      </c>
      <c r="P47" s="54" t="str">
        <f t="shared" si="10"/>
        <v/>
      </c>
      <c r="Q47" s="54" t="str">
        <f t="shared" si="10"/>
        <v/>
      </c>
      <c r="R47" s="54" t="str">
        <f t="shared" si="10"/>
        <v/>
      </c>
      <c r="S47" s="54" t="str">
        <f t="shared" si="10"/>
        <v/>
      </c>
      <c r="T47" s="54" t="str">
        <f t="shared" si="10"/>
        <v/>
      </c>
      <c r="U47" s="54" t="str">
        <f t="shared" si="10"/>
        <v/>
      </c>
      <c r="V47" s="54" t="str">
        <f t="shared" si="10"/>
        <v/>
      </c>
      <c r="W47" s="54" t="str">
        <f t="shared" si="10"/>
        <v/>
      </c>
      <c r="X47" s="54" t="str">
        <f t="shared" si="10"/>
        <v/>
      </c>
      <c r="Y47" s="54" t="str">
        <f t="shared" si="10"/>
        <v/>
      </c>
      <c r="Z47" s="54" t="str">
        <f t="shared" si="10"/>
        <v/>
      </c>
      <c r="AA47" s="54" t="str">
        <f t="shared" si="10"/>
        <v/>
      </c>
      <c r="AB47" s="54" t="str">
        <f t="shared" si="10"/>
        <v/>
      </c>
      <c r="AC47" s="54" t="str">
        <f t="shared" si="10"/>
        <v/>
      </c>
      <c r="AD47" s="54" t="str">
        <f t="shared" si="10"/>
        <v/>
      </c>
      <c r="AE47" s="54" t="str">
        <f t="shared" si="10"/>
        <v/>
      </c>
      <c r="AF47" s="54" t="str">
        <f t="shared" si="10"/>
        <v/>
      </c>
      <c r="AG47" s="54" t="str">
        <f t="shared" si="10"/>
        <v/>
      </c>
      <c r="AH47" s="54" t="str">
        <f t="shared" si="10"/>
        <v/>
      </c>
      <c r="AI47" s="54" t="str">
        <f t="shared" si="10"/>
        <v/>
      </c>
      <c r="AJ47" s="54" t="str">
        <f t="shared" si="10"/>
        <v/>
      </c>
      <c r="AK47" s="54" t="str">
        <f t="shared" si="10"/>
        <v/>
      </c>
      <c r="AL47" s="54" t="str">
        <f t="shared" si="10"/>
        <v/>
      </c>
      <c r="AM47" s="54" t="str">
        <f t="shared" si="10"/>
        <v/>
      </c>
      <c r="AN47" s="54" t="str">
        <f t="shared" si="10"/>
        <v/>
      </c>
      <c r="AO47" s="54" t="str">
        <f t="shared" si="10"/>
        <v/>
      </c>
      <c r="AP47" s="54" t="str">
        <f t="shared" si="10"/>
        <v/>
      </c>
      <c r="AQ47" s="54" t="str">
        <f t="shared" si="10"/>
        <v/>
      </c>
      <c r="AR47" s="54" t="str">
        <f t="shared" si="10"/>
        <v/>
      </c>
      <c r="AS47" s="54" t="str">
        <f t="shared" si="10"/>
        <v/>
      </c>
      <c r="AT47" s="54" t="str">
        <f t="shared" si="10"/>
        <v/>
      </c>
      <c r="AU47" s="54" t="str">
        <f t="shared" si="10"/>
        <v/>
      </c>
      <c r="AV47" s="54" t="str">
        <f t="shared" si="10"/>
        <v/>
      </c>
      <c r="AW47" s="54" t="str">
        <f t="shared" si="10"/>
        <v/>
      </c>
      <c r="AX47" s="54" t="str">
        <f t="shared" si="10"/>
        <v/>
      </c>
      <c r="AY47" s="54" t="str">
        <f t="shared" si="10"/>
        <v/>
      </c>
      <c r="AZ47" s="54" t="str">
        <f t="shared" si="10"/>
        <v/>
      </c>
      <c r="BA47" s="54" t="str">
        <f t="shared" si="10"/>
        <v/>
      </c>
      <c r="BB47" s="54" t="str">
        <f t="shared" si="10"/>
        <v/>
      </c>
      <c r="BC47" s="54" t="str">
        <f t="shared" si="10"/>
        <v/>
      </c>
      <c r="BD47" s="54" t="str">
        <f t="shared" si="10"/>
        <v/>
      </c>
    </row>
    <row r="48" spans="3:56" x14ac:dyDescent="0.25">
      <c r="C48" s="108"/>
      <c r="D48" s="50" t="s">
        <v>42</v>
      </c>
      <c r="E48" s="67" t="str">
        <f>IF(LauderNew!E48-LauderOld!E48=0,"",LauderNew!E48-LauderOld!E48)</f>
        <v/>
      </c>
      <c r="F48" s="67" t="str">
        <f>IF(LauderNew!F48-LauderOld!F48=0,"",LauderNew!F48-LauderOld!F48)</f>
        <v/>
      </c>
      <c r="G48" s="67" t="str">
        <f>IF(LauderNew!G48-LauderOld!G48=0,"",LauderNew!G48-LauderOld!G48)</f>
        <v/>
      </c>
      <c r="H48" s="67" t="str">
        <f>IF(LauderNew!H48-LauderOld!H48=0,"",LauderNew!H48-LauderOld!H48)</f>
        <v/>
      </c>
      <c r="I48" s="67" t="str">
        <f>IF(LauderNew!I48-LauderOld!I48=0,"",LauderNew!I48-LauderOld!I48)</f>
        <v/>
      </c>
      <c r="J48" s="67" t="str">
        <f>IF(LauderNew!J48-LauderOld!J48=0,"",LauderNew!J48-LauderOld!J48)</f>
        <v/>
      </c>
      <c r="K48" s="67" t="str">
        <f>IF(LauderNew!K48-LauderOld!K48=0,"",LauderNew!K48-LauderOld!K48)</f>
        <v/>
      </c>
      <c r="L48" s="67" t="str">
        <f>IF(LauderNew!L48-LauderOld!L48=0,"",LauderNew!L48-LauderOld!L48)</f>
        <v/>
      </c>
      <c r="M48" s="67" t="str">
        <f>IF(LauderNew!M48-LauderOld!M48=0,"",LauderNew!M48-LauderOld!M48)</f>
        <v/>
      </c>
      <c r="N48" s="67" t="str">
        <f>IF(LauderNew!N48-LauderOld!N48=0,"",LauderNew!N48-LauderOld!N48)</f>
        <v/>
      </c>
      <c r="O48" s="67" t="str">
        <f>IF(LauderNew!O48-LauderOld!O48=0,"",LauderNew!O48-LauderOld!O48)</f>
        <v/>
      </c>
      <c r="P48" s="67" t="str">
        <f>IF(LauderNew!P48-LauderOld!P48=0,"",LauderNew!P48-LauderOld!P48)</f>
        <v/>
      </c>
      <c r="Q48" s="67" t="str">
        <f>IF(LauderNew!Q48-LauderOld!Q48=0,"",LauderNew!Q48-LauderOld!Q48)</f>
        <v/>
      </c>
      <c r="R48" s="67" t="str">
        <f>IF(LauderNew!R48-LauderOld!R48=0,"",LauderNew!R48-LauderOld!R48)</f>
        <v/>
      </c>
      <c r="S48" s="67" t="str">
        <f>IF(LauderNew!S48-LauderOld!S48=0,"",LauderNew!S48-LauderOld!S48)</f>
        <v/>
      </c>
      <c r="T48" s="67" t="str">
        <f>IF(LauderNew!T48-LauderOld!T48=0,"",LauderNew!T48-LauderOld!T48)</f>
        <v/>
      </c>
      <c r="U48" s="67" t="str">
        <f>IF(LauderNew!U48-LauderOld!U48=0,"",LauderNew!U48-LauderOld!U48)</f>
        <v/>
      </c>
      <c r="V48" s="67" t="str">
        <f>IF(LauderNew!V48-LauderOld!V48=0,"",LauderNew!V48-LauderOld!V48)</f>
        <v/>
      </c>
      <c r="W48" s="67" t="str">
        <f>IF(LauderNew!W48-LauderOld!W48=0,"",LauderNew!W48-LauderOld!W48)</f>
        <v/>
      </c>
      <c r="X48" s="67" t="str">
        <f>IF(LauderNew!X48-LauderOld!X48=0,"",LauderNew!X48-LauderOld!X48)</f>
        <v/>
      </c>
      <c r="Y48" s="67" t="str">
        <f>IF(LauderNew!Y48-LauderOld!Y48=0,"",LauderNew!Y48-LauderOld!Y48)</f>
        <v/>
      </c>
      <c r="Z48" s="67" t="str">
        <f>IF(LauderNew!Z48-LauderOld!Z48=0,"",LauderNew!Z48-LauderOld!Z48)</f>
        <v/>
      </c>
      <c r="AA48" s="67" t="str">
        <f>IF(LauderNew!AA48-LauderOld!AA48=0,"",LauderNew!AA48-LauderOld!AA48)</f>
        <v/>
      </c>
      <c r="AB48" s="67" t="str">
        <f>IF(LauderNew!AB48-LauderOld!AB48=0,"",LauderNew!AB48-LauderOld!AB48)</f>
        <v/>
      </c>
      <c r="AC48" s="67" t="str">
        <f>IF(LauderNew!AC48-LauderOld!AC48=0,"",LauderNew!AC48-LauderOld!AC48)</f>
        <v/>
      </c>
      <c r="AD48" s="67" t="str">
        <f>IF(LauderNew!AD48-LauderOld!AD48=0,"",LauderNew!AD48-LauderOld!AD48)</f>
        <v/>
      </c>
      <c r="AE48" s="67" t="str">
        <f>IF(LauderNew!AE48-LauderOld!AE48=0,"",LauderNew!AE48-LauderOld!AE48)</f>
        <v/>
      </c>
      <c r="AF48" s="67" t="str">
        <f>IF(LauderNew!AF48-LauderOld!AF48=0,"",LauderNew!AF48-LauderOld!AF48)</f>
        <v/>
      </c>
      <c r="AG48" s="67" t="str">
        <f>IF(LauderNew!AG48-LauderOld!AG48=0,"",LauderNew!AG48-LauderOld!AG48)</f>
        <v/>
      </c>
      <c r="AH48" s="67" t="str">
        <f>IF(LauderNew!AH48-LauderOld!AH48=0,"",LauderNew!AH48-LauderOld!AH48)</f>
        <v/>
      </c>
      <c r="AI48" s="67" t="str">
        <f>IF(LauderNew!AI48-LauderOld!AI48=0,"",LauderNew!AI48-LauderOld!AI48)</f>
        <v/>
      </c>
      <c r="AJ48" s="67" t="str">
        <f>IF(LauderNew!AJ48-LauderOld!AJ48=0,"",LauderNew!AJ48-LauderOld!AJ48)</f>
        <v/>
      </c>
      <c r="AK48" s="67" t="str">
        <f>IF(LauderNew!AK48-LauderOld!AK48=0,"",LauderNew!AK48-LauderOld!AK48)</f>
        <v/>
      </c>
      <c r="AL48" s="67" t="str">
        <f>IF(LauderNew!AL48-LauderOld!AL48=0,"",LauderNew!AL48-LauderOld!AL48)</f>
        <v/>
      </c>
      <c r="AM48" s="67" t="str">
        <f>IF(LauderNew!AM48-LauderOld!AM48=0,"",LauderNew!AM48-LauderOld!AM48)</f>
        <v/>
      </c>
      <c r="AN48" s="67" t="str">
        <f>IF(LauderNew!AN48-LauderOld!AN48=0,"",LauderNew!AN48-LauderOld!AN48)</f>
        <v/>
      </c>
      <c r="AO48" s="67" t="str">
        <f>IF(LauderNew!AO48-LauderOld!AO48=0,"",LauderNew!AO48-LauderOld!AO48)</f>
        <v/>
      </c>
      <c r="AP48" s="67" t="str">
        <f>IF(LauderNew!AP48-LauderOld!AP48=0,"",LauderNew!AP48-LauderOld!AP48)</f>
        <v/>
      </c>
      <c r="AQ48" s="67" t="str">
        <f>IF(LauderNew!AQ48-LauderOld!AQ48=0,"",LauderNew!AQ48-LauderOld!AQ48)</f>
        <v/>
      </c>
      <c r="AR48" s="67" t="str">
        <f>IF(LauderNew!AR48-LauderOld!AR48=0,"",LauderNew!AR48-LauderOld!AR48)</f>
        <v/>
      </c>
      <c r="AS48" s="67" t="str">
        <f>IF(LauderNew!AS48-LauderOld!AS48=0,"",LauderNew!AS48-LauderOld!AS48)</f>
        <v/>
      </c>
      <c r="AT48" s="67" t="str">
        <f>IF(LauderNew!AT48-LauderOld!AT48=0,"",LauderNew!AT48-LauderOld!AT48)</f>
        <v/>
      </c>
      <c r="AU48" s="67" t="str">
        <f>IF(LauderNew!AU48-LauderOld!AU48=0,"",LauderNew!AU48-LauderOld!AU48)</f>
        <v/>
      </c>
      <c r="AV48" s="67" t="str">
        <f>IF(LauderNew!AV48-LauderOld!AV48=0,"",LauderNew!AV48-LauderOld!AV48)</f>
        <v/>
      </c>
      <c r="AW48" s="67" t="str">
        <f>IF(LauderNew!AW48-LauderOld!AW48=0,"",LauderNew!AW48-LauderOld!AW48)</f>
        <v/>
      </c>
      <c r="AX48" s="67" t="str">
        <f>IF(LauderNew!AX48-LauderOld!AX48=0,"",LauderNew!AX48-LauderOld!AX48)</f>
        <v/>
      </c>
      <c r="AY48" s="67" t="str">
        <f>IF(LauderNew!AY48-LauderOld!AY48=0,"",LauderNew!AY48-LauderOld!AY48)</f>
        <v/>
      </c>
      <c r="AZ48" s="67" t="str">
        <f>IF(LauderNew!AZ48-LauderOld!AZ48=0,"",LauderNew!AZ48-LauderOld!AZ48)</f>
        <v/>
      </c>
      <c r="BA48" s="67" t="str">
        <f>IF(LauderNew!BA48-LauderOld!BA48=0,"",LauderNew!BA48-LauderOld!BA48)</f>
        <v/>
      </c>
      <c r="BB48" s="67" t="str">
        <f>IF(LauderNew!BB48-LauderOld!BB48=0,"",LauderNew!BB48-LauderOld!BB48)</f>
        <v/>
      </c>
      <c r="BC48" s="67" t="str">
        <f>IF(LauderNew!BC48-LauderOld!BC48=0,"",LauderNew!BC48-LauderOld!BC48)</f>
        <v/>
      </c>
      <c r="BD48" s="67" t="str">
        <f>IF(LauderNew!BD48-LauderOld!BD48=0,"",LauderNew!BD48-LauderOld!BD48)</f>
        <v/>
      </c>
    </row>
    <row r="49" spans="3:56" x14ac:dyDescent="0.25">
      <c r="C49" s="108"/>
      <c r="D49" s="50" t="s">
        <v>43</v>
      </c>
      <c r="E49" s="65" t="str">
        <f>IF(LauderNew!E49-LauderOld!E49=0,"",LauderNew!E49-LauderOld!E49)</f>
        <v/>
      </c>
      <c r="F49" s="65" t="str">
        <f>IF(LauderNew!F49-LauderOld!F49=0,"",LauderNew!F49-LauderOld!F49)</f>
        <v/>
      </c>
      <c r="G49" s="65" t="str">
        <f>IF(LauderNew!G49-LauderOld!G49=0,"",LauderNew!G49-LauderOld!G49)</f>
        <v/>
      </c>
      <c r="H49" s="65" t="str">
        <f>IF(LauderNew!H49-LauderOld!H49=0,"",LauderNew!H49-LauderOld!H49)</f>
        <v/>
      </c>
      <c r="I49" s="65" t="str">
        <f>IF(LauderNew!I49-LauderOld!I49=0,"",LauderNew!I49-LauderOld!I49)</f>
        <v/>
      </c>
      <c r="J49" s="65" t="str">
        <f>IF(LauderNew!J49-LauderOld!J49=0,"",LauderNew!J49-LauderOld!J49)</f>
        <v/>
      </c>
      <c r="K49" s="65" t="str">
        <f>IF(LauderNew!K49-LauderOld!K49=0,"",LauderNew!K49-LauderOld!K49)</f>
        <v/>
      </c>
      <c r="L49" s="65" t="str">
        <f>IF(LauderNew!L49-LauderOld!L49=0,"",LauderNew!L49-LauderOld!L49)</f>
        <v/>
      </c>
      <c r="M49" s="65" t="str">
        <f>IF(LauderNew!M49-LauderOld!M49=0,"",LauderNew!M49-LauderOld!M49)</f>
        <v/>
      </c>
      <c r="N49" s="65" t="str">
        <f>IF(LauderNew!N49-LauderOld!N49=0,"",LauderNew!N49-LauderOld!N49)</f>
        <v/>
      </c>
      <c r="O49" s="65" t="str">
        <f>IF(LauderNew!O49-LauderOld!O49=0,"",LauderNew!O49-LauderOld!O49)</f>
        <v/>
      </c>
      <c r="P49" s="65" t="str">
        <f>IF(LauderNew!P49-LauderOld!P49=0,"",LauderNew!P49-LauderOld!P49)</f>
        <v/>
      </c>
      <c r="Q49" s="65" t="str">
        <f>IF(LauderNew!Q49-LauderOld!Q49=0,"",LauderNew!Q49-LauderOld!Q49)</f>
        <v/>
      </c>
      <c r="R49" s="65" t="str">
        <f>IF(LauderNew!R49-LauderOld!R49=0,"",LauderNew!R49-LauderOld!R49)</f>
        <v/>
      </c>
      <c r="S49" s="65" t="str">
        <f>IF(LauderNew!S49-LauderOld!S49=0,"",LauderNew!S49-LauderOld!S49)</f>
        <v/>
      </c>
      <c r="T49" s="65" t="str">
        <f>IF(LauderNew!T49-LauderOld!T49=0,"",LauderNew!T49-LauderOld!T49)</f>
        <v/>
      </c>
      <c r="U49" s="65" t="str">
        <f>IF(LauderNew!U49-LauderOld!U49=0,"",LauderNew!U49-LauderOld!U49)</f>
        <v/>
      </c>
      <c r="V49" s="65" t="str">
        <f>IF(LauderNew!V49-LauderOld!V49=0,"",LauderNew!V49-LauderOld!V49)</f>
        <v/>
      </c>
      <c r="W49" s="65" t="str">
        <f>IF(LauderNew!W49-LauderOld!W49=0,"",LauderNew!W49-LauderOld!W49)</f>
        <v/>
      </c>
      <c r="X49" s="65" t="str">
        <f>IF(LauderNew!X49-LauderOld!X49=0,"",LauderNew!X49-LauderOld!X49)</f>
        <v/>
      </c>
      <c r="Y49" s="65" t="str">
        <f>IF(LauderNew!Y49-LauderOld!Y49=0,"",LauderNew!Y49-LauderOld!Y49)</f>
        <v/>
      </c>
      <c r="Z49" s="65" t="str">
        <f>IF(LauderNew!Z49-LauderOld!Z49=0,"",LauderNew!Z49-LauderOld!Z49)</f>
        <v/>
      </c>
      <c r="AA49" s="65" t="str">
        <f>IF(LauderNew!AA49-LauderOld!AA49=0,"",LauderNew!AA49-LauderOld!AA49)</f>
        <v/>
      </c>
      <c r="AB49" s="65" t="str">
        <f>IF(LauderNew!AB49-LauderOld!AB49=0,"",LauderNew!AB49-LauderOld!AB49)</f>
        <v/>
      </c>
      <c r="AC49" s="65" t="str">
        <f>IF(LauderNew!AC49-LauderOld!AC49=0,"",LauderNew!AC49-LauderOld!AC49)</f>
        <v/>
      </c>
      <c r="AD49" s="65" t="str">
        <f>IF(LauderNew!AD49-LauderOld!AD49=0,"",LauderNew!AD49-LauderOld!AD49)</f>
        <v/>
      </c>
      <c r="AE49" s="65" t="str">
        <f>IF(LauderNew!AE49-LauderOld!AE49=0,"",LauderNew!AE49-LauderOld!AE49)</f>
        <v/>
      </c>
      <c r="AF49" s="65" t="str">
        <f>IF(LauderNew!AF49-LauderOld!AF49=0,"",LauderNew!AF49-LauderOld!AF49)</f>
        <v/>
      </c>
      <c r="AG49" s="65" t="str">
        <f>IF(LauderNew!AG49-LauderOld!AG49=0,"",LauderNew!AG49-LauderOld!AG49)</f>
        <v/>
      </c>
      <c r="AH49" s="65" t="str">
        <f>IF(LauderNew!AH49-LauderOld!AH49=0,"",LauderNew!AH49-LauderOld!AH49)</f>
        <v/>
      </c>
      <c r="AI49" s="65" t="str">
        <f>IF(LauderNew!AI49-LauderOld!AI49=0,"",LauderNew!AI49-LauderOld!AI49)</f>
        <v/>
      </c>
      <c r="AJ49" s="65" t="str">
        <f>IF(LauderNew!AJ49-LauderOld!AJ49=0,"",LauderNew!AJ49-LauderOld!AJ49)</f>
        <v/>
      </c>
      <c r="AK49" s="65" t="str">
        <f>IF(LauderNew!AK49-LauderOld!AK49=0,"",LauderNew!AK49-LauderOld!AK49)</f>
        <v/>
      </c>
      <c r="AL49" s="65" t="str">
        <f>IF(LauderNew!AL49-LauderOld!AL49=0,"",LauderNew!AL49-LauderOld!AL49)</f>
        <v/>
      </c>
      <c r="AM49" s="65" t="str">
        <f>IF(LauderNew!AM49-LauderOld!AM49=0,"",LauderNew!AM49-LauderOld!AM49)</f>
        <v/>
      </c>
      <c r="AN49" s="65" t="str">
        <f>IF(LauderNew!AN49-LauderOld!AN49=0,"",LauderNew!AN49-LauderOld!AN49)</f>
        <v/>
      </c>
      <c r="AO49" s="65" t="str">
        <f>IF(LauderNew!AO49-LauderOld!AO49=0,"",LauderNew!AO49-LauderOld!AO49)</f>
        <v/>
      </c>
      <c r="AP49" s="65" t="str">
        <f>IF(LauderNew!AP49-LauderOld!AP49=0,"",LauderNew!AP49-LauderOld!AP49)</f>
        <v/>
      </c>
      <c r="AQ49" s="65" t="str">
        <f>IF(LauderNew!AQ49-LauderOld!AQ49=0,"",LauderNew!AQ49-LauderOld!AQ49)</f>
        <v/>
      </c>
      <c r="AR49" s="65" t="str">
        <f>IF(LauderNew!AR49-LauderOld!AR49=0,"",LauderNew!AR49-LauderOld!AR49)</f>
        <v/>
      </c>
      <c r="AS49" s="65" t="str">
        <f>IF(LauderNew!AS49-LauderOld!AS49=0,"",LauderNew!AS49-LauderOld!AS49)</f>
        <v/>
      </c>
      <c r="AT49" s="65" t="str">
        <f>IF(LauderNew!AT49-LauderOld!AT49=0,"",LauderNew!AT49-LauderOld!AT49)</f>
        <v/>
      </c>
      <c r="AU49" s="65" t="str">
        <f>IF(LauderNew!AU49-LauderOld!AU49=0,"",LauderNew!AU49-LauderOld!AU49)</f>
        <v/>
      </c>
      <c r="AV49" s="65" t="str">
        <f>IF(LauderNew!AV49-LauderOld!AV49=0,"",LauderNew!AV49-LauderOld!AV49)</f>
        <v/>
      </c>
      <c r="AW49" s="65" t="str">
        <f>IF(LauderNew!AW49-LauderOld!AW49=0,"",LauderNew!AW49-LauderOld!AW49)</f>
        <v/>
      </c>
      <c r="AX49" s="65" t="str">
        <f>IF(LauderNew!AX49-LauderOld!AX49=0,"",LauderNew!AX49-LauderOld!AX49)</f>
        <v/>
      </c>
      <c r="AY49" s="65" t="str">
        <f>IF(LauderNew!AY49-LauderOld!AY49=0,"",LauderNew!AY49-LauderOld!AY49)</f>
        <v/>
      </c>
      <c r="AZ49" s="65" t="str">
        <f>IF(LauderNew!AZ49-LauderOld!AZ49=0,"",LauderNew!AZ49-LauderOld!AZ49)</f>
        <v/>
      </c>
      <c r="BA49" s="65" t="str">
        <f>IF(LauderNew!BA49-LauderOld!BA49=0,"",LauderNew!BA49-LauderOld!BA49)</f>
        <v/>
      </c>
      <c r="BB49" s="65" t="str">
        <f>IF(LauderNew!BB49-LauderOld!BB49=0,"",LauderNew!BB49-LauderOld!BB49)</f>
        <v/>
      </c>
      <c r="BC49" s="65" t="str">
        <f>IF(LauderNew!BC49-LauderOld!BC49=0,"",LauderNew!BC49-LauderOld!BC49)</f>
        <v/>
      </c>
      <c r="BD49" s="65" t="str">
        <f>IF(LauderNew!BD49-LauderOld!BD49=0,"",LauderNew!BD49-LauderOld!BD49)</f>
        <v/>
      </c>
    </row>
    <row r="50" spans="3:56" x14ac:dyDescent="0.25">
      <c r="C50" s="108"/>
      <c r="D50" s="51" t="s">
        <v>44</v>
      </c>
      <c r="E50" s="61">
        <f t="shared" ref="E50:L50" si="11">SUM(E40:E47)</f>
        <v>0</v>
      </c>
      <c r="F50" s="61">
        <f t="shared" si="11"/>
        <v>0</v>
      </c>
      <c r="G50" s="61">
        <f t="shared" si="11"/>
        <v>0</v>
      </c>
      <c r="H50" s="61">
        <f t="shared" si="11"/>
        <v>0</v>
      </c>
      <c r="I50" s="61">
        <f t="shared" si="11"/>
        <v>0</v>
      </c>
      <c r="J50" s="61">
        <f t="shared" si="11"/>
        <v>0</v>
      </c>
      <c r="K50" s="61">
        <f t="shared" si="11"/>
        <v>0</v>
      </c>
      <c r="L50" s="61">
        <f t="shared" si="11"/>
        <v>0</v>
      </c>
      <c r="M50" s="61">
        <f t="shared" ref="M50:BD50" si="12">SUM(M40:M47)</f>
        <v>0</v>
      </c>
      <c r="N50" s="61">
        <f t="shared" si="12"/>
        <v>0</v>
      </c>
      <c r="O50" s="61">
        <f t="shared" si="12"/>
        <v>0</v>
      </c>
      <c r="P50" s="61">
        <f t="shared" si="12"/>
        <v>0</v>
      </c>
      <c r="Q50" s="61">
        <f t="shared" si="12"/>
        <v>0</v>
      </c>
      <c r="R50" s="61">
        <f t="shared" si="12"/>
        <v>0</v>
      </c>
      <c r="S50" s="61">
        <f t="shared" si="12"/>
        <v>0</v>
      </c>
      <c r="T50" s="61">
        <f t="shared" si="12"/>
        <v>0</v>
      </c>
      <c r="U50" s="61">
        <f t="shared" si="12"/>
        <v>0</v>
      </c>
      <c r="V50" s="61">
        <f t="shared" si="12"/>
        <v>0</v>
      </c>
      <c r="W50" s="61">
        <f t="shared" si="12"/>
        <v>0</v>
      </c>
      <c r="X50" s="61">
        <f t="shared" si="12"/>
        <v>0</v>
      </c>
      <c r="Y50" s="61">
        <f t="shared" si="12"/>
        <v>0</v>
      </c>
      <c r="Z50" s="61">
        <f t="shared" si="12"/>
        <v>0</v>
      </c>
      <c r="AA50" s="61">
        <f t="shared" si="12"/>
        <v>0</v>
      </c>
      <c r="AB50" s="61">
        <f t="shared" si="12"/>
        <v>0</v>
      </c>
      <c r="AC50" s="61">
        <f t="shared" si="12"/>
        <v>0</v>
      </c>
      <c r="AD50" s="61">
        <f t="shared" si="12"/>
        <v>0</v>
      </c>
      <c r="AE50" s="61">
        <f t="shared" si="12"/>
        <v>0</v>
      </c>
      <c r="AF50" s="61">
        <f t="shared" si="12"/>
        <v>0</v>
      </c>
      <c r="AG50" s="61">
        <f t="shared" si="12"/>
        <v>0</v>
      </c>
      <c r="AH50" s="61">
        <f t="shared" si="12"/>
        <v>0</v>
      </c>
      <c r="AI50" s="61">
        <f t="shared" si="12"/>
        <v>0</v>
      </c>
      <c r="AJ50" s="61">
        <f t="shared" si="12"/>
        <v>0</v>
      </c>
      <c r="AK50" s="61">
        <f t="shared" si="12"/>
        <v>0</v>
      </c>
      <c r="AL50" s="61">
        <f t="shared" si="12"/>
        <v>0</v>
      </c>
      <c r="AM50" s="61">
        <f t="shared" si="12"/>
        <v>0</v>
      </c>
      <c r="AN50" s="61">
        <f t="shared" si="12"/>
        <v>0</v>
      </c>
      <c r="AO50" s="61">
        <f t="shared" si="12"/>
        <v>0</v>
      </c>
      <c r="AP50" s="61">
        <f t="shared" si="12"/>
        <v>0</v>
      </c>
      <c r="AQ50" s="61">
        <f t="shared" si="12"/>
        <v>0</v>
      </c>
      <c r="AR50" s="61">
        <f t="shared" si="12"/>
        <v>0</v>
      </c>
      <c r="AS50" s="61">
        <f t="shared" si="12"/>
        <v>0</v>
      </c>
      <c r="AT50" s="61">
        <f t="shared" si="12"/>
        <v>0</v>
      </c>
      <c r="AU50" s="61">
        <f t="shared" si="12"/>
        <v>0</v>
      </c>
      <c r="AV50" s="61">
        <f t="shared" si="12"/>
        <v>0</v>
      </c>
      <c r="AW50" s="61">
        <f t="shared" si="12"/>
        <v>0</v>
      </c>
      <c r="AX50" s="61">
        <f t="shared" si="12"/>
        <v>0</v>
      </c>
      <c r="AY50" s="61">
        <f t="shared" si="12"/>
        <v>0</v>
      </c>
      <c r="AZ50" s="61">
        <f t="shared" si="12"/>
        <v>0</v>
      </c>
      <c r="BA50" s="61">
        <f t="shared" si="12"/>
        <v>0</v>
      </c>
      <c r="BB50" s="61">
        <f t="shared" si="12"/>
        <v>0</v>
      </c>
      <c r="BC50" s="61">
        <f t="shared" si="12"/>
        <v>0</v>
      </c>
      <c r="BD50" s="61">
        <f t="shared" si="12"/>
        <v>0</v>
      </c>
    </row>
    <row r="51" spans="3:56" x14ac:dyDescent="0.25">
      <c r="C51" s="108"/>
      <c r="D51" s="52" t="s">
        <v>45</v>
      </c>
      <c r="E51" s="56" t="str">
        <f>IFERROR(E50-E38,"")</f>
        <v/>
      </c>
      <c r="F51" s="56" t="str">
        <f t="shared" ref="F51:BD51" si="13">IFERROR(F50-F38,"")</f>
        <v/>
      </c>
      <c r="G51" s="56" t="str">
        <f t="shared" si="13"/>
        <v/>
      </c>
      <c r="H51" s="56" t="str">
        <f t="shared" si="13"/>
        <v/>
      </c>
      <c r="I51" s="56" t="str">
        <f t="shared" si="13"/>
        <v/>
      </c>
      <c r="J51" s="56" t="str">
        <f t="shared" si="13"/>
        <v/>
      </c>
      <c r="K51" s="56" t="str">
        <f t="shared" si="13"/>
        <v/>
      </c>
      <c r="L51" s="56" t="str">
        <f t="shared" si="13"/>
        <v/>
      </c>
      <c r="M51" s="56" t="str">
        <f t="shared" si="13"/>
        <v/>
      </c>
      <c r="N51" s="56" t="str">
        <f t="shared" si="13"/>
        <v/>
      </c>
      <c r="O51" s="56" t="str">
        <f t="shared" si="13"/>
        <v/>
      </c>
      <c r="P51" s="56" t="str">
        <f t="shared" si="13"/>
        <v/>
      </c>
      <c r="Q51" s="56" t="str">
        <f t="shared" si="13"/>
        <v/>
      </c>
      <c r="R51" s="56" t="str">
        <f t="shared" si="13"/>
        <v/>
      </c>
      <c r="S51" s="56" t="str">
        <f t="shared" si="13"/>
        <v/>
      </c>
      <c r="T51" s="56" t="str">
        <f t="shared" si="13"/>
        <v/>
      </c>
      <c r="U51" s="56" t="str">
        <f t="shared" si="13"/>
        <v/>
      </c>
      <c r="V51" s="56" t="str">
        <f t="shared" si="13"/>
        <v/>
      </c>
      <c r="W51" s="56" t="str">
        <f t="shared" si="13"/>
        <v/>
      </c>
      <c r="X51" s="56" t="str">
        <f t="shared" si="13"/>
        <v/>
      </c>
      <c r="Y51" s="56" t="str">
        <f t="shared" si="13"/>
        <v/>
      </c>
      <c r="Z51" s="56" t="str">
        <f t="shared" si="13"/>
        <v/>
      </c>
      <c r="AA51" s="56" t="str">
        <f t="shared" si="13"/>
        <v/>
      </c>
      <c r="AB51" s="56" t="str">
        <f t="shared" si="13"/>
        <v/>
      </c>
      <c r="AC51" s="56" t="str">
        <f t="shared" si="13"/>
        <v/>
      </c>
      <c r="AD51" s="56" t="str">
        <f t="shared" si="13"/>
        <v/>
      </c>
      <c r="AE51" s="56" t="str">
        <f t="shared" si="13"/>
        <v/>
      </c>
      <c r="AF51" s="56" t="str">
        <f t="shared" si="13"/>
        <v/>
      </c>
      <c r="AG51" s="56" t="str">
        <f t="shared" si="13"/>
        <v/>
      </c>
      <c r="AH51" s="56" t="str">
        <f t="shared" si="13"/>
        <v/>
      </c>
      <c r="AI51" s="56" t="str">
        <f t="shared" si="13"/>
        <v/>
      </c>
      <c r="AJ51" s="56" t="str">
        <f t="shared" si="13"/>
        <v/>
      </c>
      <c r="AK51" s="56" t="str">
        <f t="shared" si="13"/>
        <v/>
      </c>
      <c r="AL51" s="56" t="str">
        <f t="shared" si="13"/>
        <v/>
      </c>
      <c r="AM51" s="56" t="str">
        <f t="shared" si="13"/>
        <v/>
      </c>
      <c r="AN51" s="56" t="str">
        <f t="shared" si="13"/>
        <v/>
      </c>
      <c r="AO51" s="56" t="str">
        <f t="shared" si="13"/>
        <v/>
      </c>
      <c r="AP51" s="56" t="str">
        <f t="shared" si="13"/>
        <v/>
      </c>
      <c r="AQ51" s="56" t="str">
        <f t="shared" si="13"/>
        <v/>
      </c>
      <c r="AR51" s="56" t="str">
        <f t="shared" si="13"/>
        <v/>
      </c>
      <c r="AS51" s="56" t="str">
        <f t="shared" si="13"/>
        <v/>
      </c>
      <c r="AT51" s="56" t="str">
        <f t="shared" si="13"/>
        <v/>
      </c>
      <c r="AU51" s="56" t="str">
        <f t="shared" si="13"/>
        <v/>
      </c>
      <c r="AV51" s="56" t="str">
        <f t="shared" si="13"/>
        <v/>
      </c>
      <c r="AW51" s="56" t="str">
        <f t="shared" si="13"/>
        <v/>
      </c>
      <c r="AX51" s="56" t="str">
        <f t="shared" si="13"/>
        <v/>
      </c>
      <c r="AY51" s="56" t="str">
        <f t="shared" si="13"/>
        <v/>
      </c>
      <c r="AZ51" s="56" t="str">
        <f t="shared" si="13"/>
        <v/>
      </c>
      <c r="BA51" s="56" t="str">
        <f t="shared" si="13"/>
        <v/>
      </c>
      <c r="BB51" s="56" t="str">
        <f t="shared" si="13"/>
        <v/>
      </c>
      <c r="BC51" s="56" t="str">
        <f t="shared" si="13"/>
        <v/>
      </c>
      <c r="BD51" s="56" t="str">
        <f t="shared" si="13"/>
        <v/>
      </c>
    </row>
    <row r="52" spans="3:56" x14ac:dyDescent="0.25">
      <c r="C52" s="48"/>
      <c r="E52" s="42"/>
      <c r="F52" s="42"/>
      <c r="G52" s="42"/>
      <c r="H52" s="42"/>
      <c r="I52" s="42"/>
      <c r="J52" s="42"/>
      <c r="K52" s="42"/>
      <c r="L52" s="42"/>
      <c r="M52" s="42"/>
    </row>
    <row r="53" spans="3:56" x14ac:dyDescent="0.25">
      <c r="D53" s="46" t="s">
        <v>19</v>
      </c>
      <c r="E53" s="82">
        <f t="shared" ref="E53:BD53" si="14">E2</f>
        <v>44569</v>
      </c>
      <c r="F53" s="82">
        <f t="shared" si="14"/>
        <v>44576</v>
      </c>
      <c r="G53" s="82">
        <f t="shared" si="14"/>
        <v>44583</v>
      </c>
      <c r="H53" s="82">
        <f t="shared" si="14"/>
        <v>44590</v>
      </c>
      <c r="I53" s="82">
        <f t="shared" si="14"/>
        <v>44597</v>
      </c>
      <c r="J53" s="82">
        <f t="shared" si="14"/>
        <v>44604</v>
      </c>
      <c r="K53" s="82">
        <f t="shared" si="14"/>
        <v>44611</v>
      </c>
      <c r="L53" s="82">
        <f t="shared" si="14"/>
        <v>44618</v>
      </c>
      <c r="M53" s="82">
        <f t="shared" si="14"/>
        <v>44625</v>
      </c>
      <c r="N53" s="82">
        <f t="shared" si="14"/>
        <v>44632</v>
      </c>
      <c r="O53" s="82">
        <f t="shared" si="14"/>
        <v>44639</v>
      </c>
      <c r="P53" s="82">
        <f t="shared" si="14"/>
        <v>44646</v>
      </c>
      <c r="Q53" s="82">
        <f t="shared" si="14"/>
        <v>44653</v>
      </c>
      <c r="R53" s="82">
        <f t="shared" si="14"/>
        <v>44660</v>
      </c>
      <c r="S53" s="82">
        <f t="shared" si="14"/>
        <v>44667</v>
      </c>
      <c r="T53" s="82">
        <f t="shared" si="14"/>
        <v>44674</v>
      </c>
      <c r="U53" s="82">
        <f t="shared" si="14"/>
        <v>44681</v>
      </c>
      <c r="V53" s="82">
        <f t="shared" si="14"/>
        <v>44688</v>
      </c>
      <c r="W53" s="82">
        <f t="shared" si="14"/>
        <v>44695</v>
      </c>
      <c r="X53" s="82">
        <f t="shared" si="14"/>
        <v>44702</v>
      </c>
      <c r="Y53" s="82">
        <f t="shared" si="14"/>
        <v>44709</v>
      </c>
      <c r="Z53" s="82">
        <f t="shared" si="14"/>
        <v>44716</v>
      </c>
      <c r="AA53" s="82">
        <f t="shared" si="14"/>
        <v>44723</v>
      </c>
      <c r="AB53" s="82">
        <f t="shared" si="14"/>
        <v>44730</v>
      </c>
      <c r="AC53" s="82">
        <f t="shared" si="14"/>
        <v>44737</v>
      </c>
      <c r="AD53" s="82">
        <f t="shared" si="14"/>
        <v>44744</v>
      </c>
      <c r="AE53" s="82">
        <f t="shared" si="14"/>
        <v>44751</v>
      </c>
      <c r="AF53" s="82">
        <f t="shared" si="14"/>
        <v>44758</v>
      </c>
      <c r="AG53" s="82">
        <f t="shared" si="14"/>
        <v>44765</v>
      </c>
      <c r="AH53" s="82">
        <f t="shared" si="14"/>
        <v>44772</v>
      </c>
      <c r="AI53" s="82">
        <f t="shared" si="14"/>
        <v>44779</v>
      </c>
      <c r="AJ53" s="82">
        <f t="shared" si="14"/>
        <v>44786</v>
      </c>
      <c r="AK53" s="82">
        <f t="shared" si="14"/>
        <v>44793</v>
      </c>
      <c r="AL53" s="82">
        <f t="shared" si="14"/>
        <v>44800</v>
      </c>
      <c r="AM53" s="82">
        <f t="shared" si="14"/>
        <v>44807</v>
      </c>
      <c r="AN53" s="82">
        <f t="shared" si="14"/>
        <v>44814</v>
      </c>
      <c r="AO53" s="82">
        <f t="shared" si="14"/>
        <v>44821</v>
      </c>
      <c r="AP53" s="82">
        <f t="shared" si="14"/>
        <v>44828</v>
      </c>
      <c r="AQ53" s="82">
        <f t="shared" si="14"/>
        <v>44835</v>
      </c>
      <c r="AR53" s="82">
        <f t="shared" si="14"/>
        <v>44842</v>
      </c>
      <c r="AS53" s="82">
        <f t="shared" si="14"/>
        <v>44849</v>
      </c>
      <c r="AT53" s="82">
        <f t="shared" si="14"/>
        <v>44856</v>
      </c>
      <c r="AU53" s="82">
        <f t="shared" si="14"/>
        <v>44863</v>
      </c>
      <c r="AV53" s="82">
        <f t="shared" si="14"/>
        <v>44870</v>
      </c>
      <c r="AW53" s="82">
        <f t="shared" si="14"/>
        <v>44877</v>
      </c>
      <c r="AX53" s="82">
        <f t="shared" si="14"/>
        <v>44884</v>
      </c>
      <c r="AY53" s="82">
        <f t="shared" si="14"/>
        <v>44891</v>
      </c>
      <c r="AZ53" s="82">
        <f t="shared" si="14"/>
        <v>44898</v>
      </c>
      <c r="BA53" s="82">
        <f t="shared" si="14"/>
        <v>44905</v>
      </c>
      <c r="BB53" s="82">
        <f t="shared" si="14"/>
        <v>44912</v>
      </c>
      <c r="BC53" s="82">
        <f t="shared" si="14"/>
        <v>44919</v>
      </c>
      <c r="BD53" s="82">
        <f t="shared" si="14"/>
        <v>44926</v>
      </c>
    </row>
    <row r="54" spans="3:56" x14ac:dyDescent="0.25">
      <c r="C54" s="107" t="s">
        <v>19</v>
      </c>
      <c r="D54" s="41" t="s">
        <v>21</v>
      </c>
      <c r="E54" s="70" t="str">
        <f>IF(LauderNew!E54-LauderOld!E54=0,"",LauderNew!E54-LauderOld!E54)</f>
        <v/>
      </c>
      <c r="F54" s="70" t="str">
        <f>IF(LauderNew!F54-LauderOld!F54=0,"",LauderNew!F54-LauderOld!F54)</f>
        <v/>
      </c>
      <c r="G54" s="70" t="str">
        <f>IF(LauderNew!G54-LauderOld!G54=0,"",LauderNew!G54-LauderOld!G54)</f>
        <v/>
      </c>
      <c r="H54" s="70" t="str">
        <f>IF(LauderNew!H54-LauderOld!H54=0,"",LauderNew!H54-LauderOld!H54)</f>
        <v/>
      </c>
      <c r="I54" s="70" t="str">
        <f>IF(LauderNew!I54-LauderOld!I54=0,"",LauderNew!I54-LauderOld!I54)</f>
        <v/>
      </c>
      <c r="J54" s="70" t="str">
        <f>IF(LauderNew!J54-LauderOld!J54=0,"",LauderNew!J54-LauderOld!J54)</f>
        <v/>
      </c>
      <c r="K54" s="70" t="str">
        <f>IF(LauderNew!K54-LauderOld!K54=0,"",LauderNew!K54-LauderOld!K54)</f>
        <v/>
      </c>
      <c r="L54" s="70" t="str">
        <f>IF(LauderNew!L54-LauderOld!L54=0,"",LauderNew!L54-LauderOld!L54)</f>
        <v/>
      </c>
      <c r="M54" s="70" t="str">
        <f>IF(LauderNew!M54-LauderOld!M54=0,"",LauderNew!M54-LauderOld!M54)</f>
        <v/>
      </c>
      <c r="N54" s="70" t="str">
        <f>IF(LauderNew!N54-LauderOld!N54=0,"",LauderNew!N54-LauderOld!N54)</f>
        <v/>
      </c>
      <c r="O54" s="70" t="str">
        <f>IF(LauderNew!O54-LauderOld!O54=0,"",LauderNew!O54-LauderOld!O54)</f>
        <v/>
      </c>
      <c r="P54" s="70" t="str">
        <f>IF(LauderNew!P54-LauderOld!P54=0,"",LauderNew!P54-LauderOld!P54)</f>
        <v/>
      </c>
      <c r="Q54" s="70" t="str">
        <f>IF(LauderNew!Q54-LauderOld!Q54=0,"",LauderNew!Q54-LauderOld!Q54)</f>
        <v/>
      </c>
      <c r="R54" s="70" t="str">
        <f>IF(LauderNew!R54-LauderOld!R54=0,"",LauderNew!R54-LauderOld!R54)</f>
        <v/>
      </c>
      <c r="S54" s="70" t="str">
        <f>IF(LauderNew!S54-LauderOld!S54=0,"",LauderNew!S54-LauderOld!S54)</f>
        <v/>
      </c>
      <c r="T54" s="70" t="str">
        <f>IF(LauderNew!T54-LauderOld!T54=0,"",LauderNew!T54-LauderOld!T54)</f>
        <v/>
      </c>
      <c r="U54" s="70" t="str">
        <f>IF(LauderNew!U54-LauderOld!U54=0,"",LauderNew!U54-LauderOld!U54)</f>
        <v/>
      </c>
      <c r="V54" s="70" t="str">
        <f>IF(LauderNew!V54-LauderOld!V54=0,"",LauderNew!V54-LauderOld!V54)</f>
        <v/>
      </c>
      <c r="W54" s="70" t="str">
        <f>IF(LauderNew!W54-LauderOld!W54=0,"",LauderNew!W54-LauderOld!W54)</f>
        <v/>
      </c>
      <c r="X54" s="70" t="str">
        <f>IF(LauderNew!X54-LauderOld!X54=0,"",LauderNew!X54-LauderOld!X54)</f>
        <v/>
      </c>
      <c r="Y54" s="70">
        <f>IF(LauderNew!Y54-LauderOld!Y54=0,"",LauderNew!Y54-LauderOld!Y54)</f>
        <v>-527.1200000000008</v>
      </c>
      <c r="Z54" s="70" t="str">
        <f>IF(LauderNew!Z54-LauderOld!Z54=0,"",LauderNew!Z54-LauderOld!Z54)</f>
        <v/>
      </c>
      <c r="AA54" s="70" t="str">
        <f>IF(LauderNew!AA54-LauderOld!AA54=0,"",LauderNew!AA54-LauderOld!AA54)</f>
        <v/>
      </c>
      <c r="AB54" s="70" t="str">
        <f>IF(LauderNew!AB54-LauderOld!AB54=0,"",LauderNew!AB54-LauderOld!AB54)</f>
        <v/>
      </c>
      <c r="AC54" s="70" t="str">
        <f>IF(LauderNew!AC54-LauderOld!AC54=0,"",LauderNew!AC54-LauderOld!AC54)</f>
        <v/>
      </c>
      <c r="AD54" s="70" t="str">
        <f>IF(LauderNew!AD54-LauderOld!AD54=0,"",LauderNew!AD54-LauderOld!AD54)</f>
        <v/>
      </c>
      <c r="AE54" s="70" t="str">
        <f>IF(LauderNew!AE54-LauderOld!AE54=0,"",LauderNew!AE54-LauderOld!AE54)</f>
        <v/>
      </c>
      <c r="AF54" s="70" t="str">
        <f>IF(LauderNew!AF54-LauderOld!AF54=0,"",LauderNew!AF54-LauderOld!AF54)</f>
        <v/>
      </c>
      <c r="AG54" s="70" t="str">
        <f>IF(LauderNew!AG54-LauderOld!AG54=0,"",LauderNew!AG54-LauderOld!AG54)</f>
        <v/>
      </c>
      <c r="AH54" s="70" t="str">
        <f>IF(LauderNew!AH54-LauderOld!AH54=0,"",LauderNew!AH54-LauderOld!AH54)</f>
        <v/>
      </c>
      <c r="AI54" s="70" t="str">
        <f>IF(LauderNew!AI54-LauderOld!AI54=0,"",LauderNew!AI54-LauderOld!AI54)</f>
        <v/>
      </c>
      <c r="AJ54" s="70" t="str">
        <f>IF(LauderNew!AJ54-LauderOld!AJ54=0,"",LauderNew!AJ54-LauderOld!AJ54)</f>
        <v/>
      </c>
      <c r="AK54" s="70" t="str">
        <f>IF(LauderNew!AK54-LauderOld!AK54=0,"",LauderNew!AK54-LauderOld!AK54)</f>
        <v/>
      </c>
      <c r="AL54" s="70" t="str">
        <f>IF(LauderNew!AL54-LauderOld!AL54=0,"",LauderNew!AL54-LauderOld!AL54)</f>
        <v/>
      </c>
      <c r="AM54" s="70" t="str">
        <f>IF(LauderNew!AM54-LauderOld!AM54=0,"",LauderNew!AM54-LauderOld!AM54)</f>
        <v/>
      </c>
      <c r="AN54" s="70" t="str">
        <f>IF(LauderNew!AN54-LauderOld!AN54=0,"",LauderNew!AN54-LauderOld!AN54)</f>
        <v/>
      </c>
      <c r="AO54" s="70" t="str">
        <f>IF(LauderNew!AO54-LauderOld!AO54=0,"",LauderNew!AO54-LauderOld!AO54)</f>
        <v/>
      </c>
      <c r="AP54" s="70" t="str">
        <f>IF(LauderNew!AP54-LauderOld!AP54=0,"",LauderNew!AP54-LauderOld!AP54)</f>
        <v/>
      </c>
      <c r="AQ54" s="70" t="str">
        <f>IF(LauderNew!AQ54-LauderOld!AQ54=0,"",LauderNew!AQ54-LauderOld!AQ54)</f>
        <v/>
      </c>
      <c r="AR54" s="70" t="str">
        <f>IF(LauderNew!AR54-LauderOld!AR54=0,"",LauderNew!AR54-LauderOld!AR54)</f>
        <v/>
      </c>
      <c r="AS54" s="70" t="str">
        <f>IF(LauderNew!AS54-LauderOld!AS54=0,"",LauderNew!AS54-LauderOld!AS54)</f>
        <v/>
      </c>
      <c r="AT54" s="70" t="str">
        <f>IF(LauderNew!AT54-LauderOld!AT54=0,"",LauderNew!AT54-LauderOld!AT54)</f>
        <v/>
      </c>
      <c r="AU54" s="70" t="str">
        <f>IF(LauderNew!AU54-LauderOld!AU54=0,"",LauderNew!AU54-LauderOld!AU54)</f>
        <v/>
      </c>
      <c r="AV54" s="70" t="str">
        <f>IF(LauderNew!AV54-LauderOld!AV54=0,"",LauderNew!AV54-LauderOld!AV54)</f>
        <v/>
      </c>
      <c r="AW54" s="70" t="str">
        <f>IF(LauderNew!AW54-LauderOld!AW54=0,"",LauderNew!AW54-LauderOld!AW54)</f>
        <v/>
      </c>
      <c r="AX54" s="70" t="str">
        <f>IF(LauderNew!AX54-LauderOld!AX54=0,"",LauderNew!AX54-LauderOld!AX54)</f>
        <v/>
      </c>
      <c r="AY54" s="70" t="str">
        <f>IF(LauderNew!AY54-LauderOld!AY54=0,"",LauderNew!AY54-LauderOld!AY54)</f>
        <v/>
      </c>
      <c r="AZ54" s="70" t="str">
        <f>IF(LauderNew!AZ54-LauderOld!AZ54=0,"",LauderNew!AZ54-LauderOld!AZ54)</f>
        <v/>
      </c>
      <c r="BA54" s="70" t="str">
        <f>IF(LauderNew!BA54-LauderOld!BA54=0,"",LauderNew!BA54-LauderOld!BA54)</f>
        <v/>
      </c>
      <c r="BB54" s="70" t="str">
        <f>IF(LauderNew!BB54-LauderOld!BB54=0,"",LauderNew!BB54-LauderOld!BB54)</f>
        <v/>
      </c>
      <c r="BC54" s="70" t="str">
        <f>IF(LauderNew!BC54-LauderOld!BC54=0,"",LauderNew!BC54-LauderOld!BC54)</f>
        <v/>
      </c>
      <c r="BD54" s="70" t="str">
        <f>IF(LauderNew!BD54-LauderOld!BD54=0,"",LauderNew!BD54-LauderOld!BD54)</f>
        <v/>
      </c>
    </row>
    <row r="55" spans="3:56" x14ac:dyDescent="0.25">
      <c r="C55" s="108"/>
      <c r="D55" s="41" t="s">
        <v>22</v>
      </c>
      <c r="E55" s="70" t="str">
        <f>IF(LauderNew!E55-LauderOld!E55=0,"",LauderNew!E55-LauderOld!E55)</f>
        <v/>
      </c>
      <c r="F55" s="70" t="str">
        <f>IF(LauderNew!F55-LauderOld!F55=0,"",LauderNew!F55-LauderOld!F55)</f>
        <v/>
      </c>
      <c r="G55" s="70" t="str">
        <f>IF(LauderNew!G55-LauderOld!G55=0,"",LauderNew!G55-LauderOld!G55)</f>
        <v/>
      </c>
      <c r="H55" s="70" t="str">
        <f>IF(LauderNew!H55-LauderOld!H55=0,"",LauderNew!H55-LauderOld!H55)</f>
        <v/>
      </c>
      <c r="I55" s="70" t="str">
        <f>IF(LauderNew!I55-LauderOld!I55=0,"",LauderNew!I55-LauderOld!I55)</f>
        <v/>
      </c>
      <c r="J55" s="70" t="str">
        <f>IF(LauderNew!J55-LauderOld!J55=0,"",LauderNew!J55-LauderOld!J55)</f>
        <v/>
      </c>
      <c r="K55" s="70" t="str">
        <f>IF(LauderNew!K55-LauderOld!K55=0,"",LauderNew!K55-LauderOld!K55)</f>
        <v/>
      </c>
      <c r="L55" s="70" t="str">
        <f>IF(LauderNew!L55-LauderOld!L55=0,"",LauderNew!L55-LauderOld!L55)</f>
        <v/>
      </c>
      <c r="M55" s="70" t="str">
        <f>IF(LauderNew!M55-LauderOld!M55=0,"",LauderNew!M55-LauderOld!M55)</f>
        <v/>
      </c>
      <c r="N55" s="70" t="str">
        <f>IF(LauderNew!N55-LauderOld!N55=0,"",LauderNew!N55-LauderOld!N55)</f>
        <v/>
      </c>
      <c r="O55" s="70" t="str">
        <f>IF(LauderNew!O55-LauderOld!O55=0,"",LauderNew!O55-LauderOld!O55)</f>
        <v/>
      </c>
      <c r="P55" s="70" t="str">
        <f>IF(LauderNew!P55-LauderOld!P55=0,"",LauderNew!P55-LauderOld!P55)</f>
        <v/>
      </c>
      <c r="Q55" s="70" t="str">
        <f>IF(LauderNew!Q55-LauderOld!Q55=0,"",LauderNew!Q55-LauderOld!Q55)</f>
        <v/>
      </c>
      <c r="R55" s="70" t="str">
        <f>IF(LauderNew!R55-LauderOld!R55=0,"",LauderNew!R55-LauderOld!R55)</f>
        <v/>
      </c>
      <c r="S55" s="70" t="str">
        <f>IF(LauderNew!S55-LauderOld!S55=0,"",LauderNew!S55-LauderOld!S55)</f>
        <v/>
      </c>
      <c r="T55" s="70" t="str">
        <f>IF(LauderNew!T55-LauderOld!T55=0,"",LauderNew!T55-LauderOld!T55)</f>
        <v/>
      </c>
      <c r="U55" s="70" t="str">
        <f>IF(LauderNew!U55-LauderOld!U55=0,"",LauderNew!U55-LauderOld!U55)</f>
        <v/>
      </c>
      <c r="V55" s="70" t="str">
        <f>IF(LauderNew!V55-LauderOld!V55=0,"",LauderNew!V55-LauderOld!V55)</f>
        <v/>
      </c>
      <c r="W55" s="70" t="str">
        <f>IF(LauderNew!W55-LauderOld!W55=0,"",LauderNew!W55-LauderOld!W55)</f>
        <v/>
      </c>
      <c r="X55" s="70" t="str">
        <f>IF(LauderNew!X55-LauderOld!X55=0,"",LauderNew!X55-LauderOld!X55)</f>
        <v/>
      </c>
      <c r="Y55" s="70" t="str">
        <f>IF(LauderNew!Y55-LauderOld!Y55=0,"",LauderNew!Y55-LauderOld!Y55)</f>
        <v/>
      </c>
      <c r="Z55" s="70" t="str">
        <f>IF(LauderNew!Z55-LauderOld!Z55=0,"",LauderNew!Z55-LauderOld!Z55)</f>
        <v/>
      </c>
      <c r="AA55" s="70" t="str">
        <f>IF(LauderNew!AA55-LauderOld!AA55=0,"",LauderNew!AA55-LauderOld!AA55)</f>
        <v/>
      </c>
      <c r="AB55" s="70" t="str">
        <f>IF(LauderNew!AB55-LauderOld!AB55=0,"",LauderNew!AB55-LauderOld!AB55)</f>
        <v/>
      </c>
      <c r="AC55" s="70" t="str">
        <f>IF(LauderNew!AC55-LauderOld!AC55=0,"",LauderNew!AC55-LauderOld!AC55)</f>
        <v/>
      </c>
      <c r="AD55" s="70" t="str">
        <f>IF(LauderNew!AD55-LauderOld!AD55=0,"",LauderNew!AD55-LauderOld!AD55)</f>
        <v/>
      </c>
      <c r="AE55" s="70" t="str">
        <f>IF(LauderNew!AE55-LauderOld!AE55=0,"",LauderNew!AE55-LauderOld!AE55)</f>
        <v/>
      </c>
      <c r="AF55" s="70" t="str">
        <f>IF(LauderNew!AF55-LauderOld!AF55=0,"",LauderNew!AF55-LauderOld!AF55)</f>
        <v/>
      </c>
      <c r="AG55" s="70" t="str">
        <f>IF(LauderNew!AG55-LauderOld!AG55=0,"",LauderNew!AG55-LauderOld!AG55)</f>
        <v/>
      </c>
      <c r="AH55" s="70" t="str">
        <f>IF(LauderNew!AH55-LauderOld!AH55=0,"",LauderNew!AH55-LauderOld!AH55)</f>
        <v/>
      </c>
      <c r="AI55" s="70" t="str">
        <f>IF(LauderNew!AI55-LauderOld!AI55=0,"",LauderNew!AI55-LauderOld!AI55)</f>
        <v/>
      </c>
      <c r="AJ55" s="70" t="str">
        <f>IF(LauderNew!AJ55-LauderOld!AJ55=0,"",LauderNew!AJ55-LauderOld!AJ55)</f>
        <v/>
      </c>
      <c r="AK55" s="70" t="str">
        <f>IF(LauderNew!AK55-LauderOld!AK55=0,"",LauderNew!AK55-LauderOld!AK55)</f>
        <v/>
      </c>
      <c r="AL55" s="70" t="str">
        <f>IF(LauderNew!AL55-LauderOld!AL55=0,"",LauderNew!AL55-LauderOld!AL55)</f>
        <v/>
      </c>
      <c r="AM55" s="70" t="str">
        <f>IF(LauderNew!AM55-LauderOld!AM55=0,"",LauderNew!AM55-LauderOld!AM55)</f>
        <v/>
      </c>
      <c r="AN55" s="70" t="str">
        <f>IF(LauderNew!AN55-LauderOld!AN55=0,"",LauderNew!AN55-LauderOld!AN55)</f>
        <v/>
      </c>
      <c r="AO55" s="70" t="str">
        <f>IF(LauderNew!AO55-LauderOld!AO55=0,"",LauderNew!AO55-LauderOld!AO55)</f>
        <v/>
      </c>
      <c r="AP55" s="70" t="str">
        <f>IF(LauderNew!AP55-LauderOld!AP55=0,"",LauderNew!AP55-LauderOld!AP55)</f>
        <v/>
      </c>
      <c r="AQ55" s="70" t="str">
        <f>IF(LauderNew!AQ55-LauderOld!AQ55=0,"",LauderNew!AQ55-LauderOld!AQ55)</f>
        <v/>
      </c>
      <c r="AR55" s="70" t="str">
        <f>IF(LauderNew!AR55-LauderOld!AR55=0,"",LauderNew!AR55-LauderOld!AR55)</f>
        <v/>
      </c>
      <c r="AS55" s="70" t="str">
        <f>IF(LauderNew!AS55-LauderOld!AS55=0,"",LauderNew!AS55-LauderOld!AS55)</f>
        <v/>
      </c>
      <c r="AT55" s="70" t="str">
        <f>IF(LauderNew!AT55-LauderOld!AT55=0,"",LauderNew!AT55-LauderOld!AT55)</f>
        <v/>
      </c>
      <c r="AU55" s="70" t="str">
        <f>IF(LauderNew!AU55-LauderOld!AU55=0,"",LauderNew!AU55-LauderOld!AU55)</f>
        <v/>
      </c>
      <c r="AV55" s="70" t="str">
        <f>IF(LauderNew!AV55-LauderOld!AV55=0,"",LauderNew!AV55-LauderOld!AV55)</f>
        <v/>
      </c>
      <c r="AW55" s="70" t="str">
        <f>IF(LauderNew!AW55-LauderOld!AW55=0,"",LauderNew!AW55-LauderOld!AW55)</f>
        <v/>
      </c>
      <c r="AX55" s="70" t="str">
        <f>IF(LauderNew!AX55-LauderOld!AX55=0,"",LauderNew!AX55-LauderOld!AX55)</f>
        <v/>
      </c>
      <c r="AY55" s="70" t="str">
        <f>IF(LauderNew!AY55-LauderOld!AY55=0,"",LauderNew!AY55-LauderOld!AY55)</f>
        <v/>
      </c>
      <c r="AZ55" s="70" t="str">
        <f>IF(LauderNew!AZ55-LauderOld!AZ55=0,"",LauderNew!AZ55-LauderOld!AZ55)</f>
        <v/>
      </c>
      <c r="BA55" s="70" t="str">
        <f>IF(LauderNew!BA55-LauderOld!BA55=0,"",LauderNew!BA55-LauderOld!BA55)</f>
        <v/>
      </c>
      <c r="BB55" s="70" t="str">
        <f>IF(LauderNew!BB55-LauderOld!BB55=0,"",LauderNew!BB55-LauderOld!BB55)</f>
        <v/>
      </c>
      <c r="BC55" s="70" t="str">
        <f>IF(LauderNew!BC55-LauderOld!BC55=0,"",LauderNew!BC55-LauderOld!BC55)</f>
        <v/>
      </c>
      <c r="BD55" s="70" t="str">
        <f>IF(LauderNew!BD55-LauderOld!BD55=0,"",LauderNew!BD55-LauderOld!BD55)</f>
        <v/>
      </c>
    </row>
    <row r="56" spans="3:56" x14ac:dyDescent="0.25">
      <c r="C56" s="108"/>
      <c r="D56" s="41" t="s">
        <v>30</v>
      </c>
      <c r="E56" s="68" t="str">
        <f>IF(LauderNew!E56-LauderOld!E56=0,"",LauderNew!E56-LauderOld!E56)</f>
        <v/>
      </c>
      <c r="F56" s="68" t="str">
        <f>IF(LauderNew!F56-LauderOld!F56=0,"",LauderNew!F56-LauderOld!F56)</f>
        <v/>
      </c>
      <c r="G56" s="68" t="str">
        <f>IF(LauderNew!G56-LauderOld!G56=0,"",LauderNew!G56-LauderOld!G56)</f>
        <v/>
      </c>
      <c r="H56" s="68" t="str">
        <f>IF(LauderNew!H56-LauderOld!H56=0,"",LauderNew!H56-LauderOld!H56)</f>
        <v/>
      </c>
      <c r="I56" s="68" t="str">
        <f>IF(LauderNew!I56-LauderOld!I56=0,"",LauderNew!I56-LauderOld!I56)</f>
        <v/>
      </c>
      <c r="J56" s="68" t="str">
        <f>IF(LauderNew!J56-LauderOld!J56=0,"",LauderNew!J56-LauderOld!J56)</f>
        <v/>
      </c>
      <c r="K56" s="68" t="str">
        <f>IF(LauderNew!K56-LauderOld!K56=0,"",LauderNew!K56-LauderOld!K56)</f>
        <v/>
      </c>
      <c r="L56" s="68" t="str">
        <f>IF(LauderNew!L56-LauderOld!L56=0,"",LauderNew!L56-LauderOld!L56)</f>
        <v/>
      </c>
      <c r="M56" s="68" t="str">
        <f>IF(LauderNew!M56-LauderOld!M56=0,"",LauderNew!M56-LauderOld!M56)</f>
        <v/>
      </c>
      <c r="N56" s="68" t="str">
        <f>IF(LauderNew!N56-LauderOld!N56=0,"",LauderNew!N56-LauderOld!N56)</f>
        <v/>
      </c>
      <c r="O56" s="68" t="str">
        <f>IF(LauderNew!O56-LauderOld!O56=0,"",LauderNew!O56-LauderOld!O56)</f>
        <v/>
      </c>
      <c r="P56" s="68" t="str">
        <f>IF(LauderNew!P56-LauderOld!P56=0,"",LauderNew!P56-LauderOld!P56)</f>
        <v/>
      </c>
      <c r="Q56" s="68" t="str">
        <f>IF(LauderNew!Q56-LauderOld!Q56=0,"",LauderNew!Q56-LauderOld!Q56)</f>
        <v/>
      </c>
      <c r="R56" s="68" t="str">
        <f>IF(LauderNew!R56-LauderOld!R56=0,"",LauderNew!R56-LauderOld!R56)</f>
        <v/>
      </c>
      <c r="S56" s="68" t="str">
        <f>IF(LauderNew!S56-LauderOld!S56=0,"",LauderNew!S56-LauderOld!S56)</f>
        <v/>
      </c>
      <c r="T56" s="68" t="str">
        <f>IF(LauderNew!T56-LauderOld!T56=0,"",LauderNew!T56-LauderOld!T56)</f>
        <v/>
      </c>
      <c r="U56" s="68" t="str">
        <f>IF(LauderNew!U56-LauderOld!U56=0,"",LauderNew!U56-LauderOld!U56)</f>
        <v/>
      </c>
      <c r="V56" s="68" t="str">
        <f>IF(LauderNew!V56-LauderOld!V56=0,"",LauderNew!V56-LauderOld!V56)</f>
        <v/>
      </c>
      <c r="W56" s="68" t="str">
        <f>IF(LauderNew!W56-LauderOld!W56=0,"",LauderNew!W56-LauderOld!W56)</f>
        <v/>
      </c>
      <c r="X56" s="68" t="str">
        <f>IF(LauderNew!X56-LauderOld!X56=0,"",LauderNew!X56-LauderOld!X56)</f>
        <v/>
      </c>
      <c r="Y56" s="68" t="str">
        <f>IF(LauderNew!Y56-LauderOld!Y56=0,"",LauderNew!Y56-LauderOld!Y56)</f>
        <v/>
      </c>
      <c r="Z56" s="68" t="str">
        <f>IF(LauderNew!Z56-LauderOld!Z56=0,"",LauderNew!Z56-LauderOld!Z56)</f>
        <v/>
      </c>
      <c r="AA56" s="68" t="str">
        <f>IF(LauderNew!AA56-LauderOld!AA56=0,"",LauderNew!AA56-LauderOld!AA56)</f>
        <v/>
      </c>
      <c r="AB56" s="68" t="str">
        <f>IF(LauderNew!AB56-LauderOld!AB56=0,"",LauderNew!AB56-LauderOld!AB56)</f>
        <v/>
      </c>
      <c r="AC56" s="68" t="str">
        <f>IF(LauderNew!AC56-LauderOld!AC56=0,"",LauderNew!AC56-LauderOld!AC56)</f>
        <v/>
      </c>
      <c r="AD56" s="68" t="str">
        <f>IF(LauderNew!AD56-LauderOld!AD56=0,"",LauderNew!AD56-LauderOld!AD56)</f>
        <v/>
      </c>
      <c r="AE56" s="68" t="str">
        <f>IF(LauderNew!AE56-LauderOld!AE56=0,"",LauderNew!AE56-LauderOld!AE56)</f>
        <v/>
      </c>
      <c r="AF56" s="68" t="str">
        <f>IF(LauderNew!AF56-LauderOld!AF56=0,"",LauderNew!AF56-LauderOld!AF56)</f>
        <v/>
      </c>
      <c r="AG56" s="68" t="str">
        <f>IF(LauderNew!AG56-LauderOld!AG56=0,"",LauderNew!AG56-LauderOld!AG56)</f>
        <v/>
      </c>
      <c r="AH56" s="68" t="str">
        <f>IF(LauderNew!AH56-LauderOld!AH56=0,"",LauderNew!AH56-LauderOld!AH56)</f>
        <v/>
      </c>
      <c r="AI56" s="68" t="str">
        <f>IF(LauderNew!AI56-LauderOld!AI56=0,"",LauderNew!AI56-LauderOld!AI56)</f>
        <v/>
      </c>
      <c r="AJ56" s="68" t="str">
        <f>IF(LauderNew!AJ56-LauderOld!AJ56=0,"",LauderNew!AJ56-LauderOld!AJ56)</f>
        <v/>
      </c>
      <c r="AK56" s="68" t="str">
        <f>IF(LauderNew!AK56-LauderOld!AK56=0,"",LauderNew!AK56-LauderOld!AK56)</f>
        <v/>
      </c>
      <c r="AL56" s="68" t="str">
        <f>IF(LauderNew!AL56-LauderOld!AL56=0,"",LauderNew!AL56-LauderOld!AL56)</f>
        <v/>
      </c>
      <c r="AM56" s="68" t="str">
        <f>IF(LauderNew!AM56-LauderOld!AM56=0,"",LauderNew!AM56-LauderOld!AM56)</f>
        <v/>
      </c>
      <c r="AN56" s="68" t="str">
        <f>IF(LauderNew!AN56-LauderOld!AN56=0,"",LauderNew!AN56-LauderOld!AN56)</f>
        <v/>
      </c>
      <c r="AO56" s="68" t="str">
        <f>IF(LauderNew!AO56-LauderOld!AO56=0,"",LauderNew!AO56-LauderOld!AO56)</f>
        <v/>
      </c>
      <c r="AP56" s="68" t="str">
        <f>IF(LauderNew!AP56-LauderOld!AP56=0,"",LauderNew!AP56-LauderOld!AP56)</f>
        <v/>
      </c>
      <c r="AQ56" s="68" t="str">
        <f>IF(LauderNew!AQ56-LauderOld!AQ56=0,"",LauderNew!AQ56-LauderOld!AQ56)</f>
        <v/>
      </c>
      <c r="AR56" s="68" t="str">
        <f>IF(LauderNew!AR56-LauderOld!AR56=0,"",LauderNew!AR56-LauderOld!AR56)</f>
        <v/>
      </c>
      <c r="AS56" s="68" t="str">
        <f>IF(LauderNew!AS56-LauderOld!AS56=0,"",LauderNew!AS56-LauderOld!AS56)</f>
        <v/>
      </c>
      <c r="AT56" s="68" t="str">
        <f>IF(LauderNew!AT56-LauderOld!AT56=0,"",LauderNew!AT56-LauderOld!AT56)</f>
        <v/>
      </c>
      <c r="AU56" s="68" t="str">
        <f>IF(LauderNew!AU56-LauderOld!AU56=0,"",LauderNew!AU56-LauderOld!AU56)</f>
        <v/>
      </c>
      <c r="AV56" s="68" t="str">
        <f>IF(LauderNew!AV56-LauderOld!AV56=0,"",LauderNew!AV56-LauderOld!AV56)</f>
        <v/>
      </c>
      <c r="AW56" s="68" t="str">
        <f>IF(LauderNew!AW56-LauderOld!AW56=0,"",LauderNew!AW56-LauderOld!AW56)</f>
        <v/>
      </c>
      <c r="AX56" s="68" t="str">
        <f>IF(LauderNew!AX56-LauderOld!AX56=0,"",LauderNew!AX56-LauderOld!AX56)</f>
        <v/>
      </c>
      <c r="AY56" s="68" t="str">
        <f>IF(LauderNew!AY56-LauderOld!AY56=0,"",LauderNew!AY56-LauderOld!AY56)</f>
        <v/>
      </c>
      <c r="AZ56" s="68" t="str">
        <f>IF(LauderNew!AZ56-LauderOld!AZ56=0,"",LauderNew!AZ56-LauderOld!AZ56)</f>
        <v/>
      </c>
      <c r="BA56" s="68" t="str">
        <f>IF(LauderNew!BA56-LauderOld!BA56=0,"",LauderNew!BA56-LauderOld!BA56)</f>
        <v/>
      </c>
      <c r="BB56" s="68" t="str">
        <f>IF(LauderNew!BB56-LauderOld!BB56=0,"",LauderNew!BB56-LauderOld!BB56)</f>
        <v/>
      </c>
      <c r="BC56" s="68" t="str">
        <f>IF(LauderNew!BC56-LauderOld!BC56=0,"",LauderNew!BC56-LauderOld!BC56)</f>
        <v/>
      </c>
      <c r="BD56" s="68" t="str">
        <f>IF(LauderNew!BD56-LauderOld!BD56=0,"",LauderNew!BD56-LauderOld!BD56)</f>
        <v/>
      </c>
    </row>
    <row r="57" spans="3:56" x14ac:dyDescent="0.25">
      <c r="C57" s="108"/>
      <c r="D57" s="41" t="s">
        <v>31</v>
      </c>
      <c r="E57" s="68" t="str">
        <f>IF(LauderNew!E57-LauderOld!E57=0,"",LauderNew!E57-LauderOld!E57)</f>
        <v/>
      </c>
      <c r="F57" s="68" t="str">
        <f>IF(LauderNew!F57-LauderOld!F57=0,"",LauderNew!F57-LauderOld!F57)</f>
        <v/>
      </c>
      <c r="G57" s="68" t="str">
        <f>IF(LauderNew!G57-LauderOld!G57=0,"",LauderNew!G57-LauderOld!G57)</f>
        <v/>
      </c>
      <c r="H57" s="68" t="str">
        <f>IF(LauderNew!H57-LauderOld!H57=0,"",LauderNew!H57-LauderOld!H57)</f>
        <v/>
      </c>
      <c r="I57" s="68" t="str">
        <f>IF(LauderNew!I57-LauderOld!I57=0,"",LauderNew!I57-LauderOld!I57)</f>
        <v/>
      </c>
      <c r="J57" s="68" t="str">
        <f>IF(LauderNew!J57-LauderOld!J57=0,"",LauderNew!J57-LauderOld!J57)</f>
        <v/>
      </c>
      <c r="K57" s="68" t="str">
        <f>IF(LauderNew!K57-LauderOld!K57=0,"",LauderNew!K57-LauderOld!K57)</f>
        <v/>
      </c>
      <c r="L57" s="68" t="str">
        <f>IF(LauderNew!L57-LauderOld!L57=0,"",LauderNew!L57-LauderOld!L57)</f>
        <v/>
      </c>
      <c r="M57" s="68" t="str">
        <f>IF(LauderNew!M57-LauderOld!M57=0,"",LauderNew!M57-LauderOld!M57)</f>
        <v/>
      </c>
      <c r="N57" s="68" t="str">
        <f>IF(LauderNew!N57-LauderOld!N57=0,"",LauderNew!N57-LauderOld!N57)</f>
        <v/>
      </c>
      <c r="O57" s="68" t="str">
        <f>IF(LauderNew!O57-LauderOld!O57=0,"",LauderNew!O57-LauderOld!O57)</f>
        <v/>
      </c>
      <c r="P57" s="68" t="str">
        <f>IF(LauderNew!P57-LauderOld!P57=0,"",LauderNew!P57-LauderOld!P57)</f>
        <v/>
      </c>
      <c r="Q57" s="68" t="str">
        <f>IF(LauderNew!Q57-LauderOld!Q57=0,"",LauderNew!Q57-LauderOld!Q57)</f>
        <v/>
      </c>
      <c r="R57" s="68" t="str">
        <f>IF(LauderNew!R57-LauderOld!R57=0,"",LauderNew!R57-LauderOld!R57)</f>
        <v/>
      </c>
      <c r="S57" s="68" t="str">
        <f>IF(LauderNew!S57-LauderOld!S57=0,"",LauderNew!S57-LauderOld!S57)</f>
        <v/>
      </c>
      <c r="T57" s="68" t="str">
        <f>IF(LauderNew!T57-LauderOld!T57=0,"",LauderNew!T57-LauderOld!T57)</f>
        <v/>
      </c>
      <c r="U57" s="68" t="str">
        <f>IF(LauderNew!U57-LauderOld!U57=0,"",LauderNew!U57-LauderOld!U57)</f>
        <v/>
      </c>
      <c r="V57" s="68" t="str">
        <f>IF(LauderNew!V57-LauderOld!V57=0,"",LauderNew!V57-LauderOld!V57)</f>
        <v/>
      </c>
      <c r="W57" s="68" t="str">
        <f>IF(LauderNew!W57-LauderOld!W57=0,"",LauderNew!W57-LauderOld!W57)</f>
        <v/>
      </c>
      <c r="X57" s="68" t="str">
        <f>IF(LauderNew!X57-LauderOld!X57=0,"",LauderNew!X57-LauderOld!X57)</f>
        <v/>
      </c>
      <c r="Y57" s="68" t="str">
        <f>IF(LauderNew!Y57-LauderOld!Y57=0,"",LauderNew!Y57-LauderOld!Y57)</f>
        <v/>
      </c>
      <c r="Z57" s="68" t="str">
        <f>IF(LauderNew!Z57-LauderOld!Z57=0,"",LauderNew!Z57-LauderOld!Z57)</f>
        <v/>
      </c>
      <c r="AA57" s="68" t="str">
        <f>IF(LauderNew!AA57-LauderOld!AA57=0,"",LauderNew!AA57-LauderOld!AA57)</f>
        <v/>
      </c>
      <c r="AB57" s="68" t="str">
        <f>IF(LauderNew!AB57-LauderOld!AB57=0,"",LauderNew!AB57-LauderOld!AB57)</f>
        <v/>
      </c>
      <c r="AC57" s="68" t="str">
        <f>IF(LauderNew!AC57-LauderOld!AC57=0,"",LauderNew!AC57-LauderOld!AC57)</f>
        <v/>
      </c>
      <c r="AD57" s="68" t="str">
        <f>IF(LauderNew!AD57-LauderOld!AD57=0,"",LauderNew!AD57-LauderOld!AD57)</f>
        <v/>
      </c>
      <c r="AE57" s="68" t="str">
        <f>IF(LauderNew!AE57-LauderOld!AE57=0,"",LauderNew!AE57-LauderOld!AE57)</f>
        <v/>
      </c>
      <c r="AF57" s="68" t="str">
        <f>IF(LauderNew!AF57-LauderOld!AF57=0,"",LauderNew!AF57-LauderOld!AF57)</f>
        <v/>
      </c>
      <c r="AG57" s="68" t="str">
        <f>IF(LauderNew!AG57-LauderOld!AG57=0,"",LauderNew!AG57-LauderOld!AG57)</f>
        <v/>
      </c>
      <c r="AH57" s="68" t="str">
        <f>IF(LauderNew!AH57-LauderOld!AH57=0,"",LauderNew!AH57-LauderOld!AH57)</f>
        <v/>
      </c>
      <c r="AI57" s="68" t="str">
        <f>IF(LauderNew!AI57-LauderOld!AI57=0,"",LauderNew!AI57-LauderOld!AI57)</f>
        <v/>
      </c>
      <c r="AJ57" s="68" t="str">
        <f>IF(LauderNew!AJ57-LauderOld!AJ57=0,"",LauderNew!AJ57-LauderOld!AJ57)</f>
        <v/>
      </c>
      <c r="AK57" s="68" t="str">
        <f>IF(LauderNew!AK57-LauderOld!AK57=0,"",LauderNew!AK57-LauderOld!AK57)</f>
        <v/>
      </c>
      <c r="AL57" s="68" t="str">
        <f>IF(LauderNew!AL57-LauderOld!AL57=0,"",LauderNew!AL57-LauderOld!AL57)</f>
        <v/>
      </c>
      <c r="AM57" s="68" t="str">
        <f>IF(LauderNew!AM57-LauderOld!AM57=0,"",LauderNew!AM57-LauderOld!AM57)</f>
        <v/>
      </c>
      <c r="AN57" s="68" t="str">
        <f>IF(LauderNew!AN57-LauderOld!AN57=0,"",LauderNew!AN57-LauderOld!AN57)</f>
        <v/>
      </c>
      <c r="AO57" s="68" t="str">
        <f>IF(LauderNew!AO57-LauderOld!AO57=0,"",LauderNew!AO57-LauderOld!AO57)</f>
        <v/>
      </c>
      <c r="AP57" s="68" t="str">
        <f>IF(LauderNew!AP57-LauderOld!AP57=0,"",LauderNew!AP57-LauderOld!AP57)</f>
        <v/>
      </c>
      <c r="AQ57" s="68" t="str">
        <f>IF(LauderNew!AQ57-LauderOld!AQ57=0,"",LauderNew!AQ57-LauderOld!AQ57)</f>
        <v/>
      </c>
      <c r="AR57" s="68" t="str">
        <f>IF(LauderNew!AR57-LauderOld!AR57=0,"",LauderNew!AR57-LauderOld!AR57)</f>
        <v/>
      </c>
      <c r="AS57" s="68" t="str">
        <f>IF(LauderNew!AS57-LauderOld!AS57=0,"",LauderNew!AS57-LauderOld!AS57)</f>
        <v/>
      </c>
      <c r="AT57" s="68" t="str">
        <f>IF(LauderNew!AT57-LauderOld!AT57=0,"",LauderNew!AT57-LauderOld!AT57)</f>
        <v/>
      </c>
      <c r="AU57" s="68" t="str">
        <f>IF(LauderNew!AU57-LauderOld!AU57=0,"",LauderNew!AU57-LauderOld!AU57)</f>
        <v/>
      </c>
      <c r="AV57" s="68" t="str">
        <f>IF(LauderNew!AV57-LauderOld!AV57=0,"",LauderNew!AV57-LauderOld!AV57)</f>
        <v/>
      </c>
      <c r="AW57" s="68" t="str">
        <f>IF(LauderNew!AW57-LauderOld!AW57=0,"",LauderNew!AW57-LauderOld!AW57)</f>
        <v/>
      </c>
      <c r="AX57" s="68" t="str">
        <f>IF(LauderNew!AX57-LauderOld!AX57=0,"",LauderNew!AX57-LauderOld!AX57)</f>
        <v/>
      </c>
      <c r="AY57" s="68" t="str">
        <f>IF(LauderNew!AY57-LauderOld!AY57=0,"",LauderNew!AY57-LauderOld!AY57)</f>
        <v/>
      </c>
      <c r="AZ57" s="68" t="str">
        <f>IF(LauderNew!AZ57-LauderOld!AZ57=0,"",LauderNew!AZ57-LauderOld!AZ57)</f>
        <v/>
      </c>
      <c r="BA57" s="68" t="str">
        <f>IF(LauderNew!BA57-LauderOld!BA57=0,"",LauderNew!BA57-LauderOld!BA57)</f>
        <v/>
      </c>
      <c r="BB57" s="68" t="str">
        <f>IF(LauderNew!BB57-LauderOld!BB57=0,"",LauderNew!BB57-LauderOld!BB57)</f>
        <v/>
      </c>
      <c r="BC57" s="68" t="str">
        <f>IF(LauderNew!BC57-LauderOld!BC57=0,"",LauderNew!BC57-LauderOld!BC57)</f>
        <v/>
      </c>
      <c r="BD57" s="68" t="str">
        <f>IF(LauderNew!BD57-LauderOld!BD57=0,"",LauderNew!BD57-LauderOld!BD57)</f>
        <v/>
      </c>
    </row>
    <row r="58" spans="3:56" x14ac:dyDescent="0.25">
      <c r="C58" s="108"/>
      <c r="D58" s="41" t="s">
        <v>24</v>
      </c>
      <c r="E58" s="69" t="str">
        <f>IF(LauderNew!E58-LauderOld!E58=0,"",LauderNew!E58-LauderOld!E58)</f>
        <v/>
      </c>
      <c r="F58" s="69" t="str">
        <f>IF(LauderNew!F58-LauderOld!F58=0,"",LauderNew!F58-LauderOld!F58)</f>
        <v/>
      </c>
      <c r="G58" s="69" t="str">
        <f>IF(LauderNew!G58-LauderOld!G58=0,"",LauderNew!G58-LauderOld!G58)</f>
        <v/>
      </c>
      <c r="H58" s="69" t="str">
        <f>IF(LauderNew!H58-LauderOld!H58=0,"",LauderNew!H58-LauderOld!H58)</f>
        <v/>
      </c>
      <c r="I58" s="69" t="str">
        <f>IF(LauderNew!I58-LauderOld!I58=0,"",LauderNew!I58-LauderOld!I58)</f>
        <v/>
      </c>
      <c r="J58" s="69" t="str">
        <f>IF(LauderNew!J58-LauderOld!J58=0,"",LauderNew!J58-LauderOld!J58)</f>
        <v/>
      </c>
      <c r="K58" s="69" t="str">
        <f>IF(LauderNew!K58-LauderOld!K58=0,"",LauderNew!K58-LauderOld!K58)</f>
        <v/>
      </c>
      <c r="L58" s="69" t="str">
        <f>IF(LauderNew!L58-LauderOld!L58=0,"",LauderNew!L58-LauderOld!L58)</f>
        <v/>
      </c>
      <c r="M58" s="69" t="str">
        <f>IF(LauderNew!M58-LauderOld!M58=0,"",LauderNew!M58-LauderOld!M58)</f>
        <v/>
      </c>
      <c r="N58" s="69" t="str">
        <f>IF(LauderNew!N58-LauderOld!N58=0,"",LauderNew!N58-LauderOld!N58)</f>
        <v/>
      </c>
      <c r="O58" s="69" t="str">
        <f>IF(LauderNew!O58-LauderOld!O58=0,"",LauderNew!O58-LauderOld!O58)</f>
        <v/>
      </c>
      <c r="P58" s="69" t="str">
        <f>IF(LauderNew!P58-LauderOld!P58=0,"",LauderNew!P58-LauderOld!P58)</f>
        <v/>
      </c>
      <c r="Q58" s="69" t="str">
        <f>IF(LauderNew!Q58-LauderOld!Q58=0,"",LauderNew!Q58-LauderOld!Q58)</f>
        <v/>
      </c>
      <c r="R58" s="69" t="str">
        <f>IF(LauderNew!R58-LauderOld!R58=0,"",LauderNew!R58-LauderOld!R58)</f>
        <v/>
      </c>
      <c r="S58" s="69" t="str">
        <f>IF(LauderNew!S58-LauderOld!S58=0,"",LauderNew!S58-LauderOld!S58)</f>
        <v/>
      </c>
      <c r="T58" s="69" t="str">
        <f>IF(LauderNew!T58-LauderOld!T58=0,"",LauderNew!T58-LauderOld!T58)</f>
        <v/>
      </c>
      <c r="U58" s="69" t="str">
        <f>IF(LauderNew!U58-LauderOld!U58=0,"",LauderNew!U58-LauderOld!U58)</f>
        <v/>
      </c>
      <c r="V58" s="69" t="str">
        <f>IF(LauderNew!V58-LauderOld!V58=0,"",LauderNew!V58-LauderOld!V58)</f>
        <v/>
      </c>
      <c r="W58" s="69" t="str">
        <f>IF(LauderNew!W58-LauderOld!W58=0,"",LauderNew!W58-LauderOld!W58)</f>
        <v/>
      </c>
      <c r="X58" s="69" t="str">
        <f>IF(LauderNew!X58-LauderOld!X58=0,"",LauderNew!X58-LauderOld!X58)</f>
        <v/>
      </c>
      <c r="Y58" s="69" t="str">
        <f>IF(LauderNew!Y58-LauderOld!Y58=0,"",LauderNew!Y58-LauderOld!Y58)</f>
        <v/>
      </c>
      <c r="Z58" s="69" t="str">
        <f>IF(LauderNew!Z58-LauderOld!Z58=0,"",LauderNew!Z58-LauderOld!Z58)</f>
        <v/>
      </c>
      <c r="AA58" s="69" t="str">
        <f>IF(LauderNew!AA58-LauderOld!AA58=0,"",LauderNew!AA58-LauderOld!AA58)</f>
        <v/>
      </c>
      <c r="AB58" s="69" t="str">
        <f>IF(LauderNew!AB58-LauderOld!AB58=0,"",LauderNew!AB58-LauderOld!AB58)</f>
        <v/>
      </c>
      <c r="AC58" s="69" t="str">
        <f>IF(LauderNew!AC58-LauderOld!AC58=0,"",LauderNew!AC58-LauderOld!AC58)</f>
        <v/>
      </c>
      <c r="AD58" s="69" t="str">
        <f>IF(LauderNew!AD58-LauderOld!AD58=0,"",LauderNew!AD58-LauderOld!AD58)</f>
        <v/>
      </c>
      <c r="AE58" s="69" t="str">
        <f>IF(LauderNew!AE58-LauderOld!AE58=0,"",LauderNew!AE58-LauderOld!AE58)</f>
        <v/>
      </c>
      <c r="AF58" s="69" t="str">
        <f>IF(LauderNew!AF58-LauderOld!AF58=0,"",LauderNew!AF58-LauderOld!AF58)</f>
        <v/>
      </c>
      <c r="AG58" s="69" t="str">
        <f>IF(LauderNew!AG58-LauderOld!AG58=0,"",LauderNew!AG58-LauderOld!AG58)</f>
        <v/>
      </c>
      <c r="AH58" s="69" t="str">
        <f>IF(LauderNew!AH58-LauderOld!AH58=0,"",LauderNew!AH58-LauderOld!AH58)</f>
        <v/>
      </c>
      <c r="AI58" s="69" t="str">
        <f>IF(LauderNew!AI58-LauderOld!AI58=0,"",LauderNew!AI58-LauderOld!AI58)</f>
        <v/>
      </c>
      <c r="AJ58" s="69" t="str">
        <f>IF(LauderNew!AJ58-LauderOld!AJ58=0,"",LauderNew!AJ58-LauderOld!AJ58)</f>
        <v/>
      </c>
      <c r="AK58" s="69" t="str">
        <f>IF(LauderNew!AK58-LauderOld!AK58=0,"",LauderNew!AK58-LauderOld!AK58)</f>
        <v/>
      </c>
      <c r="AL58" s="69" t="str">
        <f>IF(LauderNew!AL58-LauderOld!AL58=0,"",LauderNew!AL58-LauderOld!AL58)</f>
        <v/>
      </c>
      <c r="AM58" s="69" t="str">
        <f>IF(LauderNew!AM58-LauderOld!AM58=0,"",LauderNew!AM58-LauderOld!AM58)</f>
        <v/>
      </c>
      <c r="AN58" s="69" t="str">
        <f>IF(LauderNew!AN58-LauderOld!AN58=0,"",LauderNew!AN58-LauderOld!AN58)</f>
        <v/>
      </c>
      <c r="AO58" s="69" t="str">
        <f>IF(LauderNew!AO58-LauderOld!AO58=0,"",LauderNew!AO58-LauderOld!AO58)</f>
        <v/>
      </c>
      <c r="AP58" s="69" t="str">
        <f>IF(LauderNew!AP58-LauderOld!AP58=0,"",LauderNew!AP58-LauderOld!AP58)</f>
        <v/>
      </c>
      <c r="AQ58" s="69" t="str">
        <f>IF(LauderNew!AQ58-LauderOld!AQ58=0,"",LauderNew!AQ58-LauderOld!AQ58)</f>
        <v/>
      </c>
      <c r="AR58" s="69" t="str">
        <f>IF(LauderNew!AR58-LauderOld!AR58=0,"",LauderNew!AR58-LauderOld!AR58)</f>
        <v/>
      </c>
      <c r="AS58" s="69" t="str">
        <f>IF(LauderNew!AS58-LauderOld!AS58=0,"",LauderNew!AS58-LauderOld!AS58)</f>
        <v/>
      </c>
      <c r="AT58" s="69" t="str">
        <f>IF(LauderNew!AT58-LauderOld!AT58=0,"",LauderNew!AT58-LauderOld!AT58)</f>
        <v/>
      </c>
      <c r="AU58" s="69" t="str">
        <f>IF(LauderNew!AU58-LauderOld!AU58=0,"",LauderNew!AU58-LauderOld!AU58)</f>
        <v/>
      </c>
      <c r="AV58" s="69" t="str">
        <f>IF(LauderNew!AV58-LauderOld!AV58=0,"",LauderNew!AV58-LauderOld!AV58)</f>
        <v/>
      </c>
      <c r="AW58" s="69" t="str">
        <f>IF(LauderNew!AW58-LauderOld!AW58=0,"",LauderNew!AW58-LauderOld!AW58)</f>
        <v/>
      </c>
      <c r="AX58" s="69" t="str">
        <f>IF(LauderNew!AX58-LauderOld!AX58=0,"",LauderNew!AX58-LauderOld!AX58)</f>
        <v/>
      </c>
      <c r="AY58" s="69" t="str">
        <f>IF(LauderNew!AY58-LauderOld!AY58=0,"",LauderNew!AY58-LauderOld!AY58)</f>
        <v/>
      </c>
      <c r="AZ58" s="69" t="str">
        <f>IF(LauderNew!AZ58-LauderOld!AZ58=0,"",LauderNew!AZ58-LauderOld!AZ58)</f>
        <v/>
      </c>
      <c r="BA58" s="69" t="str">
        <f>IF(LauderNew!BA58-LauderOld!BA58=0,"",LauderNew!BA58-LauderOld!BA58)</f>
        <v/>
      </c>
      <c r="BB58" s="69" t="str">
        <f>IF(LauderNew!BB58-LauderOld!BB58=0,"",LauderNew!BB58-LauderOld!BB58)</f>
        <v/>
      </c>
      <c r="BC58" s="69" t="str">
        <f>IF(LauderNew!BC58-LauderOld!BC58=0,"",LauderNew!BC58-LauderOld!BC58)</f>
        <v/>
      </c>
      <c r="BD58" s="69" t="str">
        <f>IF(LauderNew!BD58-LauderOld!BD58=0,"",LauderNew!BD58-LauderOld!BD58)</f>
        <v/>
      </c>
    </row>
    <row r="59" spans="3:56" x14ac:dyDescent="0.25">
      <c r="C59" s="108"/>
      <c r="D59" s="41" t="s">
        <v>33</v>
      </c>
      <c r="E59" s="83" t="str">
        <f>IFERROR((E54*E55)/3600/40/E56/(1-E57)/E58,"")</f>
        <v/>
      </c>
      <c r="F59" s="83" t="str">
        <f t="shared" ref="F59:T59" si="15">IFERROR((F54*F55)/3600/40/F56/(1-F57)/F58,"")</f>
        <v/>
      </c>
      <c r="G59" s="83" t="str">
        <f t="shared" si="15"/>
        <v/>
      </c>
      <c r="H59" s="83" t="str">
        <f t="shared" si="15"/>
        <v/>
      </c>
      <c r="I59" s="83" t="str">
        <f t="shared" si="15"/>
        <v/>
      </c>
      <c r="J59" s="83" t="str">
        <f t="shared" si="15"/>
        <v/>
      </c>
      <c r="K59" s="83" t="str">
        <f t="shared" si="15"/>
        <v/>
      </c>
      <c r="L59" s="83" t="str">
        <f t="shared" si="15"/>
        <v/>
      </c>
      <c r="M59" s="83" t="str">
        <f t="shared" si="15"/>
        <v/>
      </c>
      <c r="N59" s="83" t="str">
        <f t="shared" si="15"/>
        <v/>
      </c>
      <c r="O59" s="83" t="str">
        <f t="shared" si="15"/>
        <v/>
      </c>
      <c r="P59" s="83" t="str">
        <f t="shared" si="15"/>
        <v/>
      </c>
      <c r="Q59" s="83" t="str">
        <f t="shared" si="15"/>
        <v/>
      </c>
      <c r="R59" s="83" t="str">
        <f t="shared" si="15"/>
        <v/>
      </c>
      <c r="S59" s="83" t="str">
        <f t="shared" si="15"/>
        <v/>
      </c>
      <c r="T59" s="83" t="str">
        <f t="shared" si="15"/>
        <v/>
      </c>
      <c r="U59" s="83" t="str">
        <f>IF(LauderNew!U59-LauderOld!U59=0,"",LauderNew!U59-LauderOld!U59)</f>
        <v/>
      </c>
      <c r="V59" s="83" t="str">
        <f>IF(LauderNew!V59-LauderOld!V59=0,"",LauderNew!V59-LauderOld!V59)</f>
        <v/>
      </c>
      <c r="W59" s="83" t="str">
        <f>IF(LauderNew!W59-LauderOld!W59=0,"",LauderNew!W59-LauderOld!W59)</f>
        <v/>
      </c>
      <c r="X59" s="83" t="str">
        <f>IF(LauderNew!X59-LauderOld!X59=0,"",LauderNew!X59-LauderOld!X59)</f>
        <v/>
      </c>
      <c r="Y59" s="83">
        <f>IF(LauderNew!Y59-LauderOld!Y59=0,"",LauderNew!Y59-LauderOld!Y59)</f>
        <v>-2.0917460317460339</v>
      </c>
      <c r="Z59" s="83" t="str">
        <f>IF(LauderNew!Z59-LauderOld!Z59=0,"",LauderNew!Z59-LauderOld!Z59)</f>
        <v/>
      </c>
      <c r="AA59" s="83" t="str">
        <f>IF(LauderNew!AA59-LauderOld!AA59=0,"",LauderNew!AA59-LauderOld!AA59)</f>
        <v/>
      </c>
      <c r="AB59" s="83" t="str">
        <f>IF(LauderNew!AB59-LauderOld!AB59=0,"",LauderNew!AB59-LauderOld!AB59)</f>
        <v/>
      </c>
      <c r="AC59" s="83" t="str">
        <f>IF(LauderNew!AC59-LauderOld!AC59=0,"",LauderNew!AC59-LauderOld!AC59)</f>
        <v/>
      </c>
      <c r="AD59" s="83" t="str">
        <f>IF(LauderNew!AD59-LauderOld!AD59=0,"",LauderNew!AD59-LauderOld!AD59)</f>
        <v/>
      </c>
      <c r="AE59" s="83" t="str">
        <f>IF(LauderNew!AE59-LauderOld!AE59=0,"",LauderNew!AE59-LauderOld!AE59)</f>
        <v/>
      </c>
      <c r="AF59" s="83" t="str">
        <f>IF(LauderNew!AF59-LauderOld!AF59=0,"",LauderNew!AF59-LauderOld!AF59)</f>
        <v/>
      </c>
      <c r="AG59" s="83" t="str">
        <f>IF(LauderNew!AG59-LauderOld!AG59=0,"",LauderNew!AG59-LauderOld!AG59)</f>
        <v/>
      </c>
      <c r="AH59" s="83" t="str">
        <f>IF(LauderNew!AH59-LauderOld!AH59=0,"",LauderNew!AH59-LauderOld!AH59)</f>
        <v/>
      </c>
      <c r="AI59" s="83" t="str">
        <f>IF(LauderNew!AI59-LauderOld!AI59=0,"",LauderNew!AI59-LauderOld!AI59)</f>
        <v/>
      </c>
      <c r="AJ59" s="83" t="str">
        <f>IF(LauderNew!AJ59-LauderOld!AJ59=0,"",LauderNew!AJ59-LauderOld!AJ59)</f>
        <v/>
      </c>
      <c r="AK59" s="83" t="str">
        <f>IF(LauderNew!AK59-LauderOld!AK59=0,"",LauderNew!AK59-LauderOld!AK59)</f>
        <v/>
      </c>
      <c r="AL59" s="83" t="str">
        <f>IF(LauderNew!AL59-LauderOld!AL59=0,"",LauderNew!AL59-LauderOld!AL59)</f>
        <v/>
      </c>
      <c r="AM59" s="83" t="str">
        <f>IF(LauderNew!AM59-LauderOld!AM59=0,"",LauderNew!AM59-LauderOld!AM59)</f>
        <v/>
      </c>
      <c r="AN59" s="83" t="str">
        <f>IF(LauderNew!AN59-LauderOld!AN59=0,"",LauderNew!AN59-LauderOld!AN59)</f>
        <v/>
      </c>
      <c r="AO59" s="83" t="str">
        <f>IF(LauderNew!AO59-LauderOld!AO59=0,"",LauderNew!AO59-LauderOld!AO59)</f>
        <v/>
      </c>
      <c r="AP59" s="83" t="str">
        <f>IF(LauderNew!AP59-LauderOld!AP59=0,"",LauderNew!AP59-LauderOld!AP59)</f>
        <v/>
      </c>
      <c r="AQ59" s="83" t="str">
        <f>IF(LauderNew!AQ59-LauderOld!AQ59=0,"",LauderNew!AQ59-LauderOld!AQ59)</f>
        <v/>
      </c>
      <c r="AR59" s="83" t="str">
        <f>IF(LauderNew!AR59-LauderOld!AR59=0,"",LauderNew!AR59-LauderOld!AR59)</f>
        <v/>
      </c>
      <c r="AS59" s="83" t="str">
        <f>IF(LauderNew!AS59-LauderOld!AS59=0,"",LauderNew!AS59-LauderOld!AS59)</f>
        <v/>
      </c>
      <c r="AT59" s="83" t="str">
        <f>IF(LauderNew!AT59-LauderOld!AT59=0,"",LauderNew!AT59-LauderOld!AT59)</f>
        <v/>
      </c>
      <c r="AU59" s="83" t="str">
        <f>IF(LauderNew!AU59-LauderOld!AU59=0,"",LauderNew!AU59-LauderOld!AU59)</f>
        <v/>
      </c>
      <c r="AV59" s="83" t="str">
        <f>IF(LauderNew!AV59-LauderOld!AV59=0,"",LauderNew!AV59-LauderOld!AV59)</f>
        <v/>
      </c>
      <c r="AW59" s="83" t="str">
        <f>IF(LauderNew!AW59-LauderOld!AW59=0,"",LauderNew!AW59-LauderOld!AW59)</f>
        <v/>
      </c>
      <c r="AX59" s="83" t="str">
        <f>IF(LauderNew!AX59-LauderOld!AX59=0,"",LauderNew!AX59-LauderOld!AX59)</f>
        <v/>
      </c>
      <c r="AY59" s="83" t="str">
        <f>IF(LauderNew!AY59-LauderOld!AY59=0,"",LauderNew!AY59-LauderOld!AY59)</f>
        <v/>
      </c>
      <c r="AZ59" s="83" t="str">
        <f>IF(LauderNew!AZ59-LauderOld!AZ59=0,"",LauderNew!AZ59-LauderOld!AZ59)</f>
        <v/>
      </c>
      <c r="BA59" s="83" t="str">
        <f>IF(LauderNew!BA59-LauderOld!BA59=0,"",LauderNew!BA59-LauderOld!BA59)</f>
        <v/>
      </c>
      <c r="BB59" s="83" t="str">
        <f>IF(LauderNew!BB59-LauderOld!BB59=0,"",LauderNew!BB59-LauderOld!BB59)</f>
        <v/>
      </c>
      <c r="BC59" s="83" t="str">
        <f>IF(LauderNew!BC59-LauderOld!BC59=0,"",LauderNew!BC59-LauderOld!BC59)</f>
        <v/>
      </c>
      <c r="BD59" s="83" t="str">
        <f>IF(LauderNew!BD59-LauderOld!BD59=0,"",LauderNew!BD59-LauderOld!BD59)</f>
        <v/>
      </c>
    </row>
    <row r="60" spans="3:56" x14ac:dyDescent="0.25">
      <c r="C60" s="108"/>
      <c r="E60" s="41"/>
      <c r="F60" s="41"/>
      <c r="G60" s="41"/>
    </row>
    <row r="61" spans="3:56" x14ac:dyDescent="0.25">
      <c r="C61" s="108"/>
      <c r="D61" s="49" t="s">
        <v>34</v>
      </c>
      <c r="E61" s="65" t="str">
        <f>IF(LauderNew!E61-LauderOld!E61=0,"",LauderNew!E61-LauderOld!E61)</f>
        <v/>
      </c>
      <c r="F61" s="65" t="str">
        <f>IF(LauderNew!F61-LauderOld!F61=0,"",LauderNew!F61-LauderOld!F61)</f>
        <v/>
      </c>
      <c r="G61" s="65" t="str">
        <f>IF(LauderNew!G61-LauderOld!G61=0,"",LauderNew!G61-LauderOld!G61)</f>
        <v/>
      </c>
      <c r="H61" s="65" t="str">
        <f>IF(LauderNew!H61-LauderOld!H61=0,"",LauderNew!H61-LauderOld!H61)</f>
        <v/>
      </c>
      <c r="I61" s="65" t="str">
        <f>IF(LauderNew!I61-LauderOld!I61=0,"",LauderNew!I61-LauderOld!I61)</f>
        <v/>
      </c>
      <c r="J61" s="65" t="str">
        <f>IF(LauderNew!J61-LauderOld!J61=0,"",LauderNew!J61-LauderOld!J61)</f>
        <v/>
      </c>
      <c r="K61" s="65" t="str">
        <f>IF(LauderNew!K61-LauderOld!K61=0,"",LauderNew!K61-LauderOld!K61)</f>
        <v/>
      </c>
      <c r="L61" s="65" t="str">
        <f>IF(LauderNew!L61-LauderOld!L61=0,"",LauderNew!L61-LauderOld!L61)</f>
        <v/>
      </c>
      <c r="M61" s="65" t="str">
        <f>IF(LauderNew!M61-LauderOld!M61=0,"",LauderNew!M61-LauderOld!M61)</f>
        <v/>
      </c>
      <c r="N61" s="65" t="str">
        <f>IF(LauderNew!N61-LauderOld!N61=0,"",LauderNew!N61-LauderOld!N61)</f>
        <v/>
      </c>
      <c r="O61" s="65" t="str">
        <f>IF(LauderNew!O61-LauderOld!O61=0,"",LauderNew!O61-LauderOld!O61)</f>
        <v/>
      </c>
      <c r="P61" s="65" t="str">
        <f>IF(LauderNew!P61-LauderOld!P61=0,"",LauderNew!P61-LauderOld!P61)</f>
        <v/>
      </c>
      <c r="Q61" s="65" t="str">
        <f>IF(LauderNew!Q61-LauderOld!Q61=0,"",LauderNew!Q61-LauderOld!Q61)</f>
        <v/>
      </c>
      <c r="R61" s="65" t="str">
        <f>IF(LauderNew!R61-LauderOld!R61=0,"",LauderNew!R61-LauderOld!R61)</f>
        <v/>
      </c>
      <c r="S61" s="65" t="str">
        <f>IF(LauderNew!S61-LauderOld!S61=0,"",LauderNew!S61-LauderOld!S61)</f>
        <v/>
      </c>
      <c r="T61" s="65" t="str">
        <f>IF(LauderNew!T61-LauderOld!T61=0,"",LauderNew!T61-LauderOld!T61)</f>
        <v/>
      </c>
      <c r="U61" s="65" t="str">
        <f>IF(LauderNew!U61-LauderOld!U61=0,"",LauderNew!U61-LauderOld!U61)</f>
        <v/>
      </c>
      <c r="V61" s="65" t="str">
        <f>IF(LauderNew!V61-LauderOld!V61=0,"",LauderNew!V61-LauderOld!V61)</f>
        <v/>
      </c>
      <c r="W61" s="65" t="str">
        <f>IF(LauderNew!W61-LauderOld!W61=0,"",LauderNew!W61-LauderOld!W61)</f>
        <v/>
      </c>
      <c r="X61" s="65" t="str">
        <f>IF(LauderNew!X61-LauderOld!X61=0,"",LauderNew!X61-LauderOld!X61)</f>
        <v/>
      </c>
      <c r="Y61" s="65" t="str">
        <f>IF(LauderNew!Y61-LauderOld!Y61=0,"",LauderNew!Y61-LauderOld!Y61)</f>
        <v/>
      </c>
      <c r="Z61" s="65" t="str">
        <f>IF(LauderNew!Z61-LauderOld!Z61=0,"",LauderNew!Z61-LauderOld!Z61)</f>
        <v/>
      </c>
      <c r="AA61" s="65" t="str">
        <f>IF(LauderNew!AA61-LauderOld!AA61=0,"",LauderNew!AA61-LauderOld!AA61)</f>
        <v/>
      </c>
      <c r="AB61" s="65" t="str">
        <f>IF(LauderNew!AB61-LauderOld!AB61=0,"",LauderNew!AB61-LauderOld!AB61)</f>
        <v/>
      </c>
      <c r="AC61" s="65" t="str">
        <f>IF(LauderNew!AC61-LauderOld!AC61=0,"",LauderNew!AC61-LauderOld!AC61)</f>
        <v/>
      </c>
      <c r="AD61" s="65" t="str">
        <f>IF(LauderNew!AD61-LauderOld!AD61=0,"",LauderNew!AD61-LauderOld!AD61)</f>
        <v/>
      </c>
      <c r="AE61" s="65" t="str">
        <f>IF(LauderNew!AE61-LauderOld!AE61=0,"",LauderNew!AE61-LauderOld!AE61)</f>
        <v/>
      </c>
      <c r="AF61" s="65" t="str">
        <f>IF(LauderNew!AF61-LauderOld!AF61=0,"",LauderNew!AF61-LauderOld!AF61)</f>
        <v/>
      </c>
      <c r="AG61" s="65" t="str">
        <f>IF(LauderNew!AG61-LauderOld!AG61=0,"",LauderNew!AG61-LauderOld!AG61)</f>
        <v/>
      </c>
      <c r="AH61" s="65" t="str">
        <f>IF(LauderNew!AH61-LauderOld!AH61=0,"",LauderNew!AH61-LauderOld!AH61)</f>
        <v/>
      </c>
      <c r="AI61" s="65" t="str">
        <f>IF(LauderNew!AI61-LauderOld!AI61=0,"",LauderNew!AI61-LauderOld!AI61)</f>
        <v/>
      </c>
      <c r="AJ61" s="65" t="str">
        <f>IF(LauderNew!AJ61-LauderOld!AJ61=0,"",LauderNew!AJ61-LauderOld!AJ61)</f>
        <v/>
      </c>
      <c r="AK61" s="65" t="str">
        <f>IF(LauderNew!AK61-LauderOld!AK61=0,"",LauderNew!AK61-LauderOld!AK61)</f>
        <v/>
      </c>
      <c r="AL61" s="65" t="str">
        <f>IF(LauderNew!AL61-LauderOld!AL61=0,"",LauderNew!AL61-LauderOld!AL61)</f>
        <v/>
      </c>
      <c r="AM61" s="65" t="str">
        <f>IF(LauderNew!AM61-LauderOld!AM61=0,"",LauderNew!AM61-LauderOld!AM61)</f>
        <v/>
      </c>
      <c r="AN61" s="65" t="str">
        <f>IF(LauderNew!AN61-LauderOld!AN61=0,"",LauderNew!AN61-LauderOld!AN61)</f>
        <v/>
      </c>
      <c r="AO61" s="65" t="str">
        <f>IF(LauderNew!AO61-LauderOld!AO61=0,"",LauderNew!AO61-LauderOld!AO61)</f>
        <v/>
      </c>
      <c r="AP61" s="65" t="str">
        <f>IF(LauderNew!AP61-LauderOld!AP61=0,"",LauderNew!AP61-LauderOld!AP61)</f>
        <v/>
      </c>
      <c r="AQ61" s="65" t="str">
        <f>IF(LauderNew!AQ61-LauderOld!AQ61=0,"",LauderNew!AQ61-LauderOld!AQ61)</f>
        <v/>
      </c>
      <c r="AR61" s="65" t="str">
        <f>IF(LauderNew!AR61-LauderOld!AR61=0,"",LauderNew!AR61-LauderOld!AR61)</f>
        <v/>
      </c>
      <c r="AS61" s="65" t="str">
        <f>IF(LauderNew!AS61-LauderOld!AS61=0,"",LauderNew!AS61-LauderOld!AS61)</f>
        <v/>
      </c>
      <c r="AT61" s="65" t="str">
        <f>IF(LauderNew!AT61-LauderOld!AT61=0,"",LauderNew!AT61-LauderOld!AT61)</f>
        <v/>
      </c>
      <c r="AU61" s="65" t="str">
        <f>IF(LauderNew!AU61-LauderOld!AU61=0,"",LauderNew!AU61-LauderOld!AU61)</f>
        <v/>
      </c>
      <c r="AV61" s="65" t="str">
        <f>IF(LauderNew!AV61-LauderOld!AV61=0,"",LauderNew!AV61-LauderOld!AV61)</f>
        <v/>
      </c>
      <c r="AW61" s="65" t="str">
        <f>IF(LauderNew!AW61-LauderOld!AW61=0,"",LauderNew!AW61-LauderOld!AW61)</f>
        <v/>
      </c>
      <c r="AX61" s="65" t="str">
        <f>IF(LauderNew!AX61-LauderOld!AX61=0,"",LauderNew!AX61-LauderOld!AX61)</f>
        <v/>
      </c>
      <c r="AY61" s="65" t="str">
        <f>IF(LauderNew!AY61-LauderOld!AY61=0,"",LauderNew!AY61-LauderOld!AY61)</f>
        <v/>
      </c>
      <c r="AZ61" s="65" t="str">
        <f>IF(LauderNew!AZ61-LauderOld!AZ61=0,"",LauderNew!AZ61-LauderOld!AZ61)</f>
        <v/>
      </c>
      <c r="BA61" s="65" t="str">
        <f>IF(LauderNew!BA61-LauderOld!BA61=0,"",LauderNew!BA61-LauderOld!BA61)</f>
        <v/>
      </c>
      <c r="BB61" s="65" t="str">
        <f>IF(LauderNew!BB61-LauderOld!BB61=0,"",LauderNew!BB61-LauderOld!BB61)</f>
        <v/>
      </c>
      <c r="BC61" s="65" t="str">
        <f>IF(LauderNew!BC61-LauderOld!BC61=0,"",LauderNew!BC61-LauderOld!BC61)</f>
        <v/>
      </c>
      <c r="BD61" s="65" t="str">
        <f>IF(LauderNew!BD61-LauderOld!BD61=0,"",LauderNew!BD61-LauderOld!BD61)</f>
        <v/>
      </c>
    </row>
    <row r="62" spans="3:56" x14ac:dyDescent="0.25">
      <c r="C62" s="108"/>
      <c r="D62" s="49" t="s">
        <v>35</v>
      </c>
      <c r="E62" s="65" t="str">
        <f>IF(LauderNew!E62-LauderOld!E62=0,"",LauderNew!E62-LauderOld!E62)</f>
        <v/>
      </c>
      <c r="F62" s="65" t="str">
        <f>IF(LauderNew!F62-LauderOld!F62=0,"",LauderNew!F62-LauderOld!F62)</f>
        <v/>
      </c>
      <c r="G62" s="65" t="str">
        <f>IF(LauderNew!G62-LauderOld!G62=0,"",LauderNew!G62-LauderOld!G62)</f>
        <v/>
      </c>
      <c r="H62" s="65" t="str">
        <f>IF(LauderNew!H62-LauderOld!H62=0,"",LauderNew!H62-LauderOld!H62)</f>
        <v/>
      </c>
      <c r="I62" s="65" t="str">
        <f>IF(LauderNew!I62-LauderOld!I62=0,"",LauderNew!I62-LauderOld!I62)</f>
        <v/>
      </c>
      <c r="J62" s="65" t="str">
        <f>IF(LauderNew!J62-LauderOld!J62=0,"",LauderNew!J62-LauderOld!J62)</f>
        <v/>
      </c>
      <c r="K62" s="65" t="str">
        <f>IF(LauderNew!K62-LauderOld!K62=0,"",LauderNew!K62-LauderOld!K62)</f>
        <v/>
      </c>
      <c r="L62" s="65" t="str">
        <f>IF(LauderNew!L62-LauderOld!L62=0,"",LauderNew!L62-LauderOld!L62)</f>
        <v/>
      </c>
      <c r="M62" s="65" t="str">
        <f>IF(LauderNew!M62-LauderOld!M62=0,"",LauderNew!M62-LauderOld!M62)</f>
        <v/>
      </c>
      <c r="N62" s="65" t="str">
        <f>IF(LauderNew!N62-LauderOld!N62=0,"",LauderNew!N62-LauderOld!N62)</f>
        <v/>
      </c>
      <c r="O62" s="65" t="str">
        <f>IF(LauderNew!O62-LauderOld!O62=0,"",LauderNew!O62-LauderOld!O62)</f>
        <v/>
      </c>
      <c r="P62" s="65" t="str">
        <f>IF(LauderNew!P62-LauderOld!P62=0,"",LauderNew!P62-LauderOld!P62)</f>
        <v/>
      </c>
      <c r="Q62" s="65" t="str">
        <f>IF(LauderNew!Q62-LauderOld!Q62=0,"",LauderNew!Q62-LauderOld!Q62)</f>
        <v/>
      </c>
      <c r="R62" s="65" t="str">
        <f>IF(LauderNew!R62-LauderOld!R62=0,"",LauderNew!R62-LauderOld!R62)</f>
        <v/>
      </c>
      <c r="S62" s="65" t="str">
        <f>IF(LauderNew!S62-LauderOld!S62=0,"",LauderNew!S62-LauderOld!S62)</f>
        <v/>
      </c>
      <c r="T62" s="65" t="str">
        <f>IF(LauderNew!T62-LauderOld!T62=0,"",LauderNew!T62-LauderOld!T62)</f>
        <v/>
      </c>
      <c r="U62" s="65" t="str">
        <f>IF(LauderNew!U62-LauderOld!U62=0,"",LauderNew!U62-LauderOld!U62)</f>
        <v/>
      </c>
      <c r="V62" s="65" t="str">
        <f>IF(LauderNew!V62-LauderOld!V62=0,"",LauderNew!V62-LauderOld!V62)</f>
        <v/>
      </c>
      <c r="W62" s="65" t="str">
        <f>IF(LauderNew!W62-LauderOld!W62=0,"",LauderNew!W62-LauderOld!W62)</f>
        <v/>
      </c>
      <c r="X62" s="65" t="str">
        <f>IF(LauderNew!X62-LauderOld!X62=0,"",LauderNew!X62-LauderOld!X62)</f>
        <v/>
      </c>
      <c r="Y62" s="65" t="str">
        <f>IF(LauderNew!Y62-LauderOld!Y62=0,"",LauderNew!Y62-LauderOld!Y62)</f>
        <v/>
      </c>
      <c r="Z62" s="65" t="str">
        <f>IF(LauderNew!Z62-LauderOld!Z62=0,"",LauderNew!Z62-LauderOld!Z62)</f>
        <v/>
      </c>
      <c r="AA62" s="65" t="str">
        <f>IF(LauderNew!AA62-LauderOld!AA62=0,"",LauderNew!AA62-LauderOld!AA62)</f>
        <v/>
      </c>
      <c r="AB62" s="65" t="str">
        <f>IF(LauderNew!AB62-LauderOld!AB62=0,"",LauderNew!AB62-LauderOld!AB62)</f>
        <v/>
      </c>
      <c r="AC62" s="65" t="str">
        <f>IF(LauderNew!AC62-LauderOld!AC62=0,"",LauderNew!AC62-LauderOld!AC62)</f>
        <v/>
      </c>
      <c r="AD62" s="65" t="str">
        <f>IF(LauderNew!AD62-LauderOld!AD62=0,"",LauderNew!AD62-LauderOld!AD62)</f>
        <v/>
      </c>
      <c r="AE62" s="65" t="str">
        <f>IF(LauderNew!AE62-LauderOld!AE62=0,"",LauderNew!AE62-LauderOld!AE62)</f>
        <v/>
      </c>
      <c r="AF62" s="65" t="str">
        <f>IF(LauderNew!AF62-LauderOld!AF62=0,"",LauderNew!AF62-LauderOld!AF62)</f>
        <v/>
      </c>
      <c r="AG62" s="65" t="str">
        <f>IF(LauderNew!AG62-LauderOld!AG62=0,"",LauderNew!AG62-LauderOld!AG62)</f>
        <v/>
      </c>
      <c r="AH62" s="65" t="str">
        <f>IF(LauderNew!AH62-LauderOld!AH62=0,"",LauderNew!AH62-LauderOld!AH62)</f>
        <v/>
      </c>
      <c r="AI62" s="65" t="str">
        <f>IF(LauderNew!AI62-LauderOld!AI62=0,"",LauderNew!AI62-LauderOld!AI62)</f>
        <v/>
      </c>
      <c r="AJ62" s="65" t="str">
        <f>IF(LauderNew!AJ62-LauderOld!AJ62=0,"",LauderNew!AJ62-LauderOld!AJ62)</f>
        <v/>
      </c>
      <c r="AK62" s="65" t="str">
        <f>IF(LauderNew!AK62-LauderOld!AK62=0,"",LauderNew!AK62-LauderOld!AK62)</f>
        <v/>
      </c>
      <c r="AL62" s="65" t="str">
        <f>IF(LauderNew!AL62-LauderOld!AL62=0,"",LauderNew!AL62-LauderOld!AL62)</f>
        <v/>
      </c>
      <c r="AM62" s="65" t="str">
        <f>IF(LauderNew!AM62-LauderOld!AM62=0,"",LauderNew!AM62-LauderOld!AM62)</f>
        <v/>
      </c>
      <c r="AN62" s="65" t="str">
        <f>IF(LauderNew!AN62-LauderOld!AN62=0,"",LauderNew!AN62-LauderOld!AN62)</f>
        <v/>
      </c>
      <c r="AO62" s="65" t="str">
        <f>IF(LauderNew!AO62-LauderOld!AO62=0,"",LauderNew!AO62-LauderOld!AO62)</f>
        <v/>
      </c>
      <c r="AP62" s="65" t="str">
        <f>IF(LauderNew!AP62-LauderOld!AP62=0,"",LauderNew!AP62-LauderOld!AP62)</f>
        <v/>
      </c>
      <c r="AQ62" s="65" t="str">
        <f>IF(LauderNew!AQ62-LauderOld!AQ62=0,"",LauderNew!AQ62-LauderOld!AQ62)</f>
        <v/>
      </c>
      <c r="AR62" s="65" t="str">
        <f>IF(LauderNew!AR62-LauderOld!AR62=0,"",LauderNew!AR62-LauderOld!AR62)</f>
        <v/>
      </c>
      <c r="AS62" s="65" t="str">
        <f>IF(LauderNew!AS62-LauderOld!AS62=0,"",LauderNew!AS62-LauderOld!AS62)</f>
        <v/>
      </c>
      <c r="AT62" s="65" t="str">
        <f>IF(LauderNew!AT62-LauderOld!AT62=0,"",LauderNew!AT62-LauderOld!AT62)</f>
        <v/>
      </c>
      <c r="AU62" s="65" t="str">
        <f>IF(LauderNew!AU62-LauderOld!AU62=0,"",LauderNew!AU62-LauderOld!AU62)</f>
        <v/>
      </c>
      <c r="AV62" s="65" t="str">
        <f>IF(LauderNew!AV62-LauderOld!AV62=0,"",LauderNew!AV62-LauderOld!AV62)</f>
        <v/>
      </c>
      <c r="AW62" s="65" t="str">
        <f>IF(LauderNew!AW62-LauderOld!AW62=0,"",LauderNew!AW62-LauderOld!AW62)</f>
        <v/>
      </c>
      <c r="AX62" s="65" t="str">
        <f>IF(LauderNew!AX62-LauderOld!AX62=0,"",LauderNew!AX62-LauderOld!AX62)</f>
        <v/>
      </c>
      <c r="AY62" s="65" t="str">
        <f>IF(LauderNew!AY62-LauderOld!AY62=0,"",LauderNew!AY62-LauderOld!AY62)</f>
        <v/>
      </c>
      <c r="AZ62" s="65" t="str">
        <f>IF(LauderNew!AZ62-LauderOld!AZ62=0,"",LauderNew!AZ62-LauderOld!AZ62)</f>
        <v/>
      </c>
      <c r="BA62" s="65" t="str">
        <f>IF(LauderNew!BA62-LauderOld!BA62=0,"",LauderNew!BA62-LauderOld!BA62)</f>
        <v/>
      </c>
      <c r="BB62" s="65" t="str">
        <f>IF(LauderNew!BB62-LauderOld!BB62=0,"",LauderNew!BB62-LauderOld!BB62)</f>
        <v/>
      </c>
      <c r="BC62" s="65" t="str">
        <f>IF(LauderNew!BC62-LauderOld!BC62=0,"",LauderNew!BC62-LauderOld!BC62)</f>
        <v/>
      </c>
      <c r="BD62" s="65" t="str">
        <f>IF(LauderNew!BD62-LauderOld!BD62=0,"",LauderNew!BD62-LauderOld!BD62)</f>
        <v/>
      </c>
    </row>
    <row r="63" spans="3:56" x14ac:dyDescent="0.25">
      <c r="C63" s="108"/>
      <c r="D63" s="49" t="s">
        <v>36</v>
      </c>
      <c r="E63" s="65" t="str">
        <f>IF(LauderNew!E63-LauderOld!E63=0,"",LauderNew!E63-LauderOld!E63)</f>
        <v/>
      </c>
      <c r="F63" s="65" t="str">
        <f>IF(LauderNew!F63-LauderOld!F63=0,"",LauderNew!F63-LauderOld!F63)</f>
        <v/>
      </c>
      <c r="G63" s="65" t="str">
        <f>IF(LauderNew!G63-LauderOld!G63=0,"",LauderNew!G63-LauderOld!G63)</f>
        <v/>
      </c>
      <c r="H63" s="65" t="str">
        <f>IF(LauderNew!H63-LauderOld!H63=0,"",LauderNew!H63-LauderOld!H63)</f>
        <v/>
      </c>
      <c r="I63" s="65" t="str">
        <f>IF(LauderNew!I63-LauderOld!I63=0,"",LauderNew!I63-LauderOld!I63)</f>
        <v/>
      </c>
      <c r="J63" s="65" t="str">
        <f>IF(LauderNew!J63-LauderOld!J63=0,"",LauderNew!J63-LauderOld!J63)</f>
        <v/>
      </c>
      <c r="K63" s="65" t="str">
        <f>IF(LauderNew!K63-LauderOld!K63=0,"",LauderNew!K63-LauderOld!K63)</f>
        <v/>
      </c>
      <c r="L63" s="65" t="str">
        <f>IF(LauderNew!L63-LauderOld!L63=0,"",LauderNew!L63-LauderOld!L63)</f>
        <v/>
      </c>
      <c r="M63" s="65" t="str">
        <f>IF(LauderNew!M63-LauderOld!M63=0,"",LauderNew!M63-LauderOld!M63)</f>
        <v/>
      </c>
      <c r="N63" s="65" t="str">
        <f>IF(LauderNew!N63-LauderOld!N63=0,"",LauderNew!N63-LauderOld!N63)</f>
        <v/>
      </c>
      <c r="O63" s="65" t="str">
        <f>IF(LauderNew!O63-LauderOld!O63=0,"",LauderNew!O63-LauderOld!O63)</f>
        <v/>
      </c>
      <c r="P63" s="65" t="str">
        <f>IF(LauderNew!P63-LauderOld!P63=0,"",LauderNew!P63-LauderOld!P63)</f>
        <v/>
      </c>
      <c r="Q63" s="65" t="str">
        <f>IF(LauderNew!Q63-LauderOld!Q63=0,"",LauderNew!Q63-LauderOld!Q63)</f>
        <v/>
      </c>
      <c r="R63" s="65" t="str">
        <f>IF(LauderNew!R63-LauderOld!R63=0,"",LauderNew!R63-LauderOld!R63)</f>
        <v/>
      </c>
      <c r="S63" s="65" t="str">
        <f>IF(LauderNew!S63-LauderOld!S63=0,"",LauderNew!S63-LauderOld!S63)</f>
        <v/>
      </c>
      <c r="T63" s="65" t="str">
        <f>IF(LauderNew!T63-LauderOld!T63=0,"",LauderNew!T63-LauderOld!T63)</f>
        <v/>
      </c>
      <c r="U63" s="65" t="str">
        <f>IF(LauderNew!U63-LauderOld!U63=0,"",LauderNew!U63-LauderOld!U63)</f>
        <v/>
      </c>
      <c r="V63" s="65" t="str">
        <f>IF(LauderNew!V63-LauderOld!V63=0,"",LauderNew!V63-LauderOld!V63)</f>
        <v/>
      </c>
      <c r="W63" s="65" t="str">
        <f>IF(LauderNew!W63-LauderOld!W63=0,"",LauderNew!W63-LauderOld!W63)</f>
        <v/>
      </c>
      <c r="X63" s="65" t="str">
        <f>IF(LauderNew!X63-LauderOld!X63=0,"",LauderNew!X63-LauderOld!X63)</f>
        <v/>
      </c>
      <c r="Y63" s="65" t="str">
        <f>IF(LauderNew!Y63-LauderOld!Y63=0,"",LauderNew!Y63-LauderOld!Y63)</f>
        <v/>
      </c>
      <c r="Z63" s="65" t="str">
        <f>IF(LauderNew!Z63-LauderOld!Z63=0,"",LauderNew!Z63-LauderOld!Z63)</f>
        <v/>
      </c>
      <c r="AA63" s="65" t="str">
        <f>IF(LauderNew!AA63-LauderOld!AA63=0,"",LauderNew!AA63-LauderOld!AA63)</f>
        <v/>
      </c>
      <c r="AB63" s="65" t="str">
        <f>IF(LauderNew!AB63-LauderOld!AB63=0,"",LauderNew!AB63-LauderOld!AB63)</f>
        <v/>
      </c>
      <c r="AC63" s="65" t="str">
        <f>IF(LauderNew!AC63-LauderOld!AC63=0,"",LauderNew!AC63-LauderOld!AC63)</f>
        <v/>
      </c>
      <c r="AD63" s="65" t="str">
        <f>IF(LauderNew!AD63-LauderOld!AD63=0,"",LauderNew!AD63-LauderOld!AD63)</f>
        <v/>
      </c>
      <c r="AE63" s="65" t="str">
        <f>IF(LauderNew!AE63-LauderOld!AE63=0,"",LauderNew!AE63-LauderOld!AE63)</f>
        <v/>
      </c>
      <c r="AF63" s="65" t="str">
        <f>IF(LauderNew!AF63-LauderOld!AF63=0,"",LauderNew!AF63-LauderOld!AF63)</f>
        <v/>
      </c>
      <c r="AG63" s="65" t="str">
        <f>IF(LauderNew!AG63-LauderOld!AG63=0,"",LauderNew!AG63-LauderOld!AG63)</f>
        <v/>
      </c>
      <c r="AH63" s="65" t="str">
        <f>IF(LauderNew!AH63-LauderOld!AH63=0,"",LauderNew!AH63-LauderOld!AH63)</f>
        <v/>
      </c>
      <c r="AI63" s="65" t="str">
        <f>IF(LauderNew!AI63-LauderOld!AI63=0,"",LauderNew!AI63-LauderOld!AI63)</f>
        <v/>
      </c>
      <c r="AJ63" s="65" t="str">
        <f>IF(LauderNew!AJ63-LauderOld!AJ63=0,"",LauderNew!AJ63-LauderOld!AJ63)</f>
        <v/>
      </c>
      <c r="AK63" s="65" t="str">
        <f>IF(LauderNew!AK63-LauderOld!AK63=0,"",LauderNew!AK63-LauderOld!AK63)</f>
        <v/>
      </c>
      <c r="AL63" s="65" t="str">
        <f>IF(LauderNew!AL63-LauderOld!AL63=0,"",LauderNew!AL63-LauderOld!AL63)</f>
        <v/>
      </c>
      <c r="AM63" s="65" t="str">
        <f>IF(LauderNew!AM63-LauderOld!AM63=0,"",LauderNew!AM63-LauderOld!AM63)</f>
        <v/>
      </c>
      <c r="AN63" s="65" t="str">
        <f>IF(LauderNew!AN63-LauderOld!AN63=0,"",LauderNew!AN63-LauderOld!AN63)</f>
        <v/>
      </c>
      <c r="AO63" s="65" t="str">
        <f>IF(LauderNew!AO63-LauderOld!AO63=0,"",LauderNew!AO63-LauderOld!AO63)</f>
        <v/>
      </c>
      <c r="AP63" s="65" t="str">
        <f>IF(LauderNew!AP63-LauderOld!AP63=0,"",LauderNew!AP63-LauderOld!AP63)</f>
        <v/>
      </c>
      <c r="AQ63" s="65" t="str">
        <f>IF(LauderNew!AQ63-LauderOld!AQ63=0,"",LauderNew!AQ63-LauderOld!AQ63)</f>
        <v/>
      </c>
      <c r="AR63" s="65" t="str">
        <f>IF(LauderNew!AR63-LauderOld!AR63=0,"",LauderNew!AR63-LauderOld!AR63)</f>
        <v/>
      </c>
      <c r="AS63" s="65" t="str">
        <f>IF(LauderNew!AS63-LauderOld!AS63=0,"",LauderNew!AS63-LauderOld!AS63)</f>
        <v/>
      </c>
      <c r="AT63" s="65" t="str">
        <f>IF(LauderNew!AT63-LauderOld!AT63=0,"",LauderNew!AT63-LauderOld!AT63)</f>
        <v/>
      </c>
      <c r="AU63" s="65" t="str">
        <f>IF(LauderNew!AU63-LauderOld!AU63=0,"",LauderNew!AU63-LauderOld!AU63)</f>
        <v/>
      </c>
      <c r="AV63" s="65" t="str">
        <f>IF(LauderNew!AV63-LauderOld!AV63=0,"",LauderNew!AV63-LauderOld!AV63)</f>
        <v/>
      </c>
      <c r="AW63" s="65" t="str">
        <f>IF(LauderNew!AW63-LauderOld!AW63=0,"",LauderNew!AW63-LauderOld!AW63)</f>
        <v/>
      </c>
      <c r="AX63" s="65" t="str">
        <f>IF(LauderNew!AX63-LauderOld!AX63=0,"",LauderNew!AX63-LauderOld!AX63)</f>
        <v/>
      </c>
      <c r="AY63" s="65" t="str">
        <f>IF(LauderNew!AY63-LauderOld!AY63=0,"",LauderNew!AY63-LauderOld!AY63)</f>
        <v/>
      </c>
      <c r="AZ63" s="65" t="str">
        <f>IF(LauderNew!AZ63-LauderOld!AZ63=0,"",LauderNew!AZ63-LauderOld!AZ63)</f>
        <v/>
      </c>
      <c r="BA63" s="65" t="str">
        <f>IF(LauderNew!BA63-LauderOld!BA63=0,"",LauderNew!BA63-LauderOld!BA63)</f>
        <v/>
      </c>
      <c r="BB63" s="65" t="str">
        <f>IF(LauderNew!BB63-LauderOld!BB63=0,"",LauderNew!BB63-LauderOld!BB63)</f>
        <v/>
      </c>
      <c r="BC63" s="65" t="str">
        <f>IF(LauderNew!BC63-LauderOld!BC63=0,"",LauderNew!BC63-LauderOld!BC63)</f>
        <v/>
      </c>
      <c r="BD63" s="65" t="str">
        <f>IF(LauderNew!BD63-LauderOld!BD63=0,"",LauderNew!BD63-LauderOld!BD63)</f>
        <v/>
      </c>
    </row>
    <row r="64" spans="3:56" x14ac:dyDescent="0.25">
      <c r="C64" s="108"/>
      <c r="D64" s="49" t="s">
        <v>37</v>
      </c>
      <c r="E64" s="65" t="str">
        <f>IF(LauderNew!E64-LauderOld!E64=0,"",LauderNew!E64-LauderOld!E64)</f>
        <v/>
      </c>
      <c r="F64" s="65" t="str">
        <f>IF(LauderNew!F64-LauderOld!F64=0,"",LauderNew!F64-LauderOld!F64)</f>
        <v/>
      </c>
      <c r="G64" s="65" t="str">
        <f>IF(LauderNew!G64-LauderOld!G64=0,"",LauderNew!G64-LauderOld!G64)</f>
        <v/>
      </c>
      <c r="H64" s="65" t="str">
        <f>IF(LauderNew!H64-LauderOld!H64=0,"",LauderNew!H64-LauderOld!H64)</f>
        <v/>
      </c>
      <c r="I64" s="65" t="str">
        <f>IF(LauderNew!I64-LauderOld!I64=0,"",LauderNew!I64-LauderOld!I64)</f>
        <v/>
      </c>
      <c r="J64" s="65" t="str">
        <f>IF(LauderNew!J64-LauderOld!J64=0,"",LauderNew!J64-LauderOld!J64)</f>
        <v/>
      </c>
      <c r="K64" s="65" t="str">
        <f>IF(LauderNew!K64-LauderOld!K64=0,"",LauderNew!K64-LauderOld!K64)</f>
        <v/>
      </c>
      <c r="L64" s="65" t="str">
        <f>IF(LauderNew!L64-LauderOld!L64=0,"",LauderNew!L64-LauderOld!L64)</f>
        <v/>
      </c>
      <c r="M64" s="65" t="str">
        <f>IF(LauderNew!M64-LauderOld!M64=0,"",LauderNew!M64-LauderOld!M64)</f>
        <v/>
      </c>
      <c r="N64" s="65" t="str">
        <f>IF(LauderNew!N64-LauderOld!N64=0,"",LauderNew!N64-LauderOld!N64)</f>
        <v/>
      </c>
      <c r="O64" s="65" t="str">
        <f>IF(LauderNew!O64-LauderOld!O64=0,"",LauderNew!O64-LauderOld!O64)</f>
        <v/>
      </c>
      <c r="P64" s="65" t="str">
        <f>IF(LauderNew!P64-LauderOld!P64=0,"",LauderNew!P64-LauderOld!P64)</f>
        <v/>
      </c>
      <c r="Q64" s="65" t="str">
        <f>IF(LauderNew!Q64-LauderOld!Q64=0,"",LauderNew!Q64-LauderOld!Q64)</f>
        <v/>
      </c>
      <c r="R64" s="65" t="str">
        <f>IF(LauderNew!R64-LauderOld!R64=0,"",LauderNew!R64-LauderOld!R64)</f>
        <v/>
      </c>
      <c r="S64" s="65" t="str">
        <f>IF(LauderNew!S64-LauderOld!S64=0,"",LauderNew!S64-LauderOld!S64)</f>
        <v/>
      </c>
      <c r="T64" s="65" t="str">
        <f>IF(LauderNew!T64-LauderOld!T64=0,"",LauderNew!T64-LauderOld!T64)</f>
        <v/>
      </c>
      <c r="U64" s="65" t="str">
        <f>IF(LauderNew!U64-LauderOld!U64=0,"",LauderNew!U64-LauderOld!U64)</f>
        <v/>
      </c>
      <c r="V64" s="65" t="str">
        <f>IF(LauderNew!V64-LauderOld!V64=0,"",LauderNew!V64-LauderOld!V64)</f>
        <v/>
      </c>
      <c r="W64" s="65" t="str">
        <f>IF(LauderNew!W64-LauderOld!W64=0,"",LauderNew!W64-LauderOld!W64)</f>
        <v/>
      </c>
      <c r="X64" s="65" t="str">
        <f>IF(LauderNew!X64-LauderOld!X64=0,"",LauderNew!X64-LauderOld!X64)</f>
        <v/>
      </c>
      <c r="Y64" s="65" t="str">
        <f>IF(LauderNew!Y64-LauderOld!Y64=0,"",LauderNew!Y64-LauderOld!Y64)</f>
        <v/>
      </c>
      <c r="Z64" s="65" t="str">
        <f>IF(LauderNew!Z64-LauderOld!Z64=0,"",LauderNew!Z64-LauderOld!Z64)</f>
        <v/>
      </c>
      <c r="AA64" s="65" t="str">
        <f>IF(LauderNew!AA64-LauderOld!AA64=0,"",LauderNew!AA64-LauderOld!AA64)</f>
        <v/>
      </c>
      <c r="AB64" s="65" t="str">
        <f>IF(LauderNew!AB64-LauderOld!AB64=0,"",LauderNew!AB64-LauderOld!AB64)</f>
        <v/>
      </c>
      <c r="AC64" s="65" t="str">
        <f>IF(LauderNew!AC64-LauderOld!AC64=0,"",LauderNew!AC64-LauderOld!AC64)</f>
        <v/>
      </c>
      <c r="AD64" s="65" t="str">
        <f>IF(LauderNew!AD64-LauderOld!AD64=0,"",LauderNew!AD64-LauderOld!AD64)</f>
        <v/>
      </c>
      <c r="AE64" s="65" t="str">
        <f>IF(LauderNew!AE64-LauderOld!AE64=0,"",LauderNew!AE64-LauderOld!AE64)</f>
        <v/>
      </c>
      <c r="AF64" s="65" t="str">
        <f>IF(LauderNew!AF64-LauderOld!AF64=0,"",LauderNew!AF64-LauderOld!AF64)</f>
        <v/>
      </c>
      <c r="AG64" s="65" t="str">
        <f>IF(LauderNew!AG64-LauderOld!AG64=0,"",LauderNew!AG64-LauderOld!AG64)</f>
        <v/>
      </c>
      <c r="AH64" s="65" t="str">
        <f>IF(LauderNew!AH64-LauderOld!AH64=0,"",LauderNew!AH64-LauderOld!AH64)</f>
        <v/>
      </c>
      <c r="AI64" s="65" t="str">
        <f>IF(LauderNew!AI64-LauderOld!AI64=0,"",LauderNew!AI64-LauderOld!AI64)</f>
        <v/>
      </c>
      <c r="AJ64" s="65" t="str">
        <f>IF(LauderNew!AJ64-LauderOld!AJ64=0,"",LauderNew!AJ64-LauderOld!AJ64)</f>
        <v/>
      </c>
      <c r="AK64" s="65" t="str">
        <f>IF(LauderNew!AK64-LauderOld!AK64=0,"",LauderNew!AK64-LauderOld!AK64)</f>
        <v/>
      </c>
      <c r="AL64" s="65" t="str">
        <f>IF(LauderNew!AL64-LauderOld!AL64=0,"",LauderNew!AL64-LauderOld!AL64)</f>
        <v/>
      </c>
      <c r="AM64" s="65" t="str">
        <f>IF(LauderNew!AM64-LauderOld!AM64=0,"",LauderNew!AM64-LauderOld!AM64)</f>
        <v/>
      </c>
      <c r="AN64" s="65" t="str">
        <f>IF(LauderNew!AN64-LauderOld!AN64=0,"",LauderNew!AN64-LauderOld!AN64)</f>
        <v/>
      </c>
      <c r="AO64" s="65" t="str">
        <f>IF(LauderNew!AO64-LauderOld!AO64=0,"",LauderNew!AO64-LauderOld!AO64)</f>
        <v/>
      </c>
      <c r="AP64" s="65" t="str">
        <f>IF(LauderNew!AP64-LauderOld!AP64=0,"",LauderNew!AP64-LauderOld!AP64)</f>
        <v/>
      </c>
      <c r="AQ64" s="65" t="str">
        <f>IF(LauderNew!AQ64-LauderOld!AQ64=0,"",LauderNew!AQ64-LauderOld!AQ64)</f>
        <v/>
      </c>
      <c r="AR64" s="65" t="str">
        <f>IF(LauderNew!AR64-LauderOld!AR64=0,"",LauderNew!AR64-LauderOld!AR64)</f>
        <v/>
      </c>
      <c r="AS64" s="65" t="str">
        <f>IF(LauderNew!AS64-LauderOld!AS64=0,"",LauderNew!AS64-LauderOld!AS64)</f>
        <v/>
      </c>
      <c r="AT64" s="65" t="str">
        <f>IF(LauderNew!AT64-LauderOld!AT64=0,"",LauderNew!AT64-LauderOld!AT64)</f>
        <v/>
      </c>
      <c r="AU64" s="65" t="str">
        <f>IF(LauderNew!AU64-LauderOld!AU64=0,"",LauderNew!AU64-LauderOld!AU64)</f>
        <v/>
      </c>
      <c r="AV64" s="65" t="str">
        <f>IF(LauderNew!AV64-LauderOld!AV64=0,"",LauderNew!AV64-LauderOld!AV64)</f>
        <v/>
      </c>
      <c r="AW64" s="65" t="str">
        <f>IF(LauderNew!AW64-LauderOld!AW64=0,"",LauderNew!AW64-LauderOld!AW64)</f>
        <v/>
      </c>
      <c r="AX64" s="65" t="str">
        <f>IF(LauderNew!AX64-LauderOld!AX64=0,"",LauderNew!AX64-LauderOld!AX64)</f>
        <v/>
      </c>
      <c r="AY64" s="65" t="str">
        <f>IF(LauderNew!AY64-LauderOld!AY64=0,"",LauderNew!AY64-LauderOld!AY64)</f>
        <v/>
      </c>
      <c r="AZ64" s="65" t="str">
        <f>IF(LauderNew!AZ64-LauderOld!AZ64=0,"",LauderNew!AZ64-LauderOld!AZ64)</f>
        <v/>
      </c>
      <c r="BA64" s="65" t="str">
        <f>IF(LauderNew!BA64-LauderOld!BA64=0,"",LauderNew!BA64-LauderOld!BA64)</f>
        <v/>
      </c>
      <c r="BB64" s="65" t="str">
        <f>IF(LauderNew!BB64-LauderOld!BB64=0,"",LauderNew!BB64-LauderOld!BB64)</f>
        <v/>
      </c>
      <c r="BC64" s="65" t="str">
        <f>IF(LauderNew!BC64-LauderOld!BC64=0,"",LauderNew!BC64-LauderOld!BC64)</f>
        <v/>
      </c>
      <c r="BD64" s="65" t="str">
        <f>IF(LauderNew!BD64-LauderOld!BD64=0,"",LauderNew!BD64-LauderOld!BD64)</f>
        <v/>
      </c>
    </row>
    <row r="65" spans="3:56" x14ac:dyDescent="0.25">
      <c r="C65" s="108"/>
      <c r="D65" s="49" t="s">
        <v>38</v>
      </c>
      <c r="E65" s="65" t="str">
        <f>IF(LauderNew!E65-LauderOld!E65=0,"",LauderNew!E65-LauderOld!E65)</f>
        <v/>
      </c>
      <c r="F65" s="65" t="str">
        <f>IF(LauderNew!F65-LauderOld!F65=0,"",LauderNew!F65-LauderOld!F65)</f>
        <v/>
      </c>
      <c r="G65" s="65" t="str">
        <f>IF(LauderNew!G65-LauderOld!G65=0,"",LauderNew!G65-LauderOld!G65)</f>
        <v/>
      </c>
      <c r="H65" s="65" t="str">
        <f>IF(LauderNew!H65-LauderOld!H65=0,"",LauderNew!H65-LauderOld!H65)</f>
        <v/>
      </c>
      <c r="I65" s="65" t="str">
        <f>IF(LauderNew!I65-LauderOld!I65=0,"",LauderNew!I65-LauderOld!I65)</f>
        <v/>
      </c>
      <c r="J65" s="65" t="str">
        <f>IF(LauderNew!J65-LauderOld!J65=0,"",LauderNew!J65-LauderOld!J65)</f>
        <v/>
      </c>
      <c r="K65" s="65" t="str">
        <f>IF(LauderNew!K65-LauderOld!K65=0,"",LauderNew!K65-LauderOld!K65)</f>
        <v/>
      </c>
      <c r="L65" s="65" t="str">
        <f>IF(LauderNew!L65-LauderOld!L65=0,"",LauderNew!L65-LauderOld!L65)</f>
        <v/>
      </c>
      <c r="M65" s="65" t="str">
        <f>IF(LauderNew!M65-LauderOld!M65=0,"",LauderNew!M65-LauderOld!M65)</f>
        <v/>
      </c>
      <c r="N65" s="65" t="str">
        <f>IF(LauderNew!N65-LauderOld!N65=0,"",LauderNew!N65-LauderOld!N65)</f>
        <v/>
      </c>
      <c r="O65" s="65" t="str">
        <f>IF(LauderNew!O65-LauderOld!O65=0,"",LauderNew!O65-LauderOld!O65)</f>
        <v/>
      </c>
      <c r="P65" s="65" t="str">
        <f>IF(LauderNew!P65-LauderOld!P65=0,"",LauderNew!P65-LauderOld!P65)</f>
        <v/>
      </c>
      <c r="Q65" s="65" t="str">
        <f>IF(LauderNew!Q65-LauderOld!Q65=0,"",LauderNew!Q65-LauderOld!Q65)</f>
        <v/>
      </c>
      <c r="R65" s="65" t="str">
        <f>IF(LauderNew!R65-LauderOld!R65=0,"",LauderNew!R65-LauderOld!R65)</f>
        <v/>
      </c>
      <c r="S65" s="65" t="str">
        <f>IF(LauderNew!S65-LauderOld!S65=0,"",LauderNew!S65-LauderOld!S65)</f>
        <v/>
      </c>
      <c r="T65" s="65" t="str">
        <f>IF(LauderNew!T65-LauderOld!T65=0,"",LauderNew!T65-LauderOld!T65)</f>
        <v/>
      </c>
      <c r="U65" s="65" t="str">
        <f>IF(LauderNew!U65-LauderOld!U65=0,"",LauderNew!U65-LauderOld!U65)</f>
        <v/>
      </c>
      <c r="V65" s="65" t="str">
        <f>IF(LauderNew!V65-LauderOld!V65=0,"",LauderNew!V65-LauderOld!V65)</f>
        <v/>
      </c>
      <c r="W65" s="65" t="str">
        <f>IF(LauderNew!W65-LauderOld!W65=0,"",LauderNew!W65-LauderOld!W65)</f>
        <v/>
      </c>
      <c r="X65" s="65" t="str">
        <f>IF(LauderNew!X65-LauderOld!X65=0,"",LauderNew!X65-LauderOld!X65)</f>
        <v/>
      </c>
      <c r="Y65" s="65" t="str">
        <f>IF(LauderNew!Y65-LauderOld!Y65=0,"",LauderNew!Y65-LauderOld!Y65)</f>
        <v/>
      </c>
      <c r="Z65" s="65" t="str">
        <f>IF(LauderNew!Z65-LauderOld!Z65=0,"",LauderNew!Z65-LauderOld!Z65)</f>
        <v/>
      </c>
      <c r="AA65" s="65" t="str">
        <f>IF(LauderNew!AA65-LauderOld!AA65=0,"",LauderNew!AA65-LauderOld!AA65)</f>
        <v/>
      </c>
      <c r="AB65" s="65" t="str">
        <f>IF(LauderNew!AB65-LauderOld!AB65=0,"",LauderNew!AB65-LauderOld!AB65)</f>
        <v/>
      </c>
      <c r="AC65" s="65" t="str">
        <f>IF(LauderNew!AC65-LauderOld!AC65=0,"",LauderNew!AC65-LauderOld!AC65)</f>
        <v/>
      </c>
      <c r="AD65" s="65" t="str">
        <f>IF(LauderNew!AD65-LauderOld!AD65=0,"",LauderNew!AD65-LauderOld!AD65)</f>
        <v/>
      </c>
      <c r="AE65" s="65" t="str">
        <f>IF(LauderNew!AE65-LauderOld!AE65=0,"",LauderNew!AE65-LauderOld!AE65)</f>
        <v/>
      </c>
      <c r="AF65" s="65" t="str">
        <f>IF(LauderNew!AF65-LauderOld!AF65=0,"",LauderNew!AF65-LauderOld!AF65)</f>
        <v/>
      </c>
      <c r="AG65" s="65" t="str">
        <f>IF(LauderNew!AG65-LauderOld!AG65=0,"",LauderNew!AG65-LauderOld!AG65)</f>
        <v/>
      </c>
      <c r="AH65" s="65" t="str">
        <f>IF(LauderNew!AH65-LauderOld!AH65=0,"",LauderNew!AH65-LauderOld!AH65)</f>
        <v/>
      </c>
      <c r="AI65" s="65" t="str">
        <f>IF(LauderNew!AI65-LauderOld!AI65=0,"",LauderNew!AI65-LauderOld!AI65)</f>
        <v/>
      </c>
      <c r="AJ65" s="65" t="str">
        <f>IF(LauderNew!AJ65-LauderOld!AJ65=0,"",LauderNew!AJ65-LauderOld!AJ65)</f>
        <v/>
      </c>
      <c r="AK65" s="65" t="str">
        <f>IF(LauderNew!AK65-LauderOld!AK65=0,"",LauderNew!AK65-LauderOld!AK65)</f>
        <v/>
      </c>
      <c r="AL65" s="65" t="str">
        <f>IF(LauderNew!AL65-LauderOld!AL65=0,"",LauderNew!AL65-LauderOld!AL65)</f>
        <v/>
      </c>
      <c r="AM65" s="65" t="str">
        <f>IF(LauderNew!AM65-LauderOld!AM65=0,"",LauderNew!AM65-LauderOld!AM65)</f>
        <v/>
      </c>
      <c r="AN65" s="65" t="str">
        <f>IF(LauderNew!AN65-LauderOld!AN65=0,"",LauderNew!AN65-LauderOld!AN65)</f>
        <v/>
      </c>
      <c r="AO65" s="65" t="str">
        <f>IF(LauderNew!AO65-LauderOld!AO65=0,"",LauderNew!AO65-LauderOld!AO65)</f>
        <v/>
      </c>
      <c r="AP65" s="65" t="str">
        <f>IF(LauderNew!AP65-LauderOld!AP65=0,"",LauderNew!AP65-LauderOld!AP65)</f>
        <v/>
      </c>
      <c r="AQ65" s="65" t="str">
        <f>IF(LauderNew!AQ65-LauderOld!AQ65=0,"",LauderNew!AQ65-LauderOld!AQ65)</f>
        <v/>
      </c>
      <c r="AR65" s="65" t="str">
        <f>IF(LauderNew!AR65-LauderOld!AR65=0,"",LauderNew!AR65-LauderOld!AR65)</f>
        <v/>
      </c>
      <c r="AS65" s="65" t="str">
        <f>IF(LauderNew!AS65-LauderOld!AS65=0,"",LauderNew!AS65-LauderOld!AS65)</f>
        <v/>
      </c>
      <c r="AT65" s="65" t="str">
        <f>IF(LauderNew!AT65-LauderOld!AT65=0,"",LauderNew!AT65-LauderOld!AT65)</f>
        <v/>
      </c>
      <c r="AU65" s="65" t="str">
        <f>IF(LauderNew!AU65-LauderOld!AU65=0,"",LauderNew!AU65-LauderOld!AU65)</f>
        <v/>
      </c>
      <c r="AV65" s="65" t="str">
        <f>IF(LauderNew!AV65-LauderOld!AV65=0,"",LauderNew!AV65-LauderOld!AV65)</f>
        <v/>
      </c>
      <c r="AW65" s="65" t="str">
        <f>IF(LauderNew!AW65-LauderOld!AW65=0,"",LauderNew!AW65-LauderOld!AW65)</f>
        <v/>
      </c>
      <c r="AX65" s="65" t="str">
        <f>IF(LauderNew!AX65-LauderOld!AX65=0,"",LauderNew!AX65-LauderOld!AX65)</f>
        <v/>
      </c>
      <c r="AY65" s="65" t="str">
        <f>IF(LauderNew!AY65-LauderOld!AY65=0,"",LauderNew!AY65-LauderOld!AY65)</f>
        <v/>
      </c>
      <c r="AZ65" s="65" t="str">
        <f>IF(LauderNew!AZ65-LauderOld!AZ65=0,"",LauderNew!AZ65-LauderOld!AZ65)</f>
        <v/>
      </c>
      <c r="BA65" s="65" t="str">
        <f>IF(LauderNew!BA65-LauderOld!BA65=0,"",LauderNew!BA65-LauderOld!BA65)</f>
        <v/>
      </c>
      <c r="BB65" s="65" t="str">
        <f>IF(LauderNew!BB65-LauderOld!BB65=0,"",LauderNew!BB65-LauderOld!BB65)</f>
        <v/>
      </c>
      <c r="BC65" s="65" t="str">
        <f>IF(LauderNew!BC65-LauderOld!BC65=0,"",LauderNew!BC65-LauderOld!BC65)</f>
        <v/>
      </c>
      <c r="BD65" s="65" t="str">
        <f>IF(LauderNew!BD65-LauderOld!BD65=0,"",LauderNew!BD65-LauderOld!BD65)</f>
        <v/>
      </c>
    </row>
    <row r="66" spans="3:56" x14ac:dyDescent="0.25">
      <c r="C66" s="108"/>
      <c r="D66" s="49" t="s">
        <v>39</v>
      </c>
      <c r="E66" s="65" t="str">
        <f>IF(LauderNew!E66-LauderOld!E66=0,"",LauderNew!E66-LauderOld!E66)</f>
        <v/>
      </c>
      <c r="F66" s="65" t="str">
        <f>IF(LauderNew!F66-LauderOld!F66=0,"",LauderNew!F66-LauderOld!F66)</f>
        <v/>
      </c>
      <c r="G66" s="65" t="str">
        <f>IF(LauderNew!G66-LauderOld!G66=0,"",LauderNew!G66-LauderOld!G66)</f>
        <v/>
      </c>
      <c r="H66" s="65" t="str">
        <f>IF(LauderNew!H66-LauderOld!H66=0,"",LauderNew!H66-LauderOld!H66)</f>
        <v/>
      </c>
      <c r="I66" s="65" t="str">
        <f>IF(LauderNew!I66-LauderOld!I66=0,"",LauderNew!I66-LauderOld!I66)</f>
        <v/>
      </c>
      <c r="J66" s="65" t="str">
        <f>IF(LauderNew!J66-LauderOld!J66=0,"",LauderNew!J66-LauderOld!J66)</f>
        <v/>
      </c>
      <c r="K66" s="65" t="str">
        <f>IF(LauderNew!K66-LauderOld!K66=0,"",LauderNew!K66-LauderOld!K66)</f>
        <v/>
      </c>
      <c r="L66" s="65" t="str">
        <f>IF(LauderNew!L66-LauderOld!L66=0,"",LauderNew!L66-LauderOld!L66)</f>
        <v/>
      </c>
      <c r="M66" s="65" t="str">
        <f>IF(LauderNew!M66-LauderOld!M66=0,"",LauderNew!M66-LauderOld!M66)</f>
        <v/>
      </c>
      <c r="N66" s="65" t="str">
        <f>IF(LauderNew!N66-LauderOld!N66=0,"",LauderNew!N66-LauderOld!N66)</f>
        <v/>
      </c>
      <c r="O66" s="65" t="str">
        <f>IF(LauderNew!O66-LauderOld!O66=0,"",LauderNew!O66-LauderOld!O66)</f>
        <v/>
      </c>
      <c r="P66" s="65" t="str">
        <f>IF(LauderNew!P66-LauderOld!P66=0,"",LauderNew!P66-LauderOld!P66)</f>
        <v/>
      </c>
      <c r="Q66" s="65" t="str">
        <f>IF(LauderNew!Q66-LauderOld!Q66=0,"",LauderNew!Q66-LauderOld!Q66)</f>
        <v/>
      </c>
      <c r="R66" s="65" t="str">
        <f>IF(LauderNew!R66-LauderOld!R66=0,"",LauderNew!R66-LauderOld!R66)</f>
        <v/>
      </c>
      <c r="S66" s="65" t="str">
        <f>IF(LauderNew!S66-LauderOld!S66=0,"",LauderNew!S66-LauderOld!S66)</f>
        <v/>
      </c>
      <c r="T66" s="65" t="str">
        <f>IF(LauderNew!T66-LauderOld!T66=0,"",LauderNew!T66-LauderOld!T66)</f>
        <v/>
      </c>
      <c r="U66" s="65" t="str">
        <f>IF(LauderNew!U66-LauderOld!U66=0,"",LauderNew!U66-LauderOld!U66)</f>
        <v/>
      </c>
      <c r="V66" s="65" t="str">
        <f>IF(LauderNew!V66-LauderOld!V66=0,"",LauderNew!V66-LauderOld!V66)</f>
        <v/>
      </c>
      <c r="W66" s="65" t="str">
        <f>IF(LauderNew!W66-LauderOld!W66=0,"",LauderNew!W66-LauderOld!W66)</f>
        <v/>
      </c>
      <c r="X66" s="65" t="str">
        <f>IF(LauderNew!X66-LauderOld!X66=0,"",LauderNew!X66-LauderOld!X66)</f>
        <v/>
      </c>
      <c r="Y66" s="65" t="str">
        <f>IF(LauderNew!Y66-LauderOld!Y66=0,"",LauderNew!Y66-LauderOld!Y66)</f>
        <v/>
      </c>
      <c r="Z66" s="65" t="str">
        <f>IF(LauderNew!Z66-LauderOld!Z66=0,"",LauderNew!Z66-LauderOld!Z66)</f>
        <v/>
      </c>
      <c r="AA66" s="65" t="str">
        <f>IF(LauderNew!AA66-LauderOld!AA66=0,"",LauderNew!AA66-LauderOld!AA66)</f>
        <v/>
      </c>
      <c r="AB66" s="65" t="str">
        <f>IF(LauderNew!AB66-LauderOld!AB66=0,"",LauderNew!AB66-LauderOld!AB66)</f>
        <v/>
      </c>
      <c r="AC66" s="65" t="str">
        <f>IF(LauderNew!AC66-LauderOld!AC66=0,"",LauderNew!AC66-LauderOld!AC66)</f>
        <v/>
      </c>
      <c r="AD66" s="65" t="str">
        <f>IF(LauderNew!AD66-LauderOld!AD66=0,"",LauderNew!AD66-LauderOld!AD66)</f>
        <v/>
      </c>
      <c r="AE66" s="65" t="str">
        <f>IF(LauderNew!AE66-LauderOld!AE66=0,"",LauderNew!AE66-LauderOld!AE66)</f>
        <v/>
      </c>
      <c r="AF66" s="65" t="str">
        <f>IF(LauderNew!AF66-LauderOld!AF66=0,"",LauderNew!AF66-LauderOld!AF66)</f>
        <v/>
      </c>
      <c r="AG66" s="65" t="str">
        <f>IF(LauderNew!AG66-LauderOld!AG66=0,"",LauderNew!AG66-LauderOld!AG66)</f>
        <v/>
      </c>
      <c r="AH66" s="65" t="str">
        <f>IF(LauderNew!AH66-LauderOld!AH66=0,"",LauderNew!AH66-LauderOld!AH66)</f>
        <v/>
      </c>
      <c r="AI66" s="65" t="str">
        <f>IF(LauderNew!AI66-LauderOld!AI66=0,"",LauderNew!AI66-LauderOld!AI66)</f>
        <v/>
      </c>
      <c r="AJ66" s="65" t="str">
        <f>IF(LauderNew!AJ66-LauderOld!AJ66=0,"",LauderNew!AJ66-LauderOld!AJ66)</f>
        <v/>
      </c>
      <c r="AK66" s="65" t="str">
        <f>IF(LauderNew!AK66-LauderOld!AK66=0,"",LauderNew!AK66-LauderOld!AK66)</f>
        <v/>
      </c>
      <c r="AL66" s="65" t="str">
        <f>IF(LauderNew!AL66-LauderOld!AL66=0,"",LauderNew!AL66-LauderOld!AL66)</f>
        <v/>
      </c>
      <c r="AM66" s="65" t="str">
        <f>IF(LauderNew!AM66-LauderOld!AM66=0,"",LauderNew!AM66-LauderOld!AM66)</f>
        <v/>
      </c>
      <c r="AN66" s="65" t="str">
        <f>IF(LauderNew!AN66-LauderOld!AN66=0,"",LauderNew!AN66-LauderOld!AN66)</f>
        <v/>
      </c>
      <c r="AO66" s="65" t="str">
        <f>IF(LauderNew!AO66-LauderOld!AO66=0,"",LauderNew!AO66-LauderOld!AO66)</f>
        <v/>
      </c>
      <c r="AP66" s="65" t="str">
        <f>IF(LauderNew!AP66-LauderOld!AP66=0,"",LauderNew!AP66-LauderOld!AP66)</f>
        <v/>
      </c>
      <c r="AQ66" s="65" t="str">
        <f>IF(LauderNew!AQ66-LauderOld!AQ66=0,"",LauderNew!AQ66-LauderOld!AQ66)</f>
        <v/>
      </c>
      <c r="AR66" s="65" t="str">
        <f>IF(LauderNew!AR66-LauderOld!AR66=0,"",LauderNew!AR66-LauderOld!AR66)</f>
        <v/>
      </c>
      <c r="AS66" s="65" t="str">
        <f>IF(LauderNew!AS66-LauderOld!AS66=0,"",LauderNew!AS66-LauderOld!AS66)</f>
        <v/>
      </c>
      <c r="AT66" s="65" t="str">
        <f>IF(LauderNew!AT66-LauderOld!AT66=0,"",LauderNew!AT66-LauderOld!AT66)</f>
        <v/>
      </c>
      <c r="AU66" s="65" t="str">
        <f>IF(LauderNew!AU66-LauderOld!AU66=0,"",LauderNew!AU66-LauderOld!AU66)</f>
        <v/>
      </c>
      <c r="AV66" s="65" t="str">
        <f>IF(LauderNew!AV66-LauderOld!AV66=0,"",LauderNew!AV66-LauderOld!AV66)</f>
        <v/>
      </c>
      <c r="AW66" s="65" t="str">
        <f>IF(LauderNew!AW66-LauderOld!AW66=0,"",LauderNew!AW66-LauderOld!AW66)</f>
        <v/>
      </c>
      <c r="AX66" s="65" t="str">
        <f>IF(LauderNew!AX66-LauderOld!AX66=0,"",LauderNew!AX66-LauderOld!AX66)</f>
        <v/>
      </c>
      <c r="AY66" s="65" t="str">
        <f>IF(LauderNew!AY66-LauderOld!AY66=0,"",LauderNew!AY66-LauderOld!AY66)</f>
        <v/>
      </c>
      <c r="AZ66" s="65" t="str">
        <f>IF(LauderNew!AZ66-LauderOld!AZ66=0,"",LauderNew!AZ66-LauderOld!AZ66)</f>
        <v/>
      </c>
      <c r="BA66" s="65" t="str">
        <f>IF(LauderNew!BA66-LauderOld!BA66=0,"",LauderNew!BA66-LauderOld!BA66)</f>
        <v/>
      </c>
      <c r="BB66" s="65" t="str">
        <f>IF(LauderNew!BB66-LauderOld!BB66=0,"",LauderNew!BB66-LauderOld!BB66)</f>
        <v/>
      </c>
      <c r="BC66" s="65" t="str">
        <f>IF(LauderNew!BC66-LauderOld!BC66=0,"",LauderNew!BC66-LauderOld!BC66)</f>
        <v/>
      </c>
      <c r="BD66" s="65" t="str">
        <f>IF(LauderNew!BD66-LauderOld!BD66=0,"",LauderNew!BD66-LauderOld!BD66)</f>
        <v/>
      </c>
    </row>
    <row r="67" spans="3:56" x14ac:dyDescent="0.25">
      <c r="C67" s="108"/>
      <c r="D67" s="49" t="s">
        <v>40</v>
      </c>
      <c r="E67" s="65" t="str">
        <f>IF(LauderNew!E67-LauderOld!E67=0,"",LauderNew!E67-LauderOld!E67)</f>
        <v/>
      </c>
      <c r="F67" s="65" t="str">
        <f>IF(LauderNew!F67-LauderOld!F67=0,"",LauderNew!F67-LauderOld!F67)</f>
        <v/>
      </c>
      <c r="G67" s="65" t="str">
        <f>IF(LauderNew!G67-LauderOld!G67=0,"",LauderNew!G67-LauderOld!G67)</f>
        <v/>
      </c>
      <c r="H67" s="65" t="str">
        <f>IF(LauderNew!H67-LauderOld!H67=0,"",LauderNew!H67-LauderOld!H67)</f>
        <v/>
      </c>
      <c r="I67" s="65" t="str">
        <f>IF(LauderNew!I67-LauderOld!I67=0,"",LauderNew!I67-LauderOld!I67)</f>
        <v/>
      </c>
      <c r="J67" s="65" t="str">
        <f>IF(LauderNew!J67-LauderOld!J67=0,"",LauderNew!J67-LauderOld!J67)</f>
        <v/>
      </c>
      <c r="K67" s="65" t="str">
        <f>IF(LauderNew!K67-LauderOld!K67=0,"",LauderNew!K67-LauderOld!K67)</f>
        <v/>
      </c>
      <c r="L67" s="65" t="str">
        <f>IF(LauderNew!L67-LauderOld!L67=0,"",LauderNew!L67-LauderOld!L67)</f>
        <v/>
      </c>
      <c r="M67" s="65" t="str">
        <f>IF(LauderNew!M67-LauderOld!M67=0,"",LauderNew!M67-LauderOld!M67)</f>
        <v/>
      </c>
      <c r="N67" s="65" t="str">
        <f>IF(LauderNew!N67-LauderOld!N67=0,"",LauderNew!N67-LauderOld!N67)</f>
        <v/>
      </c>
      <c r="O67" s="65" t="str">
        <f>IF(LauderNew!O67-LauderOld!O67=0,"",LauderNew!O67-LauderOld!O67)</f>
        <v/>
      </c>
      <c r="P67" s="65" t="str">
        <f>IF(LauderNew!P67-LauderOld!P67=0,"",LauderNew!P67-LauderOld!P67)</f>
        <v/>
      </c>
      <c r="Q67" s="65" t="str">
        <f>IF(LauderNew!Q67-LauderOld!Q67=0,"",LauderNew!Q67-LauderOld!Q67)</f>
        <v/>
      </c>
      <c r="R67" s="65" t="str">
        <f>IF(LauderNew!R67-LauderOld!R67=0,"",LauderNew!R67-LauderOld!R67)</f>
        <v/>
      </c>
      <c r="S67" s="65" t="str">
        <f>IF(LauderNew!S67-LauderOld!S67=0,"",LauderNew!S67-LauderOld!S67)</f>
        <v/>
      </c>
      <c r="T67" s="65" t="str">
        <f>IF(LauderNew!T67-LauderOld!T67=0,"",LauderNew!T67-LauderOld!T67)</f>
        <v/>
      </c>
      <c r="U67" s="65" t="str">
        <f>IF(LauderNew!U67-LauderOld!U67=0,"",LauderNew!U67-LauderOld!U67)</f>
        <v/>
      </c>
      <c r="V67" s="65" t="str">
        <f>IF(LauderNew!V67-LauderOld!V67=0,"",LauderNew!V67-LauderOld!V67)</f>
        <v/>
      </c>
      <c r="W67" s="65" t="str">
        <f>IF(LauderNew!W67-LauderOld!W67=0,"",LauderNew!W67-LauderOld!W67)</f>
        <v/>
      </c>
      <c r="X67" s="65" t="str">
        <f>IF(LauderNew!X67-LauderOld!X67=0,"",LauderNew!X67-LauderOld!X67)</f>
        <v/>
      </c>
      <c r="Y67" s="65" t="str">
        <f>IF(LauderNew!Y67-LauderOld!Y67=0,"",LauderNew!Y67-LauderOld!Y67)</f>
        <v/>
      </c>
      <c r="Z67" s="65" t="str">
        <f>IF(LauderNew!Z67-LauderOld!Z67=0,"",LauderNew!Z67-LauderOld!Z67)</f>
        <v/>
      </c>
      <c r="AA67" s="65" t="str">
        <f>IF(LauderNew!AA67-LauderOld!AA67=0,"",LauderNew!AA67-LauderOld!AA67)</f>
        <v/>
      </c>
      <c r="AB67" s="65" t="str">
        <f>IF(LauderNew!AB67-LauderOld!AB67=0,"",LauderNew!AB67-LauderOld!AB67)</f>
        <v/>
      </c>
      <c r="AC67" s="65" t="str">
        <f>IF(LauderNew!AC67-LauderOld!AC67=0,"",LauderNew!AC67-LauderOld!AC67)</f>
        <v/>
      </c>
      <c r="AD67" s="65" t="str">
        <f>IF(LauderNew!AD67-LauderOld!AD67=0,"",LauderNew!AD67-LauderOld!AD67)</f>
        <v/>
      </c>
      <c r="AE67" s="65" t="str">
        <f>IF(LauderNew!AE67-LauderOld!AE67=0,"",LauderNew!AE67-LauderOld!AE67)</f>
        <v/>
      </c>
      <c r="AF67" s="65" t="str">
        <f>IF(LauderNew!AF67-LauderOld!AF67=0,"",LauderNew!AF67-LauderOld!AF67)</f>
        <v/>
      </c>
      <c r="AG67" s="65" t="str">
        <f>IF(LauderNew!AG67-LauderOld!AG67=0,"",LauderNew!AG67-LauderOld!AG67)</f>
        <v/>
      </c>
      <c r="AH67" s="65" t="str">
        <f>IF(LauderNew!AH67-LauderOld!AH67=0,"",LauderNew!AH67-LauderOld!AH67)</f>
        <v/>
      </c>
      <c r="AI67" s="65" t="str">
        <f>IF(LauderNew!AI67-LauderOld!AI67=0,"",LauderNew!AI67-LauderOld!AI67)</f>
        <v/>
      </c>
      <c r="AJ67" s="65" t="str">
        <f>IF(LauderNew!AJ67-LauderOld!AJ67=0,"",LauderNew!AJ67-LauderOld!AJ67)</f>
        <v/>
      </c>
      <c r="AK67" s="65" t="str">
        <f>IF(LauderNew!AK67-LauderOld!AK67=0,"",LauderNew!AK67-LauderOld!AK67)</f>
        <v/>
      </c>
      <c r="AL67" s="65" t="str">
        <f>IF(LauderNew!AL67-LauderOld!AL67=0,"",LauderNew!AL67-LauderOld!AL67)</f>
        <v/>
      </c>
      <c r="AM67" s="65" t="str">
        <f>IF(LauderNew!AM67-LauderOld!AM67=0,"",LauderNew!AM67-LauderOld!AM67)</f>
        <v/>
      </c>
      <c r="AN67" s="65" t="str">
        <f>IF(LauderNew!AN67-LauderOld!AN67=0,"",LauderNew!AN67-LauderOld!AN67)</f>
        <v/>
      </c>
      <c r="AO67" s="65" t="str">
        <f>IF(LauderNew!AO67-LauderOld!AO67=0,"",LauderNew!AO67-LauderOld!AO67)</f>
        <v/>
      </c>
      <c r="AP67" s="65" t="str">
        <f>IF(LauderNew!AP67-LauderOld!AP67=0,"",LauderNew!AP67-LauderOld!AP67)</f>
        <v/>
      </c>
      <c r="AQ67" s="65" t="str">
        <f>IF(LauderNew!AQ67-LauderOld!AQ67=0,"",LauderNew!AQ67-LauderOld!AQ67)</f>
        <v/>
      </c>
      <c r="AR67" s="65" t="str">
        <f>IF(LauderNew!AR67-LauderOld!AR67=0,"",LauderNew!AR67-LauderOld!AR67)</f>
        <v/>
      </c>
      <c r="AS67" s="65" t="str">
        <f>IF(LauderNew!AS67-LauderOld!AS67=0,"",LauderNew!AS67-LauderOld!AS67)</f>
        <v/>
      </c>
      <c r="AT67" s="65" t="str">
        <f>IF(LauderNew!AT67-LauderOld!AT67=0,"",LauderNew!AT67-LauderOld!AT67)</f>
        <v/>
      </c>
      <c r="AU67" s="65" t="str">
        <f>IF(LauderNew!AU67-LauderOld!AU67=0,"",LauderNew!AU67-LauderOld!AU67)</f>
        <v/>
      </c>
      <c r="AV67" s="65" t="str">
        <f>IF(LauderNew!AV67-LauderOld!AV67=0,"",LauderNew!AV67-LauderOld!AV67)</f>
        <v/>
      </c>
      <c r="AW67" s="65" t="str">
        <f>IF(LauderNew!AW67-LauderOld!AW67=0,"",LauderNew!AW67-LauderOld!AW67)</f>
        <v/>
      </c>
      <c r="AX67" s="65" t="str">
        <f>IF(LauderNew!AX67-LauderOld!AX67=0,"",LauderNew!AX67-LauderOld!AX67)</f>
        <v/>
      </c>
      <c r="AY67" s="65" t="str">
        <f>IF(LauderNew!AY67-LauderOld!AY67=0,"",LauderNew!AY67-LauderOld!AY67)</f>
        <v/>
      </c>
      <c r="AZ67" s="65" t="str">
        <f>IF(LauderNew!AZ67-LauderOld!AZ67=0,"",LauderNew!AZ67-LauderOld!AZ67)</f>
        <v/>
      </c>
      <c r="BA67" s="65" t="str">
        <f>IF(LauderNew!BA67-LauderOld!BA67=0,"",LauderNew!BA67-LauderOld!BA67)</f>
        <v/>
      </c>
      <c r="BB67" s="65" t="str">
        <f>IF(LauderNew!BB67-LauderOld!BB67=0,"",LauderNew!BB67-LauderOld!BB67)</f>
        <v/>
      </c>
      <c r="BC67" s="65" t="str">
        <f>IF(LauderNew!BC67-LauderOld!BC67=0,"",LauderNew!BC67-LauderOld!BC67)</f>
        <v/>
      </c>
      <c r="BD67" s="65" t="str">
        <f>IF(LauderNew!BD67-LauderOld!BD67=0,"",LauderNew!BD67-LauderOld!BD67)</f>
        <v/>
      </c>
    </row>
    <row r="68" spans="3:56" x14ac:dyDescent="0.25">
      <c r="C68" s="108"/>
      <c r="D68" s="50" t="s">
        <v>41</v>
      </c>
      <c r="E68" s="54" t="str">
        <f>IFERROR((SUM(E61:E67)*E70)/((40*(1-E69)+40)),"")</f>
        <v/>
      </c>
      <c r="F68" s="54" t="str">
        <f t="shared" ref="F68:BD68" si="16">IFERROR((SUM(F61:F67)*F70)/((40*(1-F69)+40)),"")</f>
        <v/>
      </c>
      <c r="G68" s="54" t="str">
        <f t="shared" si="16"/>
        <v/>
      </c>
      <c r="H68" s="54" t="str">
        <f t="shared" si="16"/>
        <v/>
      </c>
      <c r="I68" s="54" t="str">
        <f t="shared" si="16"/>
        <v/>
      </c>
      <c r="J68" s="54" t="str">
        <f t="shared" si="16"/>
        <v/>
      </c>
      <c r="K68" s="54" t="str">
        <f t="shared" si="16"/>
        <v/>
      </c>
      <c r="L68" s="54" t="str">
        <f t="shared" si="16"/>
        <v/>
      </c>
      <c r="M68" s="54" t="str">
        <f t="shared" si="16"/>
        <v/>
      </c>
      <c r="N68" s="54" t="str">
        <f t="shared" si="16"/>
        <v/>
      </c>
      <c r="O68" s="54" t="str">
        <f t="shared" si="16"/>
        <v/>
      </c>
      <c r="P68" s="54" t="str">
        <f t="shared" si="16"/>
        <v/>
      </c>
      <c r="Q68" s="54" t="str">
        <f t="shared" si="16"/>
        <v/>
      </c>
      <c r="R68" s="54" t="str">
        <f t="shared" si="16"/>
        <v/>
      </c>
      <c r="S68" s="54" t="str">
        <f t="shared" si="16"/>
        <v/>
      </c>
      <c r="T68" s="54" t="str">
        <f t="shared" si="16"/>
        <v/>
      </c>
      <c r="U68" s="54" t="str">
        <f t="shared" si="16"/>
        <v/>
      </c>
      <c r="V68" s="54" t="str">
        <f t="shared" si="16"/>
        <v/>
      </c>
      <c r="W68" s="54" t="str">
        <f t="shared" si="16"/>
        <v/>
      </c>
      <c r="X68" s="54" t="str">
        <f t="shared" si="16"/>
        <v/>
      </c>
      <c r="Y68" s="54" t="str">
        <f t="shared" si="16"/>
        <v/>
      </c>
      <c r="Z68" s="54" t="str">
        <f t="shared" si="16"/>
        <v/>
      </c>
      <c r="AA68" s="54" t="str">
        <f t="shared" si="16"/>
        <v/>
      </c>
      <c r="AB68" s="54" t="str">
        <f t="shared" si="16"/>
        <v/>
      </c>
      <c r="AC68" s="54" t="str">
        <f t="shared" si="16"/>
        <v/>
      </c>
      <c r="AD68" s="54" t="str">
        <f t="shared" si="16"/>
        <v/>
      </c>
      <c r="AE68" s="54" t="str">
        <f t="shared" si="16"/>
        <v/>
      </c>
      <c r="AF68" s="54" t="str">
        <f t="shared" si="16"/>
        <v/>
      </c>
      <c r="AG68" s="54" t="str">
        <f t="shared" si="16"/>
        <v/>
      </c>
      <c r="AH68" s="54" t="str">
        <f t="shared" si="16"/>
        <v/>
      </c>
      <c r="AI68" s="54" t="str">
        <f t="shared" si="16"/>
        <v/>
      </c>
      <c r="AJ68" s="54" t="str">
        <f t="shared" si="16"/>
        <v/>
      </c>
      <c r="AK68" s="54" t="str">
        <f t="shared" si="16"/>
        <v/>
      </c>
      <c r="AL68" s="54" t="str">
        <f t="shared" si="16"/>
        <v/>
      </c>
      <c r="AM68" s="54" t="str">
        <f t="shared" si="16"/>
        <v/>
      </c>
      <c r="AN68" s="54" t="str">
        <f t="shared" si="16"/>
        <v/>
      </c>
      <c r="AO68" s="54" t="str">
        <f t="shared" si="16"/>
        <v/>
      </c>
      <c r="AP68" s="54" t="str">
        <f t="shared" si="16"/>
        <v/>
      </c>
      <c r="AQ68" s="54" t="str">
        <f t="shared" si="16"/>
        <v/>
      </c>
      <c r="AR68" s="54" t="str">
        <f t="shared" si="16"/>
        <v/>
      </c>
      <c r="AS68" s="54" t="str">
        <f t="shared" si="16"/>
        <v/>
      </c>
      <c r="AT68" s="54" t="str">
        <f t="shared" si="16"/>
        <v/>
      </c>
      <c r="AU68" s="54" t="str">
        <f t="shared" si="16"/>
        <v/>
      </c>
      <c r="AV68" s="54" t="str">
        <f t="shared" si="16"/>
        <v/>
      </c>
      <c r="AW68" s="54" t="str">
        <f t="shared" si="16"/>
        <v/>
      </c>
      <c r="AX68" s="54" t="str">
        <f t="shared" si="16"/>
        <v/>
      </c>
      <c r="AY68" s="54" t="str">
        <f t="shared" si="16"/>
        <v/>
      </c>
      <c r="AZ68" s="54" t="str">
        <f t="shared" si="16"/>
        <v/>
      </c>
      <c r="BA68" s="54" t="str">
        <f t="shared" si="16"/>
        <v/>
      </c>
      <c r="BB68" s="54" t="str">
        <f t="shared" si="16"/>
        <v/>
      </c>
      <c r="BC68" s="54" t="str">
        <f t="shared" si="16"/>
        <v/>
      </c>
      <c r="BD68" s="54" t="str">
        <f t="shared" si="16"/>
        <v/>
      </c>
    </row>
    <row r="69" spans="3:56" x14ac:dyDescent="0.25">
      <c r="C69" s="108"/>
      <c r="D69" s="50" t="s">
        <v>42</v>
      </c>
      <c r="E69" s="67" t="str">
        <f>IF(LauderNew!E69-LauderOld!E69=0,"",LauderNew!E69-LauderOld!E69)</f>
        <v/>
      </c>
      <c r="F69" s="67" t="str">
        <f>IF(LauderNew!F69-LauderOld!F69=0,"",LauderNew!F69-LauderOld!F69)</f>
        <v/>
      </c>
      <c r="G69" s="67" t="str">
        <f>IF(LauderNew!G69-LauderOld!G69=0,"",LauderNew!G69-LauderOld!G69)</f>
        <v/>
      </c>
      <c r="H69" s="67" t="str">
        <f>IF(LauderNew!H69-LauderOld!H69=0,"",LauderNew!H69-LauderOld!H69)</f>
        <v/>
      </c>
      <c r="I69" s="67" t="str">
        <f>IF(LauderNew!I69-LauderOld!I69=0,"",LauderNew!I69-LauderOld!I69)</f>
        <v/>
      </c>
      <c r="J69" s="67" t="str">
        <f>IF(LauderNew!J69-LauderOld!J69=0,"",LauderNew!J69-LauderOld!J69)</f>
        <v/>
      </c>
      <c r="K69" s="67" t="str">
        <f>IF(LauderNew!K69-LauderOld!K69=0,"",LauderNew!K69-LauderOld!K69)</f>
        <v/>
      </c>
      <c r="L69" s="67" t="str">
        <f>IF(LauderNew!L69-LauderOld!L69=0,"",LauderNew!L69-LauderOld!L69)</f>
        <v/>
      </c>
      <c r="M69" s="67" t="str">
        <f>IF(LauderNew!M69-LauderOld!M69=0,"",LauderNew!M69-LauderOld!M69)</f>
        <v/>
      </c>
      <c r="N69" s="67" t="str">
        <f>IF(LauderNew!N69-LauderOld!N69=0,"",LauderNew!N69-LauderOld!N69)</f>
        <v/>
      </c>
      <c r="O69" s="67" t="str">
        <f>IF(LauderNew!O69-LauderOld!O69=0,"",LauderNew!O69-LauderOld!O69)</f>
        <v/>
      </c>
      <c r="P69" s="67" t="str">
        <f>IF(LauderNew!P69-LauderOld!P69=0,"",LauderNew!P69-LauderOld!P69)</f>
        <v/>
      </c>
      <c r="Q69" s="67" t="str">
        <f>IF(LauderNew!Q69-LauderOld!Q69=0,"",LauderNew!Q69-LauderOld!Q69)</f>
        <v/>
      </c>
      <c r="R69" s="67" t="str">
        <f>IF(LauderNew!R69-LauderOld!R69=0,"",LauderNew!R69-LauderOld!R69)</f>
        <v/>
      </c>
      <c r="S69" s="67" t="str">
        <f>IF(LauderNew!S69-LauderOld!S69=0,"",LauderNew!S69-LauderOld!S69)</f>
        <v/>
      </c>
      <c r="T69" s="67" t="str">
        <f>IF(LauderNew!T69-LauderOld!T69=0,"",LauderNew!T69-LauderOld!T69)</f>
        <v/>
      </c>
      <c r="U69" s="67" t="str">
        <f>IF(LauderNew!U69-LauderOld!U69=0,"",LauderNew!U69-LauderOld!U69)</f>
        <v/>
      </c>
      <c r="V69" s="67" t="str">
        <f>IF(LauderNew!V69-LauderOld!V69=0,"",LauderNew!V69-LauderOld!V69)</f>
        <v/>
      </c>
      <c r="W69" s="67" t="str">
        <f>IF(LauderNew!W69-LauderOld!W69=0,"",LauderNew!W69-LauderOld!W69)</f>
        <v/>
      </c>
      <c r="X69" s="67" t="str">
        <f>IF(LauderNew!X69-LauderOld!X69=0,"",LauderNew!X69-LauderOld!X69)</f>
        <v/>
      </c>
      <c r="Y69" s="67" t="str">
        <f>IF(LauderNew!Y69-LauderOld!Y69=0,"",LauderNew!Y69-LauderOld!Y69)</f>
        <v/>
      </c>
      <c r="Z69" s="67" t="str">
        <f>IF(LauderNew!Z69-LauderOld!Z69=0,"",LauderNew!Z69-LauderOld!Z69)</f>
        <v/>
      </c>
      <c r="AA69" s="67" t="str">
        <f>IF(LauderNew!AA69-LauderOld!AA69=0,"",LauderNew!AA69-LauderOld!AA69)</f>
        <v/>
      </c>
      <c r="AB69" s="67" t="str">
        <f>IF(LauderNew!AB69-LauderOld!AB69=0,"",LauderNew!AB69-LauderOld!AB69)</f>
        <v/>
      </c>
      <c r="AC69" s="67" t="str">
        <f>IF(LauderNew!AC69-LauderOld!AC69=0,"",LauderNew!AC69-LauderOld!AC69)</f>
        <v/>
      </c>
      <c r="AD69" s="67" t="str">
        <f>IF(LauderNew!AD69-LauderOld!AD69=0,"",LauderNew!AD69-LauderOld!AD69)</f>
        <v/>
      </c>
      <c r="AE69" s="67" t="str">
        <f>IF(LauderNew!AE69-LauderOld!AE69=0,"",LauderNew!AE69-LauderOld!AE69)</f>
        <v/>
      </c>
      <c r="AF69" s="67" t="str">
        <f>IF(LauderNew!AF69-LauderOld!AF69=0,"",LauderNew!AF69-LauderOld!AF69)</f>
        <v/>
      </c>
      <c r="AG69" s="67" t="str">
        <f>IF(LauderNew!AG69-LauderOld!AG69=0,"",LauderNew!AG69-LauderOld!AG69)</f>
        <v/>
      </c>
      <c r="AH69" s="67" t="str">
        <f>IF(LauderNew!AH69-LauderOld!AH69=0,"",LauderNew!AH69-LauderOld!AH69)</f>
        <v/>
      </c>
      <c r="AI69" s="67" t="str">
        <f>IF(LauderNew!AI69-LauderOld!AI69=0,"",LauderNew!AI69-LauderOld!AI69)</f>
        <v/>
      </c>
      <c r="AJ69" s="67" t="str">
        <f>IF(LauderNew!AJ69-LauderOld!AJ69=0,"",LauderNew!AJ69-LauderOld!AJ69)</f>
        <v/>
      </c>
      <c r="AK69" s="67" t="str">
        <f>IF(LauderNew!AK69-LauderOld!AK69=0,"",LauderNew!AK69-LauderOld!AK69)</f>
        <v/>
      </c>
      <c r="AL69" s="67" t="str">
        <f>IF(LauderNew!AL69-LauderOld!AL69=0,"",LauderNew!AL69-LauderOld!AL69)</f>
        <v/>
      </c>
      <c r="AM69" s="67" t="str">
        <f>IF(LauderNew!AM69-LauderOld!AM69=0,"",LauderNew!AM69-LauderOld!AM69)</f>
        <v/>
      </c>
      <c r="AN69" s="67" t="str">
        <f>IF(LauderNew!AN69-LauderOld!AN69=0,"",LauderNew!AN69-LauderOld!AN69)</f>
        <v/>
      </c>
      <c r="AO69" s="67" t="str">
        <f>IF(LauderNew!AO69-LauderOld!AO69=0,"",LauderNew!AO69-LauderOld!AO69)</f>
        <v/>
      </c>
      <c r="AP69" s="67" t="str">
        <f>IF(LauderNew!AP69-LauderOld!AP69=0,"",LauderNew!AP69-LauderOld!AP69)</f>
        <v/>
      </c>
      <c r="AQ69" s="67" t="str">
        <f>IF(LauderNew!AQ69-LauderOld!AQ69=0,"",LauderNew!AQ69-LauderOld!AQ69)</f>
        <v/>
      </c>
      <c r="AR69" s="67" t="str">
        <f>IF(LauderNew!AR69-LauderOld!AR69=0,"",LauderNew!AR69-LauderOld!AR69)</f>
        <v/>
      </c>
      <c r="AS69" s="67" t="str">
        <f>IF(LauderNew!AS69-LauderOld!AS69=0,"",LauderNew!AS69-LauderOld!AS69)</f>
        <v/>
      </c>
      <c r="AT69" s="67" t="str">
        <f>IF(LauderNew!AT69-LauderOld!AT69=0,"",LauderNew!AT69-LauderOld!AT69)</f>
        <v/>
      </c>
      <c r="AU69" s="67" t="str">
        <f>IF(LauderNew!AU69-LauderOld!AU69=0,"",LauderNew!AU69-LauderOld!AU69)</f>
        <v/>
      </c>
      <c r="AV69" s="67" t="str">
        <f>IF(LauderNew!AV69-LauderOld!AV69=0,"",LauderNew!AV69-LauderOld!AV69)</f>
        <v/>
      </c>
      <c r="AW69" s="67" t="str">
        <f>IF(LauderNew!AW69-LauderOld!AW69=0,"",LauderNew!AW69-LauderOld!AW69)</f>
        <v/>
      </c>
      <c r="AX69" s="67" t="str">
        <f>IF(LauderNew!AX69-LauderOld!AX69=0,"",LauderNew!AX69-LauderOld!AX69)</f>
        <v/>
      </c>
      <c r="AY69" s="67" t="str">
        <f>IF(LauderNew!AY69-LauderOld!AY69=0,"",LauderNew!AY69-LauderOld!AY69)</f>
        <v/>
      </c>
      <c r="AZ69" s="67" t="str">
        <f>IF(LauderNew!AZ69-LauderOld!AZ69=0,"",LauderNew!AZ69-LauderOld!AZ69)</f>
        <v/>
      </c>
      <c r="BA69" s="67" t="str">
        <f>IF(LauderNew!BA69-LauderOld!BA69=0,"",LauderNew!BA69-LauderOld!BA69)</f>
        <v/>
      </c>
      <c r="BB69" s="67" t="str">
        <f>IF(LauderNew!BB69-LauderOld!BB69=0,"",LauderNew!BB69-LauderOld!BB69)</f>
        <v/>
      </c>
      <c r="BC69" s="67" t="str">
        <f>IF(LauderNew!BC69-LauderOld!BC69=0,"",LauderNew!BC69-LauderOld!BC69)</f>
        <v/>
      </c>
      <c r="BD69" s="67" t="str">
        <f>IF(LauderNew!BD69-LauderOld!BD69=0,"",LauderNew!BD69-LauderOld!BD69)</f>
        <v/>
      </c>
    </row>
    <row r="70" spans="3:56" x14ac:dyDescent="0.25">
      <c r="C70" s="108"/>
      <c r="D70" s="50" t="s">
        <v>43</v>
      </c>
      <c r="E70" s="65" t="str">
        <f>IF(LauderNew!E70-LauderOld!E70=0,"",LauderNew!E70-LauderOld!E70)</f>
        <v/>
      </c>
      <c r="F70" s="65" t="str">
        <f>IF(LauderNew!F70-LauderOld!F70=0,"",LauderNew!F70-LauderOld!F70)</f>
        <v/>
      </c>
      <c r="G70" s="65" t="str">
        <f>IF(LauderNew!G70-LauderOld!G70=0,"",LauderNew!G70-LauderOld!G70)</f>
        <v/>
      </c>
      <c r="H70" s="65" t="str">
        <f>IF(LauderNew!H70-LauderOld!H70=0,"",LauderNew!H70-LauderOld!H70)</f>
        <v/>
      </c>
      <c r="I70" s="65" t="str">
        <f>IF(LauderNew!I70-LauderOld!I70=0,"",LauderNew!I70-LauderOld!I70)</f>
        <v/>
      </c>
      <c r="J70" s="65" t="str">
        <f>IF(LauderNew!J70-LauderOld!J70=0,"",LauderNew!J70-LauderOld!J70)</f>
        <v/>
      </c>
      <c r="K70" s="65" t="str">
        <f>IF(LauderNew!K70-LauderOld!K70=0,"",LauderNew!K70-LauderOld!K70)</f>
        <v/>
      </c>
      <c r="L70" s="65" t="str">
        <f>IF(LauderNew!L70-LauderOld!L70=0,"",LauderNew!L70-LauderOld!L70)</f>
        <v/>
      </c>
      <c r="M70" s="65" t="str">
        <f>IF(LauderNew!M70-LauderOld!M70=0,"",LauderNew!M70-LauderOld!M70)</f>
        <v/>
      </c>
      <c r="N70" s="65" t="str">
        <f>IF(LauderNew!N70-LauderOld!N70=0,"",LauderNew!N70-LauderOld!N70)</f>
        <v/>
      </c>
      <c r="O70" s="65" t="str">
        <f>IF(LauderNew!O70-LauderOld!O70=0,"",LauderNew!O70-LauderOld!O70)</f>
        <v/>
      </c>
      <c r="P70" s="65" t="str">
        <f>IF(LauderNew!P70-LauderOld!P70=0,"",LauderNew!P70-LauderOld!P70)</f>
        <v/>
      </c>
      <c r="Q70" s="65" t="str">
        <f>IF(LauderNew!Q70-LauderOld!Q70=0,"",LauderNew!Q70-LauderOld!Q70)</f>
        <v/>
      </c>
      <c r="R70" s="65" t="str">
        <f>IF(LauderNew!R70-LauderOld!R70=0,"",LauderNew!R70-LauderOld!R70)</f>
        <v/>
      </c>
      <c r="S70" s="65" t="str">
        <f>IF(LauderNew!S70-LauderOld!S70=0,"",LauderNew!S70-LauderOld!S70)</f>
        <v/>
      </c>
      <c r="T70" s="65" t="str">
        <f>IF(LauderNew!T70-LauderOld!T70=0,"",LauderNew!T70-LauderOld!T70)</f>
        <v/>
      </c>
      <c r="U70" s="65" t="str">
        <f>IF(LauderNew!U70-LauderOld!U70=0,"",LauderNew!U70-LauderOld!U70)</f>
        <v/>
      </c>
      <c r="V70" s="65" t="str">
        <f>IF(LauderNew!V70-LauderOld!V70=0,"",LauderNew!V70-LauderOld!V70)</f>
        <v/>
      </c>
      <c r="W70" s="65" t="str">
        <f>IF(LauderNew!W70-LauderOld!W70=0,"",LauderNew!W70-LauderOld!W70)</f>
        <v/>
      </c>
      <c r="X70" s="65" t="str">
        <f>IF(LauderNew!X70-LauderOld!X70=0,"",LauderNew!X70-LauderOld!X70)</f>
        <v/>
      </c>
      <c r="Y70" s="65" t="str">
        <f>IF(LauderNew!Y70-LauderOld!Y70=0,"",LauderNew!Y70-LauderOld!Y70)</f>
        <v/>
      </c>
      <c r="Z70" s="65" t="str">
        <f>IF(LauderNew!Z70-LauderOld!Z70=0,"",LauderNew!Z70-LauderOld!Z70)</f>
        <v/>
      </c>
      <c r="AA70" s="65" t="str">
        <f>IF(LauderNew!AA70-LauderOld!AA70=0,"",LauderNew!AA70-LauderOld!AA70)</f>
        <v/>
      </c>
      <c r="AB70" s="65" t="str">
        <f>IF(LauderNew!AB70-LauderOld!AB70=0,"",LauderNew!AB70-LauderOld!AB70)</f>
        <v/>
      </c>
      <c r="AC70" s="65" t="str">
        <f>IF(LauderNew!AC70-LauderOld!AC70=0,"",LauderNew!AC70-LauderOld!AC70)</f>
        <v/>
      </c>
      <c r="AD70" s="65" t="str">
        <f>IF(LauderNew!AD70-LauderOld!AD70=0,"",LauderNew!AD70-LauderOld!AD70)</f>
        <v/>
      </c>
      <c r="AE70" s="65" t="str">
        <f>IF(LauderNew!AE70-LauderOld!AE70=0,"",LauderNew!AE70-LauderOld!AE70)</f>
        <v/>
      </c>
      <c r="AF70" s="65" t="str">
        <f>IF(LauderNew!AF70-LauderOld!AF70=0,"",LauderNew!AF70-LauderOld!AF70)</f>
        <v/>
      </c>
      <c r="AG70" s="65" t="str">
        <f>IF(LauderNew!AG70-LauderOld!AG70=0,"",LauderNew!AG70-LauderOld!AG70)</f>
        <v/>
      </c>
      <c r="AH70" s="65" t="str">
        <f>IF(LauderNew!AH70-LauderOld!AH70=0,"",LauderNew!AH70-LauderOld!AH70)</f>
        <v/>
      </c>
      <c r="AI70" s="65" t="str">
        <f>IF(LauderNew!AI70-LauderOld!AI70=0,"",LauderNew!AI70-LauderOld!AI70)</f>
        <v/>
      </c>
      <c r="AJ70" s="65" t="str">
        <f>IF(LauderNew!AJ70-LauderOld!AJ70=0,"",LauderNew!AJ70-LauderOld!AJ70)</f>
        <v/>
      </c>
      <c r="AK70" s="65" t="str">
        <f>IF(LauderNew!AK70-LauderOld!AK70=0,"",LauderNew!AK70-LauderOld!AK70)</f>
        <v/>
      </c>
      <c r="AL70" s="65" t="str">
        <f>IF(LauderNew!AL70-LauderOld!AL70=0,"",LauderNew!AL70-LauderOld!AL70)</f>
        <v/>
      </c>
      <c r="AM70" s="65" t="str">
        <f>IF(LauderNew!AM70-LauderOld!AM70=0,"",LauderNew!AM70-LauderOld!AM70)</f>
        <v/>
      </c>
      <c r="AN70" s="65" t="str">
        <f>IF(LauderNew!AN70-LauderOld!AN70=0,"",LauderNew!AN70-LauderOld!AN70)</f>
        <v/>
      </c>
      <c r="AO70" s="65" t="str">
        <f>IF(LauderNew!AO70-LauderOld!AO70=0,"",LauderNew!AO70-LauderOld!AO70)</f>
        <v/>
      </c>
      <c r="AP70" s="65" t="str">
        <f>IF(LauderNew!AP70-LauderOld!AP70=0,"",LauderNew!AP70-LauderOld!AP70)</f>
        <v/>
      </c>
      <c r="AQ70" s="65" t="str">
        <f>IF(LauderNew!AQ70-LauderOld!AQ70=0,"",LauderNew!AQ70-LauderOld!AQ70)</f>
        <v/>
      </c>
      <c r="AR70" s="65" t="str">
        <f>IF(LauderNew!AR70-LauderOld!AR70=0,"",LauderNew!AR70-LauderOld!AR70)</f>
        <v/>
      </c>
      <c r="AS70" s="65" t="str">
        <f>IF(LauderNew!AS70-LauderOld!AS70=0,"",LauderNew!AS70-LauderOld!AS70)</f>
        <v/>
      </c>
      <c r="AT70" s="65" t="str">
        <f>IF(LauderNew!AT70-LauderOld!AT70=0,"",LauderNew!AT70-LauderOld!AT70)</f>
        <v/>
      </c>
      <c r="AU70" s="65" t="str">
        <f>IF(LauderNew!AU70-LauderOld!AU70=0,"",LauderNew!AU70-LauderOld!AU70)</f>
        <v/>
      </c>
      <c r="AV70" s="65" t="str">
        <f>IF(LauderNew!AV70-LauderOld!AV70=0,"",LauderNew!AV70-LauderOld!AV70)</f>
        <v/>
      </c>
      <c r="AW70" s="65" t="str">
        <f>IF(LauderNew!AW70-LauderOld!AW70=0,"",LauderNew!AW70-LauderOld!AW70)</f>
        <v/>
      </c>
      <c r="AX70" s="65" t="str">
        <f>IF(LauderNew!AX70-LauderOld!AX70=0,"",LauderNew!AX70-LauderOld!AX70)</f>
        <v/>
      </c>
      <c r="AY70" s="65" t="str">
        <f>IF(LauderNew!AY70-LauderOld!AY70=0,"",LauderNew!AY70-LauderOld!AY70)</f>
        <v/>
      </c>
      <c r="AZ70" s="65" t="str">
        <f>IF(LauderNew!AZ70-LauderOld!AZ70=0,"",LauderNew!AZ70-LauderOld!AZ70)</f>
        <v/>
      </c>
      <c r="BA70" s="65" t="str">
        <f>IF(LauderNew!BA70-LauderOld!BA70=0,"",LauderNew!BA70-LauderOld!BA70)</f>
        <v/>
      </c>
      <c r="BB70" s="65" t="str">
        <f>IF(LauderNew!BB70-LauderOld!BB70=0,"",LauderNew!BB70-LauderOld!BB70)</f>
        <v/>
      </c>
      <c r="BC70" s="65" t="str">
        <f>IF(LauderNew!BC70-LauderOld!BC70=0,"",LauderNew!BC70-LauderOld!BC70)</f>
        <v/>
      </c>
      <c r="BD70" s="65" t="str">
        <f>IF(LauderNew!BD70-LauderOld!BD70=0,"",LauderNew!BD70-LauderOld!BD70)</f>
        <v/>
      </c>
    </row>
    <row r="71" spans="3:56" x14ac:dyDescent="0.25">
      <c r="C71" s="108"/>
      <c r="D71" s="51" t="s">
        <v>44</v>
      </c>
      <c r="E71" s="61">
        <f t="shared" ref="E71:L71" si="17">SUM(E61:E68)</f>
        <v>0</v>
      </c>
      <c r="F71" s="61">
        <f t="shared" si="17"/>
        <v>0</v>
      </c>
      <c r="G71" s="61">
        <f t="shared" si="17"/>
        <v>0</v>
      </c>
      <c r="H71" s="61">
        <f t="shared" si="17"/>
        <v>0</v>
      </c>
      <c r="I71" s="61">
        <f t="shared" si="17"/>
        <v>0</v>
      </c>
      <c r="J71" s="61">
        <f t="shared" si="17"/>
        <v>0</v>
      </c>
      <c r="K71" s="61">
        <f t="shared" si="17"/>
        <v>0</v>
      </c>
      <c r="L71" s="61">
        <f t="shared" si="17"/>
        <v>0</v>
      </c>
      <c r="M71" s="61">
        <f t="shared" ref="M71:BD71" si="18">SUM(M61:M68)</f>
        <v>0</v>
      </c>
      <c r="N71" s="61">
        <f t="shared" si="18"/>
        <v>0</v>
      </c>
      <c r="O71" s="61">
        <f t="shared" si="18"/>
        <v>0</v>
      </c>
      <c r="P71" s="61">
        <f t="shared" si="18"/>
        <v>0</v>
      </c>
      <c r="Q71" s="61">
        <f t="shared" si="18"/>
        <v>0</v>
      </c>
      <c r="R71" s="61">
        <f t="shared" si="18"/>
        <v>0</v>
      </c>
      <c r="S71" s="61">
        <f t="shared" si="18"/>
        <v>0</v>
      </c>
      <c r="T71" s="61">
        <f t="shared" si="18"/>
        <v>0</v>
      </c>
      <c r="U71" s="61">
        <f t="shared" si="18"/>
        <v>0</v>
      </c>
      <c r="V71" s="61">
        <f t="shared" si="18"/>
        <v>0</v>
      </c>
      <c r="W71" s="61">
        <f t="shared" si="18"/>
        <v>0</v>
      </c>
      <c r="X71" s="61">
        <f t="shared" si="18"/>
        <v>0</v>
      </c>
      <c r="Y71" s="61">
        <f t="shared" si="18"/>
        <v>0</v>
      </c>
      <c r="Z71" s="61">
        <f t="shared" si="18"/>
        <v>0</v>
      </c>
      <c r="AA71" s="61">
        <f t="shared" si="18"/>
        <v>0</v>
      </c>
      <c r="AB71" s="61">
        <f t="shared" si="18"/>
        <v>0</v>
      </c>
      <c r="AC71" s="61">
        <f t="shared" si="18"/>
        <v>0</v>
      </c>
      <c r="AD71" s="61">
        <f t="shared" si="18"/>
        <v>0</v>
      </c>
      <c r="AE71" s="61">
        <f t="shared" si="18"/>
        <v>0</v>
      </c>
      <c r="AF71" s="61">
        <f t="shared" si="18"/>
        <v>0</v>
      </c>
      <c r="AG71" s="61">
        <f t="shared" si="18"/>
        <v>0</v>
      </c>
      <c r="AH71" s="61">
        <f t="shared" si="18"/>
        <v>0</v>
      </c>
      <c r="AI71" s="61">
        <f t="shared" si="18"/>
        <v>0</v>
      </c>
      <c r="AJ71" s="61">
        <f t="shared" si="18"/>
        <v>0</v>
      </c>
      <c r="AK71" s="61">
        <f t="shared" si="18"/>
        <v>0</v>
      </c>
      <c r="AL71" s="61">
        <f t="shared" si="18"/>
        <v>0</v>
      </c>
      <c r="AM71" s="61">
        <f t="shared" si="18"/>
        <v>0</v>
      </c>
      <c r="AN71" s="61">
        <f t="shared" si="18"/>
        <v>0</v>
      </c>
      <c r="AO71" s="61">
        <f t="shared" si="18"/>
        <v>0</v>
      </c>
      <c r="AP71" s="61">
        <f t="shared" si="18"/>
        <v>0</v>
      </c>
      <c r="AQ71" s="61">
        <f t="shared" si="18"/>
        <v>0</v>
      </c>
      <c r="AR71" s="61">
        <f t="shared" si="18"/>
        <v>0</v>
      </c>
      <c r="AS71" s="61">
        <f t="shared" si="18"/>
        <v>0</v>
      </c>
      <c r="AT71" s="61">
        <f t="shared" si="18"/>
        <v>0</v>
      </c>
      <c r="AU71" s="61">
        <f t="shared" si="18"/>
        <v>0</v>
      </c>
      <c r="AV71" s="61">
        <f t="shared" si="18"/>
        <v>0</v>
      </c>
      <c r="AW71" s="61">
        <f t="shared" si="18"/>
        <v>0</v>
      </c>
      <c r="AX71" s="61">
        <f t="shared" si="18"/>
        <v>0</v>
      </c>
      <c r="AY71" s="61">
        <f t="shared" si="18"/>
        <v>0</v>
      </c>
      <c r="AZ71" s="61">
        <f t="shared" si="18"/>
        <v>0</v>
      </c>
      <c r="BA71" s="61">
        <f t="shared" si="18"/>
        <v>0</v>
      </c>
      <c r="BB71" s="61">
        <f t="shared" si="18"/>
        <v>0</v>
      </c>
      <c r="BC71" s="61">
        <f t="shared" si="18"/>
        <v>0</v>
      </c>
      <c r="BD71" s="61">
        <f t="shared" si="18"/>
        <v>0</v>
      </c>
    </row>
    <row r="72" spans="3:56" x14ac:dyDescent="0.25">
      <c r="C72" s="108"/>
      <c r="D72" s="52" t="s">
        <v>45</v>
      </c>
      <c r="E72" s="56" t="str">
        <f>IFERROR(E71-E59,"")</f>
        <v/>
      </c>
      <c r="F72" s="56" t="str">
        <f t="shared" ref="F72:BD72" si="19">IFERROR(F71-F59,"")</f>
        <v/>
      </c>
      <c r="G72" s="56" t="str">
        <f t="shared" si="19"/>
        <v/>
      </c>
      <c r="H72" s="56" t="str">
        <f t="shared" si="19"/>
        <v/>
      </c>
      <c r="I72" s="56" t="str">
        <f t="shared" si="19"/>
        <v/>
      </c>
      <c r="J72" s="56" t="str">
        <f t="shared" si="19"/>
        <v/>
      </c>
      <c r="K72" s="56" t="str">
        <f t="shared" si="19"/>
        <v/>
      </c>
      <c r="L72" s="56" t="str">
        <f t="shared" si="19"/>
        <v/>
      </c>
      <c r="M72" s="56" t="str">
        <f t="shared" si="19"/>
        <v/>
      </c>
      <c r="N72" s="56" t="str">
        <f t="shared" si="19"/>
        <v/>
      </c>
      <c r="O72" s="56" t="str">
        <f t="shared" si="19"/>
        <v/>
      </c>
      <c r="P72" s="56" t="str">
        <f t="shared" si="19"/>
        <v/>
      </c>
      <c r="Q72" s="56" t="str">
        <f t="shared" si="19"/>
        <v/>
      </c>
      <c r="R72" s="56" t="str">
        <f t="shared" si="19"/>
        <v/>
      </c>
      <c r="S72" s="56" t="str">
        <f t="shared" si="19"/>
        <v/>
      </c>
      <c r="T72" s="56" t="str">
        <f t="shared" si="19"/>
        <v/>
      </c>
      <c r="U72" s="56" t="str">
        <f t="shared" si="19"/>
        <v/>
      </c>
      <c r="V72" s="56" t="str">
        <f t="shared" si="19"/>
        <v/>
      </c>
      <c r="W72" s="56" t="str">
        <f t="shared" si="19"/>
        <v/>
      </c>
      <c r="X72" s="56" t="str">
        <f t="shared" si="19"/>
        <v/>
      </c>
      <c r="Y72" s="56">
        <f t="shared" si="19"/>
        <v>2.0917460317460339</v>
      </c>
      <c r="Z72" s="56" t="str">
        <f t="shared" si="19"/>
        <v/>
      </c>
      <c r="AA72" s="56" t="str">
        <f t="shared" si="19"/>
        <v/>
      </c>
      <c r="AB72" s="56" t="str">
        <f t="shared" si="19"/>
        <v/>
      </c>
      <c r="AC72" s="56" t="str">
        <f t="shared" si="19"/>
        <v/>
      </c>
      <c r="AD72" s="56" t="str">
        <f t="shared" si="19"/>
        <v/>
      </c>
      <c r="AE72" s="56" t="str">
        <f t="shared" si="19"/>
        <v/>
      </c>
      <c r="AF72" s="56" t="str">
        <f t="shared" si="19"/>
        <v/>
      </c>
      <c r="AG72" s="56" t="str">
        <f t="shared" si="19"/>
        <v/>
      </c>
      <c r="AH72" s="56" t="str">
        <f t="shared" si="19"/>
        <v/>
      </c>
      <c r="AI72" s="56" t="str">
        <f t="shared" si="19"/>
        <v/>
      </c>
      <c r="AJ72" s="56" t="str">
        <f t="shared" si="19"/>
        <v/>
      </c>
      <c r="AK72" s="56" t="str">
        <f t="shared" si="19"/>
        <v/>
      </c>
      <c r="AL72" s="56" t="str">
        <f t="shared" si="19"/>
        <v/>
      </c>
      <c r="AM72" s="56" t="str">
        <f t="shared" si="19"/>
        <v/>
      </c>
      <c r="AN72" s="56" t="str">
        <f t="shared" si="19"/>
        <v/>
      </c>
      <c r="AO72" s="56" t="str">
        <f t="shared" si="19"/>
        <v/>
      </c>
      <c r="AP72" s="56" t="str">
        <f t="shared" si="19"/>
        <v/>
      </c>
      <c r="AQ72" s="56" t="str">
        <f t="shared" si="19"/>
        <v/>
      </c>
      <c r="AR72" s="56" t="str">
        <f t="shared" si="19"/>
        <v/>
      </c>
      <c r="AS72" s="56" t="str">
        <f t="shared" si="19"/>
        <v/>
      </c>
      <c r="AT72" s="56" t="str">
        <f t="shared" si="19"/>
        <v/>
      </c>
      <c r="AU72" s="56" t="str">
        <f t="shared" si="19"/>
        <v/>
      </c>
      <c r="AV72" s="56" t="str">
        <f t="shared" si="19"/>
        <v/>
      </c>
      <c r="AW72" s="56" t="str">
        <f t="shared" si="19"/>
        <v/>
      </c>
      <c r="AX72" s="56" t="str">
        <f t="shared" si="19"/>
        <v/>
      </c>
      <c r="AY72" s="56" t="str">
        <f t="shared" si="19"/>
        <v/>
      </c>
      <c r="AZ72" s="56" t="str">
        <f t="shared" si="19"/>
        <v/>
      </c>
      <c r="BA72" s="56" t="str">
        <f t="shared" si="19"/>
        <v/>
      </c>
      <c r="BB72" s="56" t="str">
        <f t="shared" si="19"/>
        <v/>
      </c>
      <c r="BC72" s="56" t="str">
        <f t="shared" si="19"/>
        <v/>
      </c>
      <c r="BD72" s="56" t="str">
        <f t="shared" si="19"/>
        <v/>
      </c>
    </row>
    <row r="73" spans="3:56" x14ac:dyDescent="0.25">
      <c r="E73" s="41"/>
      <c r="F73" s="41"/>
      <c r="G73" s="41"/>
    </row>
    <row r="74" spans="3:56" ht="15" customHeight="1" thickBot="1" x14ac:dyDescent="0.3">
      <c r="D74" s="46" t="s">
        <v>25</v>
      </c>
      <c r="E74" s="82">
        <f t="shared" ref="E74:BD74" si="20">E2</f>
        <v>44569</v>
      </c>
      <c r="F74" s="82">
        <f t="shared" si="20"/>
        <v>44576</v>
      </c>
      <c r="G74" s="82">
        <f t="shared" si="20"/>
        <v>44583</v>
      </c>
      <c r="H74" s="82">
        <f t="shared" si="20"/>
        <v>44590</v>
      </c>
      <c r="I74" s="82">
        <f t="shared" si="20"/>
        <v>44597</v>
      </c>
      <c r="J74" s="82">
        <f t="shared" si="20"/>
        <v>44604</v>
      </c>
      <c r="K74" s="82">
        <f t="shared" si="20"/>
        <v>44611</v>
      </c>
      <c r="L74" s="82">
        <f t="shared" si="20"/>
        <v>44618</v>
      </c>
      <c r="M74" s="82">
        <f t="shared" si="20"/>
        <v>44625</v>
      </c>
      <c r="N74" s="82">
        <f t="shared" si="20"/>
        <v>44632</v>
      </c>
      <c r="O74" s="82">
        <f t="shared" si="20"/>
        <v>44639</v>
      </c>
      <c r="P74" s="82">
        <f t="shared" si="20"/>
        <v>44646</v>
      </c>
      <c r="Q74" s="82">
        <f t="shared" si="20"/>
        <v>44653</v>
      </c>
      <c r="R74" s="82">
        <f t="shared" si="20"/>
        <v>44660</v>
      </c>
      <c r="S74" s="82">
        <f t="shared" si="20"/>
        <v>44667</v>
      </c>
      <c r="T74" s="82">
        <f t="shared" si="20"/>
        <v>44674</v>
      </c>
      <c r="U74" s="82">
        <f t="shared" si="20"/>
        <v>44681</v>
      </c>
      <c r="V74" s="82">
        <f t="shared" si="20"/>
        <v>44688</v>
      </c>
      <c r="W74" s="82">
        <f t="shared" si="20"/>
        <v>44695</v>
      </c>
      <c r="X74" s="82">
        <f t="shared" si="20"/>
        <v>44702</v>
      </c>
      <c r="Y74" s="82">
        <f t="shared" si="20"/>
        <v>44709</v>
      </c>
      <c r="Z74" s="82">
        <f t="shared" si="20"/>
        <v>44716</v>
      </c>
      <c r="AA74" s="82">
        <f t="shared" si="20"/>
        <v>44723</v>
      </c>
      <c r="AB74" s="82">
        <f t="shared" si="20"/>
        <v>44730</v>
      </c>
      <c r="AC74" s="82">
        <f t="shared" si="20"/>
        <v>44737</v>
      </c>
      <c r="AD74" s="82">
        <f t="shared" si="20"/>
        <v>44744</v>
      </c>
      <c r="AE74" s="82">
        <f t="shared" si="20"/>
        <v>44751</v>
      </c>
      <c r="AF74" s="82">
        <f t="shared" si="20"/>
        <v>44758</v>
      </c>
      <c r="AG74" s="82">
        <f t="shared" si="20"/>
        <v>44765</v>
      </c>
      <c r="AH74" s="82">
        <f t="shared" si="20"/>
        <v>44772</v>
      </c>
      <c r="AI74" s="82">
        <f t="shared" si="20"/>
        <v>44779</v>
      </c>
      <c r="AJ74" s="82">
        <f t="shared" si="20"/>
        <v>44786</v>
      </c>
      <c r="AK74" s="82">
        <f t="shared" si="20"/>
        <v>44793</v>
      </c>
      <c r="AL74" s="82">
        <f t="shared" si="20"/>
        <v>44800</v>
      </c>
      <c r="AM74" s="82">
        <f t="shared" si="20"/>
        <v>44807</v>
      </c>
      <c r="AN74" s="82">
        <f t="shared" si="20"/>
        <v>44814</v>
      </c>
      <c r="AO74" s="82">
        <f t="shared" si="20"/>
        <v>44821</v>
      </c>
      <c r="AP74" s="82">
        <f t="shared" si="20"/>
        <v>44828</v>
      </c>
      <c r="AQ74" s="82">
        <f t="shared" si="20"/>
        <v>44835</v>
      </c>
      <c r="AR74" s="82">
        <f t="shared" si="20"/>
        <v>44842</v>
      </c>
      <c r="AS74" s="82">
        <f t="shared" si="20"/>
        <v>44849</v>
      </c>
      <c r="AT74" s="82">
        <f t="shared" si="20"/>
        <v>44856</v>
      </c>
      <c r="AU74" s="82">
        <f t="shared" si="20"/>
        <v>44863</v>
      </c>
      <c r="AV74" s="82">
        <f t="shared" si="20"/>
        <v>44870</v>
      </c>
      <c r="AW74" s="82">
        <f t="shared" si="20"/>
        <v>44877</v>
      </c>
      <c r="AX74" s="82">
        <f t="shared" si="20"/>
        <v>44884</v>
      </c>
      <c r="AY74" s="82">
        <f t="shared" si="20"/>
        <v>44891</v>
      </c>
      <c r="AZ74" s="82">
        <f t="shared" si="20"/>
        <v>44898</v>
      </c>
      <c r="BA74" s="82">
        <f t="shared" si="20"/>
        <v>44905</v>
      </c>
      <c r="BB74" s="82">
        <f t="shared" si="20"/>
        <v>44912</v>
      </c>
      <c r="BC74" s="82">
        <f t="shared" si="20"/>
        <v>44919</v>
      </c>
      <c r="BD74" s="82">
        <f t="shared" si="20"/>
        <v>44926</v>
      </c>
    </row>
    <row r="75" spans="3:56" ht="15" customHeight="1" x14ac:dyDescent="0.25">
      <c r="C75" s="111" t="s">
        <v>126</v>
      </c>
      <c r="D75" s="41" t="s">
        <v>27</v>
      </c>
      <c r="E75" s="70" t="str">
        <f>IF(LauderNew!E75-LauderOld!E75=0,"",LauderNew!E75-LauderOld!E75)</f>
        <v/>
      </c>
      <c r="F75" s="70" t="str">
        <f>IF(LauderNew!F75-LauderOld!F75=0,"",LauderNew!F75-LauderOld!F75)</f>
        <v/>
      </c>
      <c r="G75" s="70" t="str">
        <f>IF(LauderNew!G75-LauderOld!G75=0,"",LauderNew!G75-LauderOld!G75)</f>
        <v/>
      </c>
      <c r="H75" s="70" t="str">
        <f>IF(LauderNew!H75-LauderOld!H75=0,"",LauderNew!H75-LauderOld!H75)</f>
        <v/>
      </c>
      <c r="I75" s="70" t="str">
        <f>IF(LauderNew!I75-LauderOld!I75=0,"",LauderNew!I75-LauderOld!I75)</f>
        <v/>
      </c>
      <c r="J75" s="70" t="str">
        <f>IF(LauderNew!J75-LauderOld!J75=0,"",LauderNew!J75-LauderOld!J75)</f>
        <v/>
      </c>
      <c r="K75" s="70" t="str">
        <f>IF(LauderNew!K75-LauderOld!K75=0,"",LauderNew!K75-LauderOld!K75)</f>
        <v/>
      </c>
      <c r="L75" s="70" t="str">
        <f>IF(LauderNew!L75-LauderOld!L75=0,"",LauderNew!L75-LauderOld!L75)</f>
        <v/>
      </c>
      <c r="M75" s="70" t="str">
        <f>IF(LauderNew!M75-LauderOld!M75=0,"",LauderNew!M75-LauderOld!M75)</f>
        <v/>
      </c>
      <c r="N75" s="70" t="str">
        <f>IF(LauderNew!N75-LauderOld!N75=0,"",LauderNew!N75-LauderOld!N75)</f>
        <v/>
      </c>
      <c r="O75" s="70" t="str">
        <f>IF(LauderNew!O75-LauderOld!O75=0,"",LauderNew!O75-LauderOld!O75)</f>
        <v/>
      </c>
      <c r="P75" s="70" t="str">
        <f>IF(LauderNew!P75-LauderOld!P75=0,"",LauderNew!P75-LauderOld!P75)</f>
        <v/>
      </c>
      <c r="Q75" s="70" t="str">
        <f>IF(LauderNew!Q75-LauderOld!Q75=0,"",LauderNew!Q75-LauderOld!Q75)</f>
        <v/>
      </c>
      <c r="R75" s="70" t="str">
        <f>IF(LauderNew!R75-LauderOld!R75=0,"",LauderNew!R75-LauderOld!R75)</f>
        <v/>
      </c>
      <c r="S75" s="70" t="str">
        <f>IF(LauderNew!S75-LauderOld!S75=0,"",LauderNew!S75-LauderOld!S75)</f>
        <v/>
      </c>
      <c r="T75" s="70" t="str">
        <f>IF(LauderNew!T75-LauderOld!T75=0,"",LauderNew!T75-LauderOld!T75)</f>
        <v/>
      </c>
      <c r="U75" s="70" t="str">
        <f>IF(LauderNew!U75-LauderOld!U75=0,"",LauderNew!U75-LauderOld!U75)</f>
        <v/>
      </c>
      <c r="V75" s="70" t="str">
        <f>IF(LauderNew!V75-LauderOld!V75=0,"",LauderNew!V75-LauderOld!V75)</f>
        <v/>
      </c>
      <c r="W75" s="70" t="str">
        <f>IF(LauderNew!W75-LauderOld!W75=0,"",LauderNew!W75-LauderOld!W75)</f>
        <v/>
      </c>
      <c r="X75" s="70" t="str">
        <f>IF(LauderNew!X75-LauderOld!X75=0,"",LauderNew!X75-LauderOld!X75)</f>
        <v/>
      </c>
      <c r="Y75" s="70">
        <f>IF(LauderNew!Y75-LauderOld!Y75=0,"",LauderNew!Y75-LauderOld!Y75)</f>
        <v>-137.77000000000044</v>
      </c>
      <c r="Z75" s="70" t="str">
        <f>IF(LauderNew!Z75-LauderOld!Z75=0,"",LauderNew!Z75-LauderOld!Z75)</f>
        <v/>
      </c>
      <c r="AA75" s="70" t="str">
        <f>IF(LauderNew!AA75-LauderOld!AA75=0,"",LauderNew!AA75-LauderOld!AA75)</f>
        <v/>
      </c>
      <c r="AB75" s="70" t="str">
        <f>IF(LauderNew!AB75-LauderOld!AB75=0,"",LauderNew!AB75-LauderOld!AB75)</f>
        <v/>
      </c>
      <c r="AC75" s="70" t="str">
        <f>IF(LauderNew!AC75-LauderOld!AC75=0,"",LauderNew!AC75-LauderOld!AC75)</f>
        <v/>
      </c>
      <c r="AD75" s="70" t="str">
        <f>IF(LauderNew!AD75-LauderOld!AD75=0,"",LauderNew!AD75-LauderOld!AD75)</f>
        <v/>
      </c>
      <c r="AE75" s="70" t="str">
        <f>IF(LauderNew!AE75-LauderOld!AE75=0,"",LauderNew!AE75-LauderOld!AE75)</f>
        <v/>
      </c>
      <c r="AF75" s="70" t="str">
        <f>IF(LauderNew!AF75-LauderOld!AF75=0,"",LauderNew!AF75-LauderOld!AF75)</f>
        <v/>
      </c>
      <c r="AG75" s="70" t="str">
        <f>IF(LauderNew!AG75-LauderOld!AG75=0,"",LauderNew!AG75-LauderOld!AG75)</f>
        <v/>
      </c>
      <c r="AH75" s="70" t="str">
        <f>IF(LauderNew!AH75-LauderOld!AH75=0,"",LauderNew!AH75-LauderOld!AH75)</f>
        <v/>
      </c>
      <c r="AI75" s="70" t="str">
        <f>IF(LauderNew!AI75-LauderOld!AI75=0,"",LauderNew!AI75-LauderOld!AI75)</f>
        <v/>
      </c>
      <c r="AJ75" s="70" t="str">
        <f>IF(LauderNew!AJ75-LauderOld!AJ75=0,"",LauderNew!AJ75-LauderOld!AJ75)</f>
        <v/>
      </c>
      <c r="AK75" s="70" t="str">
        <f>IF(LauderNew!AK75-LauderOld!AK75=0,"",LauderNew!AK75-LauderOld!AK75)</f>
        <v/>
      </c>
      <c r="AL75" s="70" t="str">
        <f>IF(LauderNew!AL75-LauderOld!AL75=0,"",LauderNew!AL75-LauderOld!AL75)</f>
        <v/>
      </c>
      <c r="AM75" s="70" t="str">
        <f>IF(LauderNew!AM75-LauderOld!AM75=0,"",LauderNew!AM75-LauderOld!AM75)</f>
        <v/>
      </c>
      <c r="AN75" s="70" t="str">
        <f>IF(LauderNew!AN75-LauderOld!AN75=0,"",LauderNew!AN75-LauderOld!AN75)</f>
        <v/>
      </c>
      <c r="AO75" s="70" t="str">
        <f>IF(LauderNew!AO75-LauderOld!AO75=0,"",LauderNew!AO75-LauderOld!AO75)</f>
        <v/>
      </c>
      <c r="AP75" s="70" t="str">
        <f>IF(LauderNew!AP75-LauderOld!AP75=0,"",LauderNew!AP75-LauderOld!AP75)</f>
        <v/>
      </c>
      <c r="AQ75" s="70" t="str">
        <f>IF(LauderNew!AQ75-LauderOld!AQ75=0,"",LauderNew!AQ75-LauderOld!AQ75)</f>
        <v/>
      </c>
      <c r="AR75" s="70" t="str">
        <f>IF(LauderNew!AR75-LauderOld!AR75=0,"",LauderNew!AR75-LauderOld!AR75)</f>
        <v/>
      </c>
      <c r="AS75" s="70" t="str">
        <f>IF(LauderNew!AS75-LauderOld!AS75=0,"",LauderNew!AS75-LauderOld!AS75)</f>
        <v/>
      </c>
      <c r="AT75" s="70" t="str">
        <f>IF(LauderNew!AT75-LauderOld!AT75=0,"",LauderNew!AT75-LauderOld!AT75)</f>
        <v/>
      </c>
      <c r="AU75" s="70" t="str">
        <f>IF(LauderNew!AU75-LauderOld!AU75=0,"",LauderNew!AU75-LauderOld!AU75)</f>
        <v/>
      </c>
      <c r="AV75" s="70" t="str">
        <f>IF(LauderNew!AV75-LauderOld!AV75=0,"",LauderNew!AV75-LauderOld!AV75)</f>
        <v/>
      </c>
      <c r="AW75" s="70" t="str">
        <f>IF(LauderNew!AW75-LauderOld!AW75=0,"",LauderNew!AW75-LauderOld!AW75)</f>
        <v/>
      </c>
      <c r="AX75" s="70" t="str">
        <f>IF(LauderNew!AX75-LauderOld!AX75=0,"",LauderNew!AX75-LauderOld!AX75)</f>
        <v/>
      </c>
      <c r="AY75" s="70" t="str">
        <f>IF(LauderNew!AY75-LauderOld!AY75=0,"",LauderNew!AY75-LauderOld!AY75)</f>
        <v/>
      </c>
      <c r="AZ75" s="70" t="str">
        <f>IF(LauderNew!AZ75-LauderOld!AZ75=0,"",LauderNew!AZ75-LauderOld!AZ75)</f>
        <v/>
      </c>
      <c r="BA75" s="70" t="str">
        <f>IF(LauderNew!BA75-LauderOld!BA75=0,"",LauderNew!BA75-LauderOld!BA75)</f>
        <v/>
      </c>
      <c r="BB75" s="70" t="str">
        <f>IF(LauderNew!BB75-LauderOld!BB75=0,"",LauderNew!BB75-LauderOld!BB75)</f>
        <v/>
      </c>
      <c r="BC75" s="70" t="str">
        <f>IF(LauderNew!BC75-LauderOld!BC75=0,"",LauderNew!BC75-LauderOld!BC75)</f>
        <v/>
      </c>
      <c r="BD75" s="70" t="str">
        <f>IF(LauderNew!BD75-LauderOld!BD75=0,"",LauderNew!BD75-LauderOld!BD75)</f>
        <v/>
      </c>
    </row>
    <row r="76" spans="3:56" x14ac:dyDescent="0.25">
      <c r="C76" s="106"/>
      <c r="D76" s="41" t="s">
        <v>22</v>
      </c>
      <c r="E76" s="70" t="str">
        <f>IF(LauderNew!E76-LauderOld!E76=0,"",LauderNew!E76-LauderOld!E76)</f>
        <v/>
      </c>
      <c r="F76" s="70" t="str">
        <f>IF(LauderNew!F76-LauderOld!F76=0,"",LauderNew!F76-LauderOld!F76)</f>
        <v/>
      </c>
      <c r="G76" s="70" t="str">
        <f>IF(LauderNew!G76-LauderOld!G76=0,"",LauderNew!G76-LauderOld!G76)</f>
        <v/>
      </c>
      <c r="H76" s="70" t="str">
        <f>IF(LauderNew!H76-LauderOld!H76=0,"",LauderNew!H76-LauderOld!H76)</f>
        <v/>
      </c>
      <c r="I76" s="70" t="str">
        <f>IF(LauderNew!I76-LauderOld!I76=0,"",LauderNew!I76-LauderOld!I76)</f>
        <v/>
      </c>
      <c r="J76" s="70" t="str">
        <f>IF(LauderNew!J76-LauderOld!J76=0,"",LauderNew!J76-LauderOld!J76)</f>
        <v/>
      </c>
      <c r="K76" s="70" t="str">
        <f>IF(LauderNew!K76-LauderOld!K76=0,"",LauderNew!K76-LauderOld!K76)</f>
        <v/>
      </c>
      <c r="L76" s="70" t="str">
        <f>IF(LauderNew!L76-LauderOld!L76=0,"",LauderNew!L76-LauderOld!L76)</f>
        <v/>
      </c>
      <c r="M76" s="70" t="str">
        <f>IF(LauderNew!M76-LauderOld!M76=0,"",LauderNew!M76-LauderOld!M76)</f>
        <v/>
      </c>
      <c r="N76" s="70" t="str">
        <f>IF(LauderNew!N76-LauderOld!N76=0,"",LauderNew!N76-LauderOld!N76)</f>
        <v/>
      </c>
      <c r="O76" s="70" t="str">
        <f>IF(LauderNew!O76-LauderOld!O76=0,"",LauderNew!O76-LauderOld!O76)</f>
        <v/>
      </c>
      <c r="P76" s="70" t="str">
        <f>IF(LauderNew!P76-LauderOld!P76=0,"",LauderNew!P76-LauderOld!P76)</f>
        <v/>
      </c>
      <c r="Q76" s="70" t="str">
        <f>IF(LauderNew!Q76-LauderOld!Q76=0,"",LauderNew!Q76-LauderOld!Q76)</f>
        <v/>
      </c>
      <c r="R76" s="70" t="str">
        <f>IF(LauderNew!R76-LauderOld!R76=0,"",LauderNew!R76-LauderOld!R76)</f>
        <v/>
      </c>
      <c r="S76" s="70" t="str">
        <f>IF(LauderNew!S76-LauderOld!S76=0,"",LauderNew!S76-LauderOld!S76)</f>
        <v/>
      </c>
      <c r="T76" s="70" t="str">
        <f>IF(LauderNew!T76-LauderOld!T76=0,"",LauderNew!T76-LauderOld!T76)</f>
        <v/>
      </c>
      <c r="U76" s="70" t="str">
        <f>IF(LauderNew!U76-LauderOld!U76=0,"",LauderNew!U76-LauderOld!U76)</f>
        <v/>
      </c>
      <c r="V76" s="70" t="str">
        <f>IF(LauderNew!V76-LauderOld!V76=0,"",LauderNew!V76-LauderOld!V76)</f>
        <v/>
      </c>
      <c r="W76" s="70" t="str">
        <f>IF(LauderNew!W76-LauderOld!W76=0,"",LauderNew!W76-LauderOld!W76)</f>
        <v/>
      </c>
      <c r="X76" s="70" t="str">
        <f>IF(LauderNew!X76-LauderOld!X76=0,"",LauderNew!X76-LauderOld!X76)</f>
        <v/>
      </c>
      <c r="Y76" s="70">
        <f>IF(LauderNew!Y76-LauderOld!Y76=0,"",LauderNew!Y76-LauderOld!Y76)</f>
        <v>5.6843418860808015E-14</v>
      </c>
      <c r="Z76" s="70" t="str">
        <f>IF(LauderNew!Z76-LauderOld!Z76=0,"",LauderNew!Z76-LauderOld!Z76)</f>
        <v/>
      </c>
      <c r="AA76" s="70" t="str">
        <f>IF(LauderNew!AA76-LauderOld!AA76=0,"",LauderNew!AA76-LauderOld!AA76)</f>
        <v/>
      </c>
      <c r="AB76" s="70" t="str">
        <f>IF(LauderNew!AB76-LauderOld!AB76=0,"",LauderNew!AB76-LauderOld!AB76)</f>
        <v/>
      </c>
      <c r="AC76" s="70" t="str">
        <f>IF(LauderNew!AC76-LauderOld!AC76=0,"",LauderNew!AC76-LauderOld!AC76)</f>
        <v/>
      </c>
      <c r="AD76" s="70" t="str">
        <f>IF(LauderNew!AD76-LauderOld!AD76=0,"",LauderNew!AD76-LauderOld!AD76)</f>
        <v/>
      </c>
      <c r="AE76" s="70" t="str">
        <f>IF(LauderNew!AE76-LauderOld!AE76=0,"",LauderNew!AE76-LauderOld!AE76)</f>
        <v/>
      </c>
      <c r="AF76" s="70" t="str">
        <f>IF(LauderNew!AF76-LauderOld!AF76=0,"",LauderNew!AF76-LauderOld!AF76)</f>
        <v/>
      </c>
      <c r="AG76" s="70" t="str">
        <f>IF(LauderNew!AG76-LauderOld!AG76=0,"",LauderNew!AG76-LauderOld!AG76)</f>
        <v/>
      </c>
      <c r="AH76" s="70" t="str">
        <f>IF(LauderNew!AH76-LauderOld!AH76=0,"",LauderNew!AH76-LauderOld!AH76)</f>
        <v/>
      </c>
      <c r="AI76" s="70" t="str">
        <f>IF(LauderNew!AI76-LauderOld!AI76=0,"",LauderNew!AI76-LauderOld!AI76)</f>
        <v/>
      </c>
      <c r="AJ76" s="70" t="str">
        <f>IF(LauderNew!AJ76-LauderOld!AJ76=0,"",LauderNew!AJ76-LauderOld!AJ76)</f>
        <v/>
      </c>
      <c r="AK76" s="70" t="str">
        <f>IF(LauderNew!AK76-LauderOld!AK76=0,"",LauderNew!AK76-LauderOld!AK76)</f>
        <v/>
      </c>
      <c r="AL76" s="70" t="str">
        <f>IF(LauderNew!AL76-LauderOld!AL76=0,"",LauderNew!AL76-LauderOld!AL76)</f>
        <v/>
      </c>
      <c r="AM76" s="70" t="str">
        <f>IF(LauderNew!AM76-LauderOld!AM76=0,"",LauderNew!AM76-LauderOld!AM76)</f>
        <v/>
      </c>
      <c r="AN76" s="70" t="str">
        <f>IF(LauderNew!AN76-LauderOld!AN76=0,"",LauderNew!AN76-LauderOld!AN76)</f>
        <v/>
      </c>
      <c r="AO76" s="70" t="str">
        <f>IF(LauderNew!AO76-LauderOld!AO76=0,"",LauderNew!AO76-LauderOld!AO76)</f>
        <v/>
      </c>
      <c r="AP76" s="70" t="str">
        <f>IF(LauderNew!AP76-LauderOld!AP76=0,"",LauderNew!AP76-LauderOld!AP76)</f>
        <v/>
      </c>
      <c r="AQ76" s="70" t="str">
        <f>IF(LauderNew!AQ76-LauderOld!AQ76=0,"",LauderNew!AQ76-LauderOld!AQ76)</f>
        <v/>
      </c>
      <c r="AR76" s="70" t="str">
        <f>IF(LauderNew!AR76-LauderOld!AR76=0,"",LauderNew!AR76-LauderOld!AR76)</f>
        <v/>
      </c>
      <c r="AS76" s="70" t="str">
        <f>IF(LauderNew!AS76-LauderOld!AS76=0,"",LauderNew!AS76-LauderOld!AS76)</f>
        <v/>
      </c>
      <c r="AT76" s="70" t="str">
        <f>IF(LauderNew!AT76-LauderOld!AT76=0,"",LauderNew!AT76-LauderOld!AT76)</f>
        <v/>
      </c>
      <c r="AU76" s="70" t="str">
        <f>IF(LauderNew!AU76-LauderOld!AU76=0,"",LauderNew!AU76-LauderOld!AU76)</f>
        <v/>
      </c>
      <c r="AV76" s="70" t="str">
        <f>IF(LauderNew!AV76-LauderOld!AV76=0,"",LauderNew!AV76-LauderOld!AV76)</f>
        <v/>
      </c>
      <c r="AW76" s="70" t="str">
        <f>IF(LauderNew!AW76-LauderOld!AW76=0,"",LauderNew!AW76-LauderOld!AW76)</f>
        <v/>
      </c>
      <c r="AX76" s="70" t="str">
        <f>IF(LauderNew!AX76-LauderOld!AX76=0,"",LauderNew!AX76-LauderOld!AX76)</f>
        <v/>
      </c>
      <c r="AY76" s="70" t="str">
        <f>IF(LauderNew!AY76-LauderOld!AY76=0,"",LauderNew!AY76-LauderOld!AY76)</f>
        <v/>
      </c>
      <c r="AZ76" s="70" t="str">
        <f>IF(LauderNew!AZ76-LauderOld!AZ76=0,"",LauderNew!AZ76-LauderOld!AZ76)</f>
        <v/>
      </c>
      <c r="BA76" s="70" t="str">
        <f>IF(LauderNew!BA76-LauderOld!BA76=0,"",LauderNew!BA76-LauderOld!BA76)</f>
        <v/>
      </c>
      <c r="BB76" s="70" t="str">
        <f>IF(LauderNew!BB76-LauderOld!BB76=0,"",LauderNew!BB76-LauderOld!BB76)</f>
        <v/>
      </c>
      <c r="BC76" s="70" t="str">
        <f>IF(LauderNew!BC76-LauderOld!BC76=0,"",LauderNew!BC76-LauderOld!BC76)</f>
        <v/>
      </c>
      <c r="BD76" s="70" t="str">
        <f>IF(LauderNew!BD76-LauderOld!BD76=0,"",LauderNew!BD76-LauderOld!BD76)</f>
        <v/>
      </c>
    </row>
    <row r="77" spans="3:56" x14ac:dyDescent="0.25">
      <c r="C77" s="106"/>
      <c r="D77" s="41" t="s">
        <v>23</v>
      </c>
      <c r="E77" s="68" t="str">
        <f>IF(LauderNew!E77-LauderOld!E77=0,"",LauderNew!E77-LauderOld!E77)</f>
        <v/>
      </c>
      <c r="F77" s="68" t="str">
        <f>IF(LauderNew!F77-LauderOld!F77=0,"",LauderNew!F77-LauderOld!F77)</f>
        <v/>
      </c>
      <c r="G77" s="68" t="str">
        <f>IF(LauderNew!G77-LauderOld!G77=0,"",LauderNew!G77-LauderOld!G77)</f>
        <v/>
      </c>
      <c r="H77" s="68" t="str">
        <f>IF(LauderNew!H77-LauderOld!H77=0,"",LauderNew!H77-LauderOld!H77)</f>
        <v/>
      </c>
      <c r="I77" s="68" t="str">
        <f>IF(LauderNew!I77-LauderOld!I77=0,"",LauderNew!I77-LauderOld!I77)</f>
        <v/>
      </c>
      <c r="J77" s="68" t="str">
        <f>IF(LauderNew!J77-LauderOld!J77=0,"",LauderNew!J77-LauderOld!J77)</f>
        <v/>
      </c>
      <c r="K77" s="68" t="str">
        <f>IF(LauderNew!K77-LauderOld!K77=0,"",LauderNew!K77-LauderOld!K77)</f>
        <v/>
      </c>
      <c r="L77" s="68" t="str">
        <f>IF(LauderNew!L77-LauderOld!L77=0,"",LauderNew!L77-LauderOld!L77)</f>
        <v/>
      </c>
      <c r="M77" s="68" t="str">
        <f>IF(LauderNew!M77-LauderOld!M77=0,"",LauderNew!M77-LauderOld!M77)</f>
        <v/>
      </c>
      <c r="N77" s="68" t="str">
        <f>IF(LauderNew!N77-LauderOld!N77=0,"",LauderNew!N77-LauderOld!N77)</f>
        <v/>
      </c>
      <c r="O77" s="68" t="str">
        <f>IF(LauderNew!O77-LauderOld!O77=0,"",LauderNew!O77-LauderOld!O77)</f>
        <v/>
      </c>
      <c r="P77" s="68" t="str">
        <f>IF(LauderNew!P77-LauderOld!P77=0,"",LauderNew!P77-LauderOld!P77)</f>
        <v/>
      </c>
      <c r="Q77" s="68" t="str">
        <f>IF(LauderNew!Q77-LauderOld!Q77=0,"",LauderNew!Q77-LauderOld!Q77)</f>
        <v/>
      </c>
      <c r="R77" s="68" t="str">
        <f>IF(LauderNew!R77-LauderOld!R77=0,"",LauderNew!R77-LauderOld!R77)</f>
        <v/>
      </c>
      <c r="S77" s="68" t="str">
        <f>IF(LauderNew!S77-LauderOld!S77=0,"",LauderNew!S77-LauderOld!S77)</f>
        <v/>
      </c>
      <c r="T77" s="68" t="str">
        <f>IF(LauderNew!T77-LauderOld!T77=0,"",LauderNew!T77-LauderOld!T77)</f>
        <v/>
      </c>
      <c r="U77" s="68" t="str">
        <f>IF(LauderNew!U77-LauderOld!U77=0,"",LauderNew!U77-LauderOld!U77)</f>
        <v/>
      </c>
      <c r="V77" s="68" t="str">
        <f>IF(LauderNew!V77-LauderOld!V77=0,"",LauderNew!V77-LauderOld!V77)</f>
        <v/>
      </c>
      <c r="W77" s="68" t="str">
        <f>IF(LauderNew!W77-LauderOld!W77=0,"",LauderNew!W77-LauderOld!W77)</f>
        <v/>
      </c>
      <c r="X77" s="68" t="str">
        <f>IF(LauderNew!X77-LauderOld!X77=0,"",LauderNew!X77-LauderOld!X77)</f>
        <v/>
      </c>
      <c r="Y77" s="68" t="str">
        <f>IF(LauderNew!Y77-LauderOld!Y77=0,"",LauderNew!Y77-LauderOld!Y77)</f>
        <v/>
      </c>
      <c r="Z77" s="68" t="str">
        <f>IF(LauderNew!Z77-LauderOld!Z77=0,"",LauderNew!Z77-LauderOld!Z77)</f>
        <v/>
      </c>
      <c r="AA77" s="68" t="str">
        <f>IF(LauderNew!AA77-LauderOld!AA77=0,"",LauderNew!AA77-LauderOld!AA77)</f>
        <v/>
      </c>
      <c r="AB77" s="68" t="str">
        <f>IF(LauderNew!AB77-LauderOld!AB77=0,"",LauderNew!AB77-LauderOld!AB77)</f>
        <v/>
      </c>
      <c r="AC77" s="68" t="str">
        <f>IF(LauderNew!AC77-LauderOld!AC77=0,"",LauderNew!AC77-LauderOld!AC77)</f>
        <v/>
      </c>
      <c r="AD77" s="68" t="str">
        <f>IF(LauderNew!AD77-LauderOld!AD77=0,"",LauderNew!AD77-LauderOld!AD77)</f>
        <v/>
      </c>
      <c r="AE77" s="68" t="str">
        <f>IF(LauderNew!AE77-LauderOld!AE77=0,"",LauderNew!AE77-LauderOld!AE77)</f>
        <v/>
      </c>
      <c r="AF77" s="68" t="str">
        <f>IF(LauderNew!AF77-LauderOld!AF77=0,"",LauderNew!AF77-LauderOld!AF77)</f>
        <v/>
      </c>
      <c r="AG77" s="68" t="str">
        <f>IF(LauderNew!AG77-LauderOld!AG77=0,"",LauderNew!AG77-LauderOld!AG77)</f>
        <v/>
      </c>
      <c r="AH77" s="68" t="str">
        <f>IF(LauderNew!AH77-LauderOld!AH77=0,"",LauderNew!AH77-LauderOld!AH77)</f>
        <v/>
      </c>
      <c r="AI77" s="68" t="str">
        <f>IF(LauderNew!AI77-LauderOld!AI77=0,"",LauderNew!AI77-LauderOld!AI77)</f>
        <v/>
      </c>
      <c r="AJ77" s="68" t="str">
        <f>IF(LauderNew!AJ77-LauderOld!AJ77=0,"",LauderNew!AJ77-LauderOld!AJ77)</f>
        <v/>
      </c>
      <c r="AK77" s="68" t="str">
        <f>IF(LauderNew!AK77-LauderOld!AK77=0,"",LauderNew!AK77-LauderOld!AK77)</f>
        <v/>
      </c>
      <c r="AL77" s="68" t="str">
        <f>IF(LauderNew!AL77-LauderOld!AL77=0,"",LauderNew!AL77-LauderOld!AL77)</f>
        <v/>
      </c>
      <c r="AM77" s="68" t="str">
        <f>IF(LauderNew!AM77-LauderOld!AM77=0,"",LauderNew!AM77-LauderOld!AM77)</f>
        <v/>
      </c>
      <c r="AN77" s="68" t="str">
        <f>IF(LauderNew!AN77-LauderOld!AN77=0,"",LauderNew!AN77-LauderOld!AN77)</f>
        <v/>
      </c>
      <c r="AO77" s="68" t="str">
        <f>IF(LauderNew!AO77-LauderOld!AO77=0,"",LauderNew!AO77-LauderOld!AO77)</f>
        <v/>
      </c>
      <c r="AP77" s="68" t="str">
        <f>IF(LauderNew!AP77-LauderOld!AP77=0,"",LauderNew!AP77-LauderOld!AP77)</f>
        <v/>
      </c>
      <c r="AQ77" s="68" t="str">
        <f>IF(LauderNew!AQ77-LauderOld!AQ77=0,"",LauderNew!AQ77-LauderOld!AQ77)</f>
        <v/>
      </c>
      <c r="AR77" s="68" t="str">
        <f>IF(LauderNew!AR77-LauderOld!AR77=0,"",LauderNew!AR77-LauderOld!AR77)</f>
        <v/>
      </c>
      <c r="AS77" s="68" t="str">
        <f>IF(LauderNew!AS77-LauderOld!AS77=0,"",LauderNew!AS77-LauderOld!AS77)</f>
        <v/>
      </c>
      <c r="AT77" s="68" t="str">
        <f>IF(LauderNew!AT77-LauderOld!AT77=0,"",LauderNew!AT77-LauderOld!AT77)</f>
        <v/>
      </c>
      <c r="AU77" s="68" t="str">
        <f>IF(LauderNew!AU77-LauderOld!AU77=0,"",LauderNew!AU77-LauderOld!AU77)</f>
        <v/>
      </c>
      <c r="AV77" s="68" t="str">
        <f>IF(LauderNew!AV77-LauderOld!AV77=0,"",LauderNew!AV77-LauderOld!AV77)</f>
        <v/>
      </c>
      <c r="AW77" s="68" t="str">
        <f>IF(LauderNew!AW77-LauderOld!AW77=0,"",LauderNew!AW77-LauderOld!AW77)</f>
        <v/>
      </c>
      <c r="AX77" s="68" t="str">
        <f>IF(LauderNew!AX77-LauderOld!AX77=0,"",LauderNew!AX77-LauderOld!AX77)</f>
        <v/>
      </c>
      <c r="AY77" s="68" t="str">
        <f>IF(LauderNew!AY77-LauderOld!AY77=0,"",LauderNew!AY77-LauderOld!AY77)</f>
        <v/>
      </c>
      <c r="AZ77" s="68" t="str">
        <f>IF(LauderNew!AZ77-LauderOld!AZ77=0,"",LauderNew!AZ77-LauderOld!AZ77)</f>
        <v/>
      </c>
      <c r="BA77" s="68" t="str">
        <f>IF(LauderNew!BA77-LauderOld!BA77=0,"",LauderNew!BA77-LauderOld!BA77)</f>
        <v/>
      </c>
      <c r="BB77" s="68" t="str">
        <f>IF(LauderNew!BB77-LauderOld!BB77=0,"",LauderNew!BB77-LauderOld!BB77)</f>
        <v/>
      </c>
      <c r="BC77" s="68" t="str">
        <f>IF(LauderNew!BC77-LauderOld!BC77=0,"",LauderNew!BC77-LauderOld!BC77)</f>
        <v/>
      </c>
      <c r="BD77" s="68" t="str">
        <f>IF(LauderNew!BD77-LauderOld!BD77=0,"",LauderNew!BD77-LauderOld!BD77)</f>
        <v/>
      </c>
    </row>
    <row r="78" spans="3:56" x14ac:dyDescent="0.25">
      <c r="C78" s="106"/>
      <c r="D78" s="41" t="s">
        <v>26</v>
      </c>
      <c r="E78" s="68" t="str">
        <f>IF(LauderNew!E78-LauderOld!E78=0,"",LauderNew!E78-LauderOld!E78)</f>
        <v/>
      </c>
      <c r="F78" s="68" t="str">
        <f>IF(LauderNew!F78-LauderOld!F78=0,"",LauderNew!F78-LauderOld!F78)</f>
        <v/>
      </c>
      <c r="G78" s="68" t="str">
        <f>IF(LauderNew!G78-LauderOld!G78=0,"",LauderNew!G78-LauderOld!G78)</f>
        <v/>
      </c>
      <c r="H78" s="68" t="str">
        <f>IF(LauderNew!H78-LauderOld!H78=0,"",LauderNew!H78-LauderOld!H78)</f>
        <v/>
      </c>
      <c r="I78" s="68" t="str">
        <f>IF(LauderNew!I78-LauderOld!I78=0,"",LauderNew!I78-LauderOld!I78)</f>
        <v/>
      </c>
      <c r="J78" s="68" t="str">
        <f>IF(LauderNew!J78-LauderOld!J78=0,"",LauderNew!J78-LauderOld!J78)</f>
        <v/>
      </c>
      <c r="K78" s="68" t="str">
        <f>IF(LauderNew!K78-LauderOld!K78=0,"",LauderNew!K78-LauderOld!K78)</f>
        <v/>
      </c>
      <c r="L78" s="68" t="str">
        <f>IF(LauderNew!L78-LauderOld!L78=0,"",LauderNew!L78-LauderOld!L78)</f>
        <v/>
      </c>
      <c r="M78" s="68" t="str">
        <f>IF(LauderNew!M78-LauderOld!M78=0,"",LauderNew!M78-LauderOld!M78)</f>
        <v/>
      </c>
      <c r="N78" s="68" t="str">
        <f>IF(LauderNew!N78-LauderOld!N78=0,"",LauderNew!N78-LauderOld!N78)</f>
        <v/>
      </c>
      <c r="O78" s="68" t="str">
        <f>IF(LauderNew!O78-LauderOld!O78=0,"",LauderNew!O78-LauderOld!O78)</f>
        <v/>
      </c>
      <c r="P78" s="68" t="str">
        <f>IF(LauderNew!P78-LauderOld!P78=0,"",LauderNew!P78-LauderOld!P78)</f>
        <v/>
      </c>
      <c r="Q78" s="68" t="str">
        <f>IF(LauderNew!Q78-LauderOld!Q78=0,"",LauderNew!Q78-LauderOld!Q78)</f>
        <v/>
      </c>
      <c r="R78" s="68" t="str">
        <f>IF(LauderNew!R78-LauderOld!R78=0,"",LauderNew!R78-LauderOld!R78)</f>
        <v/>
      </c>
      <c r="S78" s="68" t="str">
        <f>IF(LauderNew!S78-LauderOld!S78=0,"",LauderNew!S78-LauderOld!S78)</f>
        <v/>
      </c>
      <c r="T78" s="68" t="str">
        <f>IF(LauderNew!T78-LauderOld!T78=0,"",LauderNew!T78-LauderOld!T78)</f>
        <v/>
      </c>
      <c r="U78" s="68" t="str">
        <f>IF(LauderNew!U78-LauderOld!U78=0,"",LauderNew!U78-LauderOld!U78)</f>
        <v/>
      </c>
      <c r="V78" s="68" t="str">
        <f>IF(LauderNew!V78-LauderOld!V78=0,"",LauderNew!V78-LauderOld!V78)</f>
        <v/>
      </c>
      <c r="W78" s="68" t="str">
        <f>IF(LauderNew!W78-LauderOld!W78=0,"",LauderNew!W78-LauderOld!W78)</f>
        <v/>
      </c>
      <c r="X78" s="68" t="str">
        <f>IF(LauderNew!X78-LauderOld!X78=0,"",LauderNew!X78-LauderOld!X78)</f>
        <v/>
      </c>
      <c r="Y78" s="68" t="str">
        <f>IF(LauderNew!Y78-LauderOld!Y78=0,"",LauderNew!Y78-LauderOld!Y78)</f>
        <v/>
      </c>
      <c r="Z78" s="68" t="str">
        <f>IF(LauderNew!Z78-LauderOld!Z78=0,"",LauderNew!Z78-LauderOld!Z78)</f>
        <v/>
      </c>
      <c r="AA78" s="68" t="str">
        <f>IF(LauderNew!AA78-LauderOld!AA78=0,"",LauderNew!AA78-LauderOld!AA78)</f>
        <v/>
      </c>
      <c r="AB78" s="68" t="str">
        <f>IF(LauderNew!AB78-LauderOld!AB78=0,"",LauderNew!AB78-LauderOld!AB78)</f>
        <v/>
      </c>
      <c r="AC78" s="68" t="str">
        <f>IF(LauderNew!AC78-LauderOld!AC78=0,"",LauderNew!AC78-LauderOld!AC78)</f>
        <v/>
      </c>
      <c r="AD78" s="68" t="str">
        <f>IF(LauderNew!AD78-LauderOld!AD78=0,"",LauderNew!AD78-LauderOld!AD78)</f>
        <v/>
      </c>
      <c r="AE78" s="68" t="str">
        <f>IF(LauderNew!AE78-LauderOld!AE78=0,"",LauderNew!AE78-LauderOld!AE78)</f>
        <v/>
      </c>
      <c r="AF78" s="68" t="str">
        <f>IF(LauderNew!AF78-LauderOld!AF78=0,"",LauderNew!AF78-LauderOld!AF78)</f>
        <v/>
      </c>
      <c r="AG78" s="68" t="str">
        <f>IF(LauderNew!AG78-LauderOld!AG78=0,"",LauderNew!AG78-LauderOld!AG78)</f>
        <v/>
      </c>
      <c r="AH78" s="68" t="str">
        <f>IF(LauderNew!AH78-LauderOld!AH78=0,"",LauderNew!AH78-LauderOld!AH78)</f>
        <v/>
      </c>
      <c r="AI78" s="68" t="str">
        <f>IF(LauderNew!AI78-LauderOld!AI78=0,"",LauderNew!AI78-LauderOld!AI78)</f>
        <v/>
      </c>
      <c r="AJ78" s="68" t="str">
        <f>IF(LauderNew!AJ78-LauderOld!AJ78=0,"",LauderNew!AJ78-LauderOld!AJ78)</f>
        <v/>
      </c>
      <c r="AK78" s="68" t="str">
        <f>IF(LauderNew!AK78-LauderOld!AK78=0,"",LauderNew!AK78-LauderOld!AK78)</f>
        <v/>
      </c>
      <c r="AL78" s="68" t="str">
        <f>IF(LauderNew!AL78-LauderOld!AL78=0,"",LauderNew!AL78-LauderOld!AL78)</f>
        <v/>
      </c>
      <c r="AM78" s="68" t="str">
        <f>IF(LauderNew!AM78-LauderOld!AM78=0,"",LauderNew!AM78-LauderOld!AM78)</f>
        <v/>
      </c>
      <c r="AN78" s="68" t="str">
        <f>IF(LauderNew!AN78-LauderOld!AN78=0,"",LauderNew!AN78-LauderOld!AN78)</f>
        <v/>
      </c>
      <c r="AO78" s="68" t="str">
        <f>IF(LauderNew!AO78-LauderOld!AO78=0,"",LauderNew!AO78-LauderOld!AO78)</f>
        <v/>
      </c>
      <c r="AP78" s="68" t="str">
        <f>IF(LauderNew!AP78-LauderOld!AP78=0,"",LauderNew!AP78-LauderOld!AP78)</f>
        <v/>
      </c>
      <c r="AQ78" s="68" t="str">
        <f>IF(LauderNew!AQ78-LauderOld!AQ78=0,"",LauderNew!AQ78-LauderOld!AQ78)</f>
        <v/>
      </c>
      <c r="AR78" s="68" t="str">
        <f>IF(LauderNew!AR78-LauderOld!AR78=0,"",LauderNew!AR78-LauderOld!AR78)</f>
        <v/>
      </c>
      <c r="AS78" s="68" t="str">
        <f>IF(LauderNew!AS78-LauderOld!AS78=0,"",LauderNew!AS78-LauderOld!AS78)</f>
        <v/>
      </c>
      <c r="AT78" s="68" t="str">
        <f>IF(LauderNew!AT78-LauderOld!AT78=0,"",LauderNew!AT78-LauderOld!AT78)</f>
        <v/>
      </c>
      <c r="AU78" s="68" t="str">
        <f>IF(LauderNew!AU78-LauderOld!AU78=0,"",LauderNew!AU78-LauderOld!AU78)</f>
        <v/>
      </c>
      <c r="AV78" s="68" t="str">
        <f>IF(LauderNew!AV78-LauderOld!AV78=0,"",LauderNew!AV78-LauderOld!AV78)</f>
        <v/>
      </c>
      <c r="AW78" s="68" t="str">
        <f>IF(LauderNew!AW78-LauderOld!AW78=0,"",LauderNew!AW78-LauderOld!AW78)</f>
        <v/>
      </c>
      <c r="AX78" s="68" t="str">
        <f>IF(LauderNew!AX78-LauderOld!AX78=0,"",LauderNew!AX78-LauderOld!AX78)</f>
        <v/>
      </c>
      <c r="AY78" s="68" t="str">
        <f>IF(LauderNew!AY78-LauderOld!AY78=0,"",LauderNew!AY78-LauderOld!AY78)</f>
        <v/>
      </c>
      <c r="AZ78" s="68" t="str">
        <f>IF(LauderNew!AZ78-LauderOld!AZ78=0,"",LauderNew!AZ78-LauderOld!AZ78)</f>
        <v/>
      </c>
      <c r="BA78" s="68" t="str">
        <f>IF(LauderNew!BA78-LauderOld!BA78=0,"",LauderNew!BA78-LauderOld!BA78)</f>
        <v/>
      </c>
      <c r="BB78" s="68" t="str">
        <f>IF(LauderNew!BB78-LauderOld!BB78=0,"",LauderNew!BB78-LauderOld!BB78)</f>
        <v/>
      </c>
      <c r="BC78" s="68" t="str">
        <f>IF(LauderNew!BC78-LauderOld!BC78=0,"",LauderNew!BC78-LauderOld!BC78)</f>
        <v/>
      </c>
      <c r="BD78" s="68" t="str">
        <f>IF(LauderNew!BD78-LauderOld!BD78=0,"",LauderNew!BD78-LauderOld!BD78)</f>
        <v/>
      </c>
    </row>
    <row r="79" spans="3:56" x14ac:dyDescent="0.25">
      <c r="C79" s="106"/>
      <c r="D79" s="41" t="s">
        <v>33</v>
      </c>
      <c r="E79" s="83" t="str">
        <f>IFERROR((E75*E76)/3600/40/E77/(1-E78),"")</f>
        <v/>
      </c>
      <c r="F79" s="83" t="str">
        <f t="shared" ref="F79:T79" si="21">IFERROR((F75*F76)/3600/40/F77/(1-F78),"")</f>
        <v/>
      </c>
      <c r="G79" s="83" t="str">
        <f t="shared" si="21"/>
        <v/>
      </c>
      <c r="H79" s="83" t="str">
        <f t="shared" si="21"/>
        <v/>
      </c>
      <c r="I79" s="83" t="str">
        <f t="shared" si="21"/>
        <v/>
      </c>
      <c r="J79" s="83" t="str">
        <f t="shared" si="21"/>
        <v/>
      </c>
      <c r="K79" s="83" t="str">
        <f t="shared" si="21"/>
        <v/>
      </c>
      <c r="L79" s="83" t="str">
        <f t="shared" si="21"/>
        <v/>
      </c>
      <c r="M79" s="83" t="str">
        <f t="shared" si="21"/>
        <v/>
      </c>
      <c r="N79" s="83" t="str">
        <f t="shared" si="21"/>
        <v/>
      </c>
      <c r="O79" s="83" t="str">
        <f t="shared" si="21"/>
        <v/>
      </c>
      <c r="P79" s="83" t="str">
        <f t="shared" si="21"/>
        <v/>
      </c>
      <c r="Q79" s="83" t="str">
        <f t="shared" si="21"/>
        <v/>
      </c>
      <c r="R79" s="83" t="str">
        <f t="shared" si="21"/>
        <v/>
      </c>
      <c r="S79" s="83" t="str">
        <f t="shared" si="21"/>
        <v/>
      </c>
      <c r="T79" s="83" t="str">
        <f t="shared" si="21"/>
        <v/>
      </c>
      <c r="U79" s="83" t="str">
        <f>IF(LauderNew!U79-LauderOld!U79=0,"",LauderNew!U79-LauderOld!U79)</f>
        <v/>
      </c>
      <c r="V79" s="83" t="str">
        <f>IF(LauderNew!V79-LauderOld!V79=0,"",LauderNew!V79-LauderOld!V79)</f>
        <v/>
      </c>
      <c r="W79" s="83" t="str">
        <f>IF(LauderNew!W79-LauderOld!W79=0,"",LauderNew!W79-LauderOld!W79)</f>
        <v/>
      </c>
      <c r="X79" s="83" t="str">
        <f>IF(LauderNew!X79-LauderOld!X79=0,"",LauderNew!X79-LauderOld!X79)</f>
        <v/>
      </c>
      <c r="Y79" s="83">
        <f>IF(LauderNew!Y79-LauderOld!Y79=0,"",LauderNew!Y79-LauderOld!Y79)</f>
        <v>-0.64376653439153841</v>
      </c>
      <c r="Z79" s="83" t="str">
        <f>IF(LauderNew!Z79-LauderOld!Z79=0,"",LauderNew!Z79-LauderOld!Z79)</f>
        <v/>
      </c>
      <c r="AA79" s="83" t="str">
        <f>IF(LauderNew!AA79-LauderOld!AA79=0,"",LauderNew!AA79-LauderOld!AA79)</f>
        <v/>
      </c>
      <c r="AB79" s="83" t="str">
        <f>IF(LauderNew!AB79-LauderOld!AB79=0,"",LauderNew!AB79-LauderOld!AB79)</f>
        <v/>
      </c>
      <c r="AC79" s="83" t="str">
        <f>IF(LauderNew!AC79-LauderOld!AC79=0,"",LauderNew!AC79-LauderOld!AC79)</f>
        <v/>
      </c>
      <c r="AD79" s="83" t="str">
        <f>IF(LauderNew!AD79-LauderOld!AD79=0,"",LauderNew!AD79-LauderOld!AD79)</f>
        <v/>
      </c>
      <c r="AE79" s="83" t="str">
        <f>IF(LauderNew!AE79-LauderOld!AE79=0,"",LauderNew!AE79-LauderOld!AE79)</f>
        <v/>
      </c>
      <c r="AF79" s="83" t="str">
        <f>IF(LauderNew!AF79-LauderOld!AF79=0,"",LauderNew!AF79-LauderOld!AF79)</f>
        <v/>
      </c>
      <c r="AG79" s="83" t="str">
        <f>IF(LauderNew!AG79-LauderOld!AG79=0,"",LauderNew!AG79-LauderOld!AG79)</f>
        <v/>
      </c>
      <c r="AH79" s="83" t="str">
        <f>IF(LauderNew!AH79-LauderOld!AH79=0,"",LauderNew!AH79-LauderOld!AH79)</f>
        <v/>
      </c>
      <c r="AI79" s="83" t="str">
        <f>IF(LauderNew!AI79-LauderOld!AI79=0,"",LauderNew!AI79-LauderOld!AI79)</f>
        <v/>
      </c>
      <c r="AJ79" s="83" t="str">
        <f>IF(LauderNew!AJ79-LauderOld!AJ79=0,"",LauderNew!AJ79-LauderOld!AJ79)</f>
        <v/>
      </c>
      <c r="AK79" s="83" t="str">
        <f>IF(LauderNew!AK79-LauderOld!AK79=0,"",LauderNew!AK79-LauderOld!AK79)</f>
        <v/>
      </c>
      <c r="AL79" s="83" t="str">
        <f>IF(LauderNew!AL79-LauderOld!AL79=0,"",LauderNew!AL79-LauderOld!AL79)</f>
        <v/>
      </c>
      <c r="AM79" s="83" t="str">
        <f>IF(LauderNew!AM79-LauderOld!AM79=0,"",LauderNew!AM79-LauderOld!AM79)</f>
        <v/>
      </c>
      <c r="AN79" s="83" t="str">
        <f>IF(LauderNew!AN79-LauderOld!AN79=0,"",LauderNew!AN79-LauderOld!AN79)</f>
        <v/>
      </c>
      <c r="AO79" s="83" t="str">
        <f>IF(LauderNew!AO79-LauderOld!AO79=0,"",LauderNew!AO79-LauderOld!AO79)</f>
        <v/>
      </c>
      <c r="AP79" s="83" t="str">
        <f>IF(LauderNew!AP79-LauderOld!AP79=0,"",LauderNew!AP79-LauderOld!AP79)</f>
        <v/>
      </c>
      <c r="AQ79" s="83" t="str">
        <f>IF(LauderNew!AQ79-LauderOld!AQ79=0,"",LauderNew!AQ79-LauderOld!AQ79)</f>
        <v/>
      </c>
      <c r="AR79" s="83" t="str">
        <f>IF(LauderNew!AR79-LauderOld!AR79=0,"",LauderNew!AR79-LauderOld!AR79)</f>
        <v/>
      </c>
      <c r="AS79" s="83" t="str">
        <f>IF(LauderNew!AS79-LauderOld!AS79=0,"",LauderNew!AS79-LauderOld!AS79)</f>
        <v/>
      </c>
      <c r="AT79" s="83" t="str">
        <f>IF(LauderNew!AT79-LauderOld!AT79=0,"",LauderNew!AT79-LauderOld!AT79)</f>
        <v/>
      </c>
      <c r="AU79" s="83" t="str">
        <f>IF(LauderNew!AU79-LauderOld!AU79=0,"",LauderNew!AU79-LauderOld!AU79)</f>
        <v/>
      </c>
      <c r="AV79" s="83" t="str">
        <f>IF(LauderNew!AV79-LauderOld!AV79=0,"",LauderNew!AV79-LauderOld!AV79)</f>
        <v/>
      </c>
      <c r="AW79" s="83" t="str">
        <f>IF(LauderNew!AW79-LauderOld!AW79=0,"",LauderNew!AW79-LauderOld!AW79)</f>
        <v/>
      </c>
      <c r="AX79" s="83" t="str">
        <f>IF(LauderNew!AX79-LauderOld!AX79=0,"",LauderNew!AX79-LauderOld!AX79)</f>
        <v/>
      </c>
      <c r="AY79" s="83" t="str">
        <f>IF(LauderNew!AY79-LauderOld!AY79=0,"",LauderNew!AY79-LauderOld!AY79)</f>
        <v/>
      </c>
      <c r="AZ79" s="83" t="str">
        <f>IF(LauderNew!AZ79-LauderOld!AZ79=0,"",LauderNew!AZ79-LauderOld!AZ79)</f>
        <v/>
      </c>
      <c r="BA79" s="83" t="str">
        <f>IF(LauderNew!BA79-LauderOld!BA79=0,"",LauderNew!BA79-LauderOld!BA79)</f>
        <v/>
      </c>
      <c r="BB79" s="83" t="str">
        <f>IF(LauderNew!BB79-LauderOld!BB79=0,"",LauderNew!BB79-LauderOld!BB79)</f>
        <v/>
      </c>
      <c r="BC79" s="83" t="str">
        <f>IF(LauderNew!BC79-LauderOld!BC79=0,"",LauderNew!BC79-LauderOld!BC79)</f>
        <v/>
      </c>
      <c r="BD79" s="83" t="str">
        <f>IF(LauderNew!BD79-LauderOld!BD79=0,"",LauderNew!BD79-LauderOld!BD79)</f>
        <v/>
      </c>
    </row>
    <row r="80" spans="3:56" x14ac:dyDescent="0.25">
      <c r="C80" s="106"/>
      <c r="E80" s="42"/>
      <c r="F80" s="42"/>
      <c r="G80" s="42"/>
      <c r="H80" s="42"/>
      <c r="I80" s="42"/>
      <c r="J80" s="42"/>
      <c r="K80" s="42"/>
      <c r="L80" s="42"/>
      <c r="M80" s="42"/>
    </row>
    <row r="81" spans="3:56" x14ac:dyDescent="0.25">
      <c r="C81" s="106"/>
      <c r="D81" s="49" t="s">
        <v>34</v>
      </c>
      <c r="E81" s="65" t="str">
        <f>IF(LauderNew!E81-LauderOld!E81=0,"",LauderNew!E81-LauderOld!E81)</f>
        <v/>
      </c>
      <c r="F81" s="65" t="str">
        <f>IF(LauderNew!F81-LauderOld!F81=0,"",LauderNew!F81-LauderOld!F81)</f>
        <v/>
      </c>
      <c r="G81" s="65" t="str">
        <f>IF(LauderNew!G81-LauderOld!G81=0,"",LauderNew!G81-LauderOld!G81)</f>
        <v/>
      </c>
      <c r="H81" s="65" t="str">
        <f>IF(LauderNew!H81-LauderOld!H81=0,"",LauderNew!H81-LauderOld!H81)</f>
        <v/>
      </c>
      <c r="I81" s="65" t="str">
        <f>IF(LauderNew!I81-LauderOld!I81=0,"",LauderNew!I81-LauderOld!I81)</f>
        <v/>
      </c>
      <c r="J81" s="65" t="str">
        <f>IF(LauderNew!J81-LauderOld!J81=0,"",LauderNew!J81-LauderOld!J81)</f>
        <v/>
      </c>
      <c r="K81" s="65" t="str">
        <f>IF(LauderNew!K81-LauderOld!K81=0,"",LauderNew!K81-LauderOld!K81)</f>
        <v/>
      </c>
      <c r="L81" s="65" t="str">
        <f>IF(LauderNew!L81-LauderOld!L81=0,"",LauderNew!L81-LauderOld!L81)</f>
        <v/>
      </c>
      <c r="M81" s="65" t="str">
        <f>IF(LauderNew!M81-LauderOld!M81=0,"",LauderNew!M81-LauderOld!M81)</f>
        <v/>
      </c>
      <c r="N81" s="65" t="str">
        <f>IF(LauderNew!N81-LauderOld!N81=0,"",LauderNew!N81-LauderOld!N81)</f>
        <v/>
      </c>
      <c r="O81" s="65" t="str">
        <f>IF(LauderNew!O81-LauderOld!O81=0,"",LauderNew!O81-LauderOld!O81)</f>
        <v/>
      </c>
      <c r="P81" s="65" t="str">
        <f>IF(LauderNew!P81-LauderOld!P81=0,"",LauderNew!P81-LauderOld!P81)</f>
        <v/>
      </c>
      <c r="Q81" s="65" t="str">
        <f>IF(LauderNew!Q81-LauderOld!Q81=0,"",LauderNew!Q81-LauderOld!Q81)</f>
        <v/>
      </c>
      <c r="R81" s="65" t="str">
        <f>IF(LauderNew!R81-LauderOld!R81=0,"",LauderNew!R81-LauderOld!R81)</f>
        <v/>
      </c>
      <c r="S81" s="65" t="str">
        <f>IF(LauderNew!S81-LauderOld!S81=0,"",LauderNew!S81-LauderOld!S81)</f>
        <v/>
      </c>
      <c r="T81" s="65" t="str">
        <f>IF(LauderNew!T81-LauderOld!T81=0,"",LauderNew!T81-LauderOld!T81)</f>
        <v/>
      </c>
      <c r="U81" s="65" t="str">
        <f>IF(LauderNew!U81-LauderOld!U81=0,"",LauderNew!U81-LauderOld!U81)</f>
        <v/>
      </c>
      <c r="V81" s="65" t="str">
        <f>IF(LauderNew!V81-LauderOld!V81=0,"",LauderNew!V81-LauderOld!V81)</f>
        <v/>
      </c>
      <c r="W81" s="65" t="str">
        <f>IF(LauderNew!W81-LauderOld!W81=0,"",LauderNew!W81-LauderOld!W81)</f>
        <v/>
      </c>
      <c r="X81" s="65" t="str">
        <f>IF(LauderNew!X81-LauderOld!X81=0,"",LauderNew!X81-LauderOld!X81)</f>
        <v/>
      </c>
      <c r="Y81" s="65" t="str">
        <f>IF(LauderNew!Y81-LauderOld!Y81=0,"",LauderNew!Y81-LauderOld!Y81)</f>
        <v/>
      </c>
      <c r="Z81" s="65" t="str">
        <f>IF(LauderNew!Z81-LauderOld!Z81=0,"",LauderNew!Z81-LauderOld!Z81)</f>
        <v/>
      </c>
      <c r="AA81" s="65" t="str">
        <f>IF(LauderNew!AA81-LauderOld!AA81=0,"",LauderNew!AA81-LauderOld!AA81)</f>
        <v/>
      </c>
      <c r="AB81" s="65" t="str">
        <f>IF(LauderNew!AB81-LauderOld!AB81=0,"",LauderNew!AB81-LauderOld!AB81)</f>
        <v/>
      </c>
      <c r="AC81" s="65" t="str">
        <f>IF(LauderNew!AC81-LauderOld!AC81=0,"",LauderNew!AC81-LauderOld!AC81)</f>
        <v/>
      </c>
      <c r="AD81" s="65" t="str">
        <f>IF(LauderNew!AD81-LauderOld!AD81=0,"",LauderNew!AD81-LauderOld!AD81)</f>
        <v/>
      </c>
      <c r="AE81" s="65" t="str">
        <f>IF(LauderNew!AE81-LauderOld!AE81=0,"",LauderNew!AE81-LauderOld!AE81)</f>
        <v/>
      </c>
      <c r="AF81" s="65" t="str">
        <f>IF(LauderNew!AF81-LauderOld!AF81=0,"",LauderNew!AF81-LauderOld!AF81)</f>
        <v/>
      </c>
      <c r="AG81" s="65" t="str">
        <f>IF(LauderNew!AG81-LauderOld!AG81=0,"",LauderNew!AG81-LauderOld!AG81)</f>
        <v/>
      </c>
      <c r="AH81" s="65" t="str">
        <f>IF(LauderNew!AH81-LauderOld!AH81=0,"",LauderNew!AH81-LauderOld!AH81)</f>
        <v/>
      </c>
      <c r="AI81" s="65" t="str">
        <f>IF(LauderNew!AI81-LauderOld!AI81=0,"",LauderNew!AI81-LauderOld!AI81)</f>
        <v/>
      </c>
      <c r="AJ81" s="65" t="str">
        <f>IF(LauderNew!AJ81-LauderOld!AJ81=0,"",LauderNew!AJ81-LauderOld!AJ81)</f>
        <v/>
      </c>
      <c r="AK81" s="65" t="str">
        <f>IF(LauderNew!AK81-LauderOld!AK81=0,"",LauderNew!AK81-LauderOld!AK81)</f>
        <v/>
      </c>
      <c r="AL81" s="65" t="str">
        <f>IF(LauderNew!AL81-LauderOld!AL81=0,"",LauderNew!AL81-LauderOld!AL81)</f>
        <v/>
      </c>
      <c r="AM81" s="65" t="str">
        <f>IF(LauderNew!AM81-LauderOld!AM81=0,"",LauderNew!AM81-LauderOld!AM81)</f>
        <v/>
      </c>
      <c r="AN81" s="65" t="str">
        <f>IF(LauderNew!AN81-LauderOld!AN81=0,"",LauderNew!AN81-LauderOld!AN81)</f>
        <v/>
      </c>
      <c r="AO81" s="65" t="str">
        <f>IF(LauderNew!AO81-LauderOld!AO81=0,"",LauderNew!AO81-LauderOld!AO81)</f>
        <v/>
      </c>
      <c r="AP81" s="65" t="str">
        <f>IF(LauderNew!AP81-LauderOld!AP81=0,"",LauderNew!AP81-LauderOld!AP81)</f>
        <v/>
      </c>
      <c r="AQ81" s="65" t="str">
        <f>IF(LauderNew!AQ81-LauderOld!AQ81=0,"",LauderNew!AQ81-LauderOld!AQ81)</f>
        <v/>
      </c>
      <c r="AR81" s="65" t="str">
        <f>IF(LauderNew!AR81-LauderOld!AR81=0,"",LauderNew!AR81-LauderOld!AR81)</f>
        <v/>
      </c>
      <c r="AS81" s="65" t="str">
        <f>IF(LauderNew!AS81-LauderOld!AS81=0,"",LauderNew!AS81-LauderOld!AS81)</f>
        <v/>
      </c>
      <c r="AT81" s="65" t="str">
        <f>IF(LauderNew!AT81-LauderOld!AT81=0,"",LauderNew!AT81-LauderOld!AT81)</f>
        <v/>
      </c>
      <c r="AU81" s="65" t="str">
        <f>IF(LauderNew!AU81-LauderOld!AU81=0,"",LauderNew!AU81-LauderOld!AU81)</f>
        <v/>
      </c>
      <c r="AV81" s="65" t="str">
        <f>IF(LauderNew!AV81-LauderOld!AV81=0,"",LauderNew!AV81-LauderOld!AV81)</f>
        <v/>
      </c>
      <c r="AW81" s="65" t="str">
        <f>IF(LauderNew!AW81-LauderOld!AW81=0,"",LauderNew!AW81-LauderOld!AW81)</f>
        <v/>
      </c>
      <c r="AX81" s="65" t="str">
        <f>IF(LauderNew!AX81-LauderOld!AX81=0,"",LauderNew!AX81-LauderOld!AX81)</f>
        <v/>
      </c>
      <c r="AY81" s="65" t="str">
        <f>IF(LauderNew!AY81-LauderOld!AY81=0,"",LauderNew!AY81-LauderOld!AY81)</f>
        <v/>
      </c>
      <c r="AZ81" s="65" t="str">
        <f>IF(LauderNew!AZ81-LauderOld!AZ81=0,"",LauderNew!AZ81-LauderOld!AZ81)</f>
        <v/>
      </c>
      <c r="BA81" s="65" t="str">
        <f>IF(LauderNew!BA81-LauderOld!BA81=0,"",LauderNew!BA81-LauderOld!BA81)</f>
        <v/>
      </c>
      <c r="BB81" s="65" t="str">
        <f>IF(LauderNew!BB81-LauderOld!BB81=0,"",LauderNew!BB81-LauderOld!BB81)</f>
        <v/>
      </c>
      <c r="BC81" s="65" t="str">
        <f>IF(LauderNew!BC81-LauderOld!BC81=0,"",LauderNew!BC81-LauderOld!BC81)</f>
        <v/>
      </c>
      <c r="BD81" s="65" t="str">
        <f>IF(LauderNew!BD81-LauderOld!BD81=0,"",LauderNew!BD81-LauderOld!BD81)</f>
        <v/>
      </c>
    </row>
    <row r="82" spans="3:56" x14ac:dyDescent="0.25">
      <c r="C82" s="106"/>
      <c r="D82" s="49" t="s">
        <v>35</v>
      </c>
      <c r="E82" s="65" t="str">
        <f>IF(LauderNew!E82-LauderOld!E82=0,"",LauderNew!E82-LauderOld!E82)</f>
        <v/>
      </c>
      <c r="F82" s="65" t="str">
        <f>IF(LauderNew!F82-LauderOld!F82=0,"",LauderNew!F82-LauderOld!F82)</f>
        <v/>
      </c>
      <c r="G82" s="65" t="str">
        <f>IF(LauderNew!G82-LauderOld!G82=0,"",LauderNew!G82-LauderOld!G82)</f>
        <v/>
      </c>
      <c r="H82" s="65" t="str">
        <f>IF(LauderNew!H82-LauderOld!H82=0,"",LauderNew!H82-LauderOld!H82)</f>
        <v/>
      </c>
      <c r="I82" s="65" t="str">
        <f>IF(LauderNew!I82-LauderOld!I82=0,"",LauderNew!I82-LauderOld!I82)</f>
        <v/>
      </c>
      <c r="J82" s="65" t="str">
        <f>IF(LauderNew!J82-LauderOld!J82=0,"",LauderNew!J82-LauderOld!J82)</f>
        <v/>
      </c>
      <c r="K82" s="65" t="str">
        <f>IF(LauderNew!K82-LauderOld!K82=0,"",LauderNew!K82-LauderOld!K82)</f>
        <v/>
      </c>
      <c r="L82" s="65" t="str">
        <f>IF(LauderNew!L82-LauderOld!L82=0,"",LauderNew!L82-LauderOld!L82)</f>
        <v/>
      </c>
      <c r="M82" s="65" t="str">
        <f>IF(LauderNew!M82-LauderOld!M82=0,"",LauderNew!M82-LauderOld!M82)</f>
        <v/>
      </c>
      <c r="N82" s="65" t="str">
        <f>IF(LauderNew!N82-LauderOld!N82=0,"",LauderNew!N82-LauderOld!N82)</f>
        <v/>
      </c>
      <c r="O82" s="65" t="str">
        <f>IF(LauderNew!O82-LauderOld!O82=0,"",LauderNew!O82-LauderOld!O82)</f>
        <v/>
      </c>
      <c r="P82" s="65" t="str">
        <f>IF(LauderNew!P82-LauderOld!P82=0,"",LauderNew!P82-LauderOld!P82)</f>
        <v/>
      </c>
      <c r="Q82" s="65" t="str">
        <f>IF(LauderNew!Q82-LauderOld!Q82=0,"",LauderNew!Q82-LauderOld!Q82)</f>
        <v/>
      </c>
      <c r="R82" s="65" t="str">
        <f>IF(LauderNew!R82-LauderOld!R82=0,"",LauderNew!R82-LauderOld!R82)</f>
        <v/>
      </c>
      <c r="S82" s="65" t="str">
        <f>IF(LauderNew!S82-LauderOld!S82=0,"",LauderNew!S82-LauderOld!S82)</f>
        <v/>
      </c>
      <c r="T82" s="65" t="str">
        <f>IF(LauderNew!T82-LauderOld!T82=0,"",LauderNew!T82-LauderOld!T82)</f>
        <v/>
      </c>
      <c r="U82" s="65" t="str">
        <f>IF(LauderNew!U82-LauderOld!U82=0,"",LauderNew!U82-LauderOld!U82)</f>
        <v/>
      </c>
      <c r="V82" s="65" t="str">
        <f>IF(LauderNew!V82-LauderOld!V82=0,"",LauderNew!V82-LauderOld!V82)</f>
        <v/>
      </c>
      <c r="W82" s="65" t="str">
        <f>IF(LauderNew!W82-LauderOld!W82=0,"",LauderNew!W82-LauderOld!W82)</f>
        <v/>
      </c>
      <c r="X82" s="65" t="str">
        <f>IF(LauderNew!X82-LauderOld!X82=0,"",LauderNew!X82-LauderOld!X82)</f>
        <v/>
      </c>
      <c r="Y82" s="65" t="str">
        <f>IF(LauderNew!Y82-LauderOld!Y82=0,"",LauderNew!Y82-LauderOld!Y82)</f>
        <v/>
      </c>
      <c r="Z82" s="65" t="str">
        <f>IF(LauderNew!Z82-LauderOld!Z82=0,"",LauderNew!Z82-LauderOld!Z82)</f>
        <v/>
      </c>
      <c r="AA82" s="65" t="str">
        <f>IF(LauderNew!AA82-LauderOld!AA82=0,"",LauderNew!AA82-LauderOld!AA82)</f>
        <v/>
      </c>
      <c r="AB82" s="65" t="str">
        <f>IF(LauderNew!AB82-LauderOld!AB82=0,"",LauderNew!AB82-LauderOld!AB82)</f>
        <v/>
      </c>
      <c r="AC82" s="65" t="str">
        <f>IF(LauderNew!AC82-LauderOld!AC82=0,"",LauderNew!AC82-LauderOld!AC82)</f>
        <v/>
      </c>
      <c r="AD82" s="65" t="str">
        <f>IF(LauderNew!AD82-LauderOld!AD82=0,"",LauderNew!AD82-LauderOld!AD82)</f>
        <v/>
      </c>
      <c r="AE82" s="65" t="str">
        <f>IF(LauderNew!AE82-LauderOld!AE82=0,"",LauderNew!AE82-LauderOld!AE82)</f>
        <v/>
      </c>
      <c r="AF82" s="65" t="str">
        <f>IF(LauderNew!AF82-LauderOld!AF82=0,"",LauderNew!AF82-LauderOld!AF82)</f>
        <v/>
      </c>
      <c r="AG82" s="65" t="str">
        <f>IF(LauderNew!AG82-LauderOld!AG82=0,"",LauderNew!AG82-LauderOld!AG82)</f>
        <v/>
      </c>
      <c r="AH82" s="65" t="str">
        <f>IF(LauderNew!AH82-LauderOld!AH82=0,"",LauderNew!AH82-LauderOld!AH82)</f>
        <v/>
      </c>
      <c r="AI82" s="65" t="str">
        <f>IF(LauderNew!AI82-LauderOld!AI82=0,"",LauderNew!AI82-LauderOld!AI82)</f>
        <v/>
      </c>
      <c r="AJ82" s="65" t="str">
        <f>IF(LauderNew!AJ82-LauderOld!AJ82=0,"",LauderNew!AJ82-LauderOld!AJ82)</f>
        <v/>
      </c>
      <c r="AK82" s="65" t="str">
        <f>IF(LauderNew!AK82-LauderOld!AK82=0,"",LauderNew!AK82-LauderOld!AK82)</f>
        <v/>
      </c>
      <c r="AL82" s="65" t="str">
        <f>IF(LauderNew!AL82-LauderOld!AL82=0,"",LauderNew!AL82-LauderOld!AL82)</f>
        <v/>
      </c>
      <c r="AM82" s="65" t="str">
        <f>IF(LauderNew!AM82-LauderOld!AM82=0,"",LauderNew!AM82-LauderOld!AM82)</f>
        <v/>
      </c>
      <c r="AN82" s="65" t="str">
        <f>IF(LauderNew!AN82-LauderOld!AN82=0,"",LauderNew!AN82-LauderOld!AN82)</f>
        <v/>
      </c>
      <c r="AO82" s="65" t="str">
        <f>IF(LauderNew!AO82-LauderOld!AO82=0,"",LauderNew!AO82-LauderOld!AO82)</f>
        <v/>
      </c>
      <c r="AP82" s="65" t="str">
        <f>IF(LauderNew!AP82-LauderOld!AP82=0,"",LauderNew!AP82-LauderOld!AP82)</f>
        <v/>
      </c>
      <c r="AQ82" s="65" t="str">
        <f>IF(LauderNew!AQ82-LauderOld!AQ82=0,"",LauderNew!AQ82-LauderOld!AQ82)</f>
        <v/>
      </c>
      <c r="AR82" s="65" t="str">
        <f>IF(LauderNew!AR82-LauderOld!AR82=0,"",LauderNew!AR82-LauderOld!AR82)</f>
        <v/>
      </c>
      <c r="AS82" s="65" t="str">
        <f>IF(LauderNew!AS82-LauderOld!AS82=0,"",LauderNew!AS82-LauderOld!AS82)</f>
        <v/>
      </c>
      <c r="AT82" s="65" t="str">
        <f>IF(LauderNew!AT82-LauderOld!AT82=0,"",LauderNew!AT82-LauderOld!AT82)</f>
        <v/>
      </c>
      <c r="AU82" s="65" t="str">
        <f>IF(LauderNew!AU82-LauderOld!AU82=0,"",LauderNew!AU82-LauderOld!AU82)</f>
        <v/>
      </c>
      <c r="AV82" s="65" t="str">
        <f>IF(LauderNew!AV82-LauderOld!AV82=0,"",LauderNew!AV82-LauderOld!AV82)</f>
        <v/>
      </c>
      <c r="AW82" s="65" t="str">
        <f>IF(LauderNew!AW82-LauderOld!AW82=0,"",LauderNew!AW82-LauderOld!AW82)</f>
        <v/>
      </c>
      <c r="AX82" s="65" t="str">
        <f>IF(LauderNew!AX82-LauderOld!AX82=0,"",LauderNew!AX82-LauderOld!AX82)</f>
        <v/>
      </c>
      <c r="AY82" s="65" t="str">
        <f>IF(LauderNew!AY82-LauderOld!AY82=0,"",LauderNew!AY82-LauderOld!AY82)</f>
        <v/>
      </c>
      <c r="AZ82" s="65" t="str">
        <f>IF(LauderNew!AZ82-LauderOld!AZ82=0,"",LauderNew!AZ82-LauderOld!AZ82)</f>
        <v/>
      </c>
      <c r="BA82" s="65" t="str">
        <f>IF(LauderNew!BA82-LauderOld!BA82=0,"",LauderNew!BA82-LauderOld!BA82)</f>
        <v/>
      </c>
      <c r="BB82" s="65" t="str">
        <f>IF(LauderNew!BB82-LauderOld!BB82=0,"",LauderNew!BB82-LauderOld!BB82)</f>
        <v/>
      </c>
      <c r="BC82" s="65" t="str">
        <f>IF(LauderNew!BC82-LauderOld!BC82=0,"",LauderNew!BC82-LauderOld!BC82)</f>
        <v/>
      </c>
      <c r="BD82" s="65" t="str">
        <f>IF(LauderNew!BD82-LauderOld!BD82=0,"",LauderNew!BD82-LauderOld!BD82)</f>
        <v/>
      </c>
    </row>
    <row r="83" spans="3:56" x14ac:dyDescent="0.25">
      <c r="C83" s="106"/>
      <c r="D83" s="49" t="s">
        <v>36</v>
      </c>
      <c r="E83" s="65" t="str">
        <f>IF(LauderNew!E83-LauderOld!E83=0,"",LauderNew!E83-LauderOld!E83)</f>
        <v/>
      </c>
      <c r="F83" s="65" t="str">
        <f>IF(LauderNew!F83-LauderOld!F83=0,"",LauderNew!F83-LauderOld!F83)</f>
        <v/>
      </c>
      <c r="G83" s="65" t="str">
        <f>IF(LauderNew!G83-LauderOld!G83=0,"",LauderNew!G83-LauderOld!G83)</f>
        <v/>
      </c>
      <c r="H83" s="65" t="str">
        <f>IF(LauderNew!H83-LauderOld!H83=0,"",LauderNew!H83-LauderOld!H83)</f>
        <v/>
      </c>
      <c r="I83" s="65" t="str">
        <f>IF(LauderNew!I83-LauderOld!I83=0,"",LauderNew!I83-LauderOld!I83)</f>
        <v/>
      </c>
      <c r="J83" s="65" t="str">
        <f>IF(LauderNew!J83-LauderOld!J83=0,"",LauderNew!J83-LauderOld!J83)</f>
        <v/>
      </c>
      <c r="K83" s="65" t="str">
        <f>IF(LauderNew!K83-LauderOld!K83=0,"",LauderNew!K83-LauderOld!K83)</f>
        <v/>
      </c>
      <c r="L83" s="65" t="str">
        <f>IF(LauderNew!L83-LauderOld!L83=0,"",LauderNew!L83-LauderOld!L83)</f>
        <v/>
      </c>
      <c r="M83" s="65" t="str">
        <f>IF(LauderNew!M83-LauderOld!M83=0,"",LauderNew!M83-LauderOld!M83)</f>
        <v/>
      </c>
      <c r="N83" s="65" t="str">
        <f>IF(LauderNew!N83-LauderOld!N83=0,"",LauderNew!N83-LauderOld!N83)</f>
        <v/>
      </c>
      <c r="O83" s="65" t="str">
        <f>IF(LauderNew!O83-LauderOld!O83=0,"",LauderNew!O83-LauderOld!O83)</f>
        <v/>
      </c>
      <c r="P83" s="65" t="str">
        <f>IF(LauderNew!P83-LauderOld!P83=0,"",LauderNew!P83-LauderOld!P83)</f>
        <v/>
      </c>
      <c r="Q83" s="65" t="str">
        <f>IF(LauderNew!Q83-LauderOld!Q83=0,"",LauderNew!Q83-LauderOld!Q83)</f>
        <v/>
      </c>
      <c r="R83" s="65" t="str">
        <f>IF(LauderNew!R83-LauderOld!R83=0,"",LauderNew!R83-LauderOld!R83)</f>
        <v/>
      </c>
      <c r="S83" s="65" t="str">
        <f>IF(LauderNew!S83-LauderOld!S83=0,"",LauderNew!S83-LauderOld!S83)</f>
        <v/>
      </c>
      <c r="T83" s="65" t="str">
        <f>IF(LauderNew!T83-LauderOld!T83=0,"",LauderNew!T83-LauderOld!T83)</f>
        <v/>
      </c>
      <c r="U83" s="65" t="str">
        <f>IF(LauderNew!U83-LauderOld!U83=0,"",LauderNew!U83-LauderOld!U83)</f>
        <v/>
      </c>
      <c r="V83" s="65" t="str">
        <f>IF(LauderNew!V83-LauderOld!V83=0,"",LauderNew!V83-LauderOld!V83)</f>
        <v/>
      </c>
      <c r="W83" s="65" t="str">
        <f>IF(LauderNew!W83-LauderOld!W83=0,"",LauderNew!W83-LauderOld!W83)</f>
        <v/>
      </c>
      <c r="X83" s="65" t="str">
        <f>IF(LauderNew!X83-LauderOld!X83=0,"",LauderNew!X83-LauderOld!X83)</f>
        <v/>
      </c>
      <c r="Y83" s="65" t="str">
        <f>IF(LauderNew!Y83-LauderOld!Y83=0,"",LauderNew!Y83-LauderOld!Y83)</f>
        <v/>
      </c>
      <c r="Z83" s="65" t="str">
        <f>IF(LauderNew!Z83-LauderOld!Z83=0,"",LauderNew!Z83-LauderOld!Z83)</f>
        <v/>
      </c>
      <c r="AA83" s="65" t="str">
        <f>IF(LauderNew!AA83-LauderOld!AA83=0,"",LauderNew!AA83-LauderOld!AA83)</f>
        <v/>
      </c>
      <c r="AB83" s="65" t="str">
        <f>IF(LauderNew!AB83-LauderOld!AB83=0,"",LauderNew!AB83-LauderOld!AB83)</f>
        <v/>
      </c>
      <c r="AC83" s="65" t="str">
        <f>IF(LauderNew!AC83-LauderOld!AC83=0,"",LauderNew!AC83-LauderOld!AC83)</f>
        <v/>
      </c>
      <c r="AD83" s="65" t="str">
        <f>IF(LauderNew!AD83-LauderOld!AD83=0,"",LauderNew!AD83-LauderOld!AD83)</f>
        <v/>
      </c>
      <c r="AE83" s="65" t="str">
        <f>IF(LauderNew!AE83-LauderOld!AE83=0,"",LauderNew!AE83-LauderOld!AE83)</f>
        <v/>
      </c>
      <c r="AF83" s="65" t="str">
        <f>IF(LauderNew!AF83-LauderOld!AF83=0,"",LauderNew!AF83-LauderOld!AF83)</f>
        <v/>
      </c>
      <c r="AG83" s="65" t="str">
        <f>IF(LauderNew!AG83-LauderOld!AG83=0,"",LauderNew!AG83-LauderOld!AG83)</f>
        <v/>
      </c>
      <c r="AH83" s="65" t="str">
        <f>IF(LauderNew!AH83-LauderOld!AH83=0,"",LauderNew!AH83-LauderOld!AH83)</f>
        <v/>
      </c>
      <c r="AI83" s="65" t="str">
        <f>IF(LauderNew!AI83-LauderOld!AI83=0,"",LauderNew!AI83-LauderOld!AI83)</f>
        <v/>
      </c>
      <c r="AJ83" s="65" t="str">
        <f>IF(LauderNew!AJ83-LauderOld!AJ83=0,"",LauderNew!AJ83-LauderOld!AJ83)</f>
        <v/>
      </c>
      <c r="AK83" s="65" t="str">
        <f>IF(LauderNew!AK83-LauderOld!AK83=0,"",LauderNew!AK83-LauderOld!AK83)</f>
        <v/>
      </c>
      <c r="AL83" s="65" t="str">
        <f>IF(LauderNew!AL83-LauderOld!AL83=0,"",LauderNew!AL83-LauderOld!AL83)</f>
        <v/>
      </c>
      <c r="AM83" s="65" t="str">
        <f>IF(LauderNew!AM83-LauderOld!AM83=0,"",LauderNew!AM83-LauderOld!AM83)</f>
        <v/>
      </c>
      <c r="AN83" s="65" t="str">
        <f>IF(LauderNew!AN83-LauderOld!AN83=0,"",LauderNew!AN83-LauderOld!AN83)</f>
        <v/>
      </c>
      <c r="AO83" s="65" t="str">
        <f>IF(LauderNew!AO83-LauderOld!AO83=0,"",LauderNew!AO83-LauderOld!AO83)</f>
        <v/>
      </c>
      <c r="AP83" s="65" t="str">
        <f>IF(LauderNew!AP83-LauderOld!AP83=0,"",LauderNew!AP83-LauderOld!AP83)</f>
        <v/>
      </c>
      <c r="AQ83" s="65" t="str">
        <f>IF(LauderNew!AQ83-LauderOld!AQ83=0,"",LauderNew!AQ83-LauderOld!AQ83)</f>
        <v/>
      </c>
      <c r="AR83" s="65" t="str">
        <f>IF(LauderNew!AR83-LauderOld!AR83=0,"",LauderNew!AR83-LauderOld!AR83)</f>
        <v/>
      </c>
      <c r="AS83" s="65" t="str">
        <f>IF(LauderNew!AS83-LauderOld!AS83=0,"",LauderNew!AS83-LauderOld!AS83)</f>
        <v/>
      </c>
      <c r="AT83" s="65" t="str">
        <f>IF(LauderNew!AT83-LauderOld!AT83=0,"",LauderNew!AT83-LauderOld!AT83)</f>
        <v/>
      </c>
      <c r="AU83" s="65" t="str">
        <f>IF(LauderNew!AU83-LauderOld!AU83=0,"",LauderNew!AU83-LauderOld!AU83)</f>
        <v/>
      </c>
      <c r="AV83" s="65" t="str">
        <f>IF(LauderNew!AV83-LauderOld!AV83=0,"",LauderNew!AV83-LauderOld!AV83)</f>
        <v/>
      </c>
      <c r="AW83" s="65" t="str">
        <f>IF(LauderNew!AW83-LauderOld!AW83=0,"",LauderNew!AW83-LauderOld!AW83)</f>
        <v/>
      </c>
      <c r="AX83" s="65" t="str">
        <f>IF(LauderNew!AX83-LauderOld!AX83=0,"",LauderNew!AX83-LauderOld!AX83)</f>
        <v/>
      </c>
      <c r="AY83" s="65" t="str">
        <f>IF(LauderNew!AY83-LauderOld!AY83=0,"",LauderNew!AY83-LauderOld!AY83)</f>
        <v/>
      </c>
      <c r="AZ83" s="65" t="str">
        <f>IF(LauderNew!AZ83-LauderOld!AZ83=0,"",LauderNew!AZ83-LauderOld!AZ83)</f>
        <v/>
      </c>
      <c r="BA83" s="65" t="str">
        <f>IF(LauderNew!BA83-LauderOld!BA83=0,"",LauderNew!BA83-LauderOld!BA83)</f>
        <v/>
      </c>
      <c r="BB83" s="65" t="str">
        <f>IF(LauderNew!BB83-LauderOld!BB83=0,"",LauderNew!BB83-LauderOld!BB83)</f>
        <v/>
      </c>
      <c r="BC83" s="65" t="str">
        <f>IF(LauderNew!BC83-LauderOld!BC83=0,"",LauderNew!BC83-LauderOld!BC83)</f>
        <v/>
      </c>
      <c r="BD83" s="65" t="str">
        <f>IF(LauderNew!BD83-LauderOld!BD83=0,"",LauderNew!BD83-LauderOld!BD83)</f>
        <v/>
      </c>
    </row>
    <row r="84" spans="3:56" x14ac:dyDescent="0.25">
      <c r="C84" s="106"/>
      <c r="D84" s="49" t="s">
        <v>37</v>
      </c>
      <c r="E84" s="65" t="str">
        <f>IF(LauderNew!E84-LauderOld!E84=0,"",LauderNew!E84-LauderOld!E84)</f>
        <v/>
      </c>
      <c r="F84" s="65" t="str">
        <f>IF(LauderNew!F84-LauderOld!F84=0,"",LauderNew!F84-LauderOld!F84)</f>
        <v/>
      </c>
      <c r="G84" s="65" t="str">
        <f>IF(LauderNew!G84-LauderOld!G84=0,"",LauderNew!G84-LauderOld!G84)</f>
        <v/>
      </c>
      <c r="H84" s="65" t="str">
        <f>IF(LauderNew!H84-LauderOld!H84=0,"",LauderNew!H84-LauderOld!H84)</f>
        <v/>
      </c>
      <c r="I84" s="65" t="str">
        <f>IF(LauderNew!I84-LauderOld!I84=0,"",LauderNew!I84-LauderOld!I84)</f>
        <v/>
      </c>
      <c r="J84" s="65" t="str">
        <f>IF(LauderNew!J84-LauderOld!J84=0,"",LauderNew!J84-LauderOld!J84)</f>
        <v/>
      </c>
      <c r="K84" s="65" t="str">
        <f>IF(LauderNew!K84-LauderOld!K84=0,"",LauderNew!K84-LauderOld!K84)</f>
        <v/>
      </c>
      <c r="L84" s="65" t="str">
        <f>IF(LauderNew!L84-LauderOld!L84=0,"",LauderNew!L84-LauderOld!L84)</f>
        <v/>
      </c>
      <c r="M84" s="65" t="str">
        <f>IF(LauderNew!M84-LauderOld!M84=0,"",LauderNew!M84-LauderOld!M84)</f>
        <v/>
      </c>
      <c r="N84" s="65" t="str">
        <f>IF(LauderNew!N84-LauderOld!N84=0,"",LauderNew!N84-LauderOld!N84)</f>
        <v/>
      </c>
      <c r="O84" s="65" t="str">
        <f>IF(LauderNew!O84-LauderOld!O84=0,"",LauderNew!O84-LauderOld!O84)</f>
        <v/>
      </c>
      <c r="P84" s="65" t="str">
        <f>IF(LauderNew!P84-LauderOld!P84=0,"",LauderNew!P84-LauderOld!P84)</f>
        <v/>
      </c>
      <c r="Q84" s="65" t="str">
        <f>IF(LauderNew!Q84-LauderOld!Q84=0,"",LauderNew!Q84-LauderOld!Q84)</f>
        <v/>
      </c>
      <c r="R84" s="65" t="str">
        <f>IF(LauderNew!R84-LauderOld!R84=0,"",LauderNew!R84-LauderOld!R84)</f>
        <v/>
      </c>
      <c r="S84" s="65" t="str">
        <f>IF(LauderNew!S84-LauderOld!S84=0,"",LauderNew!S84-LauderOld!S84)</f>
        <v/>
      </c>
      <c r="T84" s="65" t="str">
        <f>IF(LauderNew!T84-LauderOld!T84=0,"",LauderNew!T84-LauderOld!T84)</f>
        <v/>
      </c>
      <c r="U84" s="65" t="str">
        <f>IF(LauderNew!U84-LauderOld!U84=0,"",LauderNew!U84-LauderOld!U84)</f>
        <v/>
      </c>
      <c r="V84" s="65" t="str">
        <f>IF(LauderNew!V84-LauderOld!V84=0,"",LauderNew!V84-LauderOld!V84)</f>
        <v/>
      </c>
      <c r="W84" s="65" t="str">
        <f>IF(LauderNew!W84-LauderOld!W84=0,"",LauderNew!W84-LauderOld!W84)</f>
        <v/>
      </c>
      <c r="X84" s="65" t="str">
        <f>IF(LauderNew!X84-LauderOld!X84=0,"",LauderNew!X84-LauderOld!X84)</f>
        <v/>
      </c>
      <c r="Y84" s="65" t="str">
        <f>IF(LauderNew!Y84-LauderOld!Y84=0,"",LauderNew!Y84-LauderOld!Y84)</f>
        <v/>
      </c>
      <c r="Z84" s="65" t="str">
        <f>IF(LauderNew!Z84-LauderOld!Z84=0,"",LauderNew!Z84-LauderOld!Z84)</f>
        <v/>
      </c>
      <c r="AA84" s="65" t="str">
        <f>IF(LauderNew!AA84-LauderOld!AA84=0,"",LauderNew!AA84-LauderOld!AA84)</f>
        <v/>
      </c>
      <c r="AB84" s="65" t="str">
        <f>IF(LauderNew!AB84-LauderOld!AB84=0,"",LauderNew!AB84-LauderOld!AB84)</f>
        <v/>
      </c>
      <c r="AC84" s="65" t="str">
        <f>IF(LauderNew!AC84-LauderOld!AC84=0,"",LauderNew!AC84-LauderOld!AC84)</f>
        <v/>
      </c>
      <c r="AD84" s="65" t="str">
        <f>IF(LauderNew!AD84-LauderOld!AD84=0,"",LauderNew!AD84-LauderOld!AD84)</f>
        <v/>
      </c>
      <c r="AE84" s="65" t="str">
        <f>IF(LauderNew!AE84-LauderOld!AE84=0,"",LauderNew!AE84-LauderOld!AE84)</f>
        <v/>
      </c>
      <c r="AF84" s="65" t="str">
        <f>IF(LauderNew!AF84-LauderOld!AF84=0,"",LauderNew!AF84-LauderOld!AF84)</f>
        <v/>
      </c>
      <c r="AG84" s="65" t="str">
        <f>IF(LauderNew!AG84-LauderOld!AG84=0,"",LauderNew!AG84-LauderOld!AG84)</f>
        <v/>
      </c>
      <c r="AH84" s="65" t="str">
        <f>IF(LauderNew!AH84-LauderOld!AH84=0,"",LauderNew!AH84-LauderOld!AH84)</f>
        <v/>
      </c>
      <c r="AI84" s="65" t="str">
        <f>IF(LauderNew!AI84-LauderOld!AI84=0,"",LauderNew!AI84-LauderOld!AI84)</f>
        <v/>
      </c>
      <c r="AJ84" s="65" t="str">
        <f>IF(LauderNew!AJ84-LauderOld!AJ84=0,"",LauderNew!AJ84-LauderOld!AJ84)</f>
        <v/>
      </c>
      <c r="AK84" s="65" t="str">
        <f>IF(LauderNew!AK84-LauderOld!AK84=0,"",LauderNew!AK84-LauderOld!AK84)</f>
        <v/>
      </c>
      <c r="AL84" s="65" t="str">
        <f>IF(LauderNew!AL84-LauderOld!AL84=0,"",LauderNew!AL84-LauderOld!AL84)</f>
        <v/>
      </c>
      <c r="AM84" s="65" t="str">
        <f>IF(LauderNew!AM84-LauderOld!AM84=0,"",LauderNew!AM84-LauderOld!AM84)</f>
        <v/>
      </c>
      <c r="AN84" s="65" t="str">
        <f>IF(LauderNew!AN84-LauderOld!AN84=0,"",LauderNew!AN84-LauderOld!AN84)</f>
        <v/>
      </c>
      <c r="AO84" s="65" t="str">
        <f>IF(LauderNew!AO84-LauderOld!AO84=0,"",LauderNew!AO84-LauderOld!AO84)</f>
        <v/>
      </c>
      <c r="AP84" s="65" t="str">
        <f>IF(LauderNew!AP84-LauderOld!AP84=0,"",LauderNew!AP84-LauderOld!AP84)</f>
        <v/>
      </c>
      <c r="AQ84" s="65" t="str">
        <f>IF(LauderNew!AQ84-LauderOld!AQ84=0,"",LauderNew!AQ84-LauderOld!AQ84)</f>
        <v/>
      </c>
      <c r="AR84" s="65" t="str">
        <f>IF(LauderNew!AR84-LauderOld!AR84=0,"",LauderNew!AR84-LauderOld!AR84)</f>
        <v/>
      </c>
      <c r="AS84" s="65" t="str">
        <f>IF(LauderNew!AS84-LauderOld!AS84=0,"",LauderNew!AS84-LauderOld!AS84)</f>
        <v/>
      </c>
      <c r="AT84" s="65" t="str">
        <f>IF(LauderNew!AT84-LauderOld!AT84=0,"",LauderNew!AT84-LauderOld!AT84)</f>
        <v/>
      </c>
      <c r="AU84" s="65" t="str">
        <f>IF(LauderNew!AU84-LauderOld!AU84=0,"",LauderNew!AU84-LauderOld!AU84)</f>
        <v/>
      </c>
      <c r="AV84" s="65" t="str">
        <f>IF(LauderNew!AV84-LauderOld!AV84=0,"",LauderNew!AV84-LauderOld!AV84)</f>
        <v/>
      </c>
      <c r="AW84" s="65" t="str">
        <f>IF(LauderNew!AW84-LauderOld!AW84=0,"",LauderNew!AW84-LauderOld!AW84)</f>
        <v/>
      </c>
      <c r="AX84" s="65" t="str">
        <f>IF(LauderNew!AX84-LauderOld!AX84=0,"",LauderNew!AX84-LauderOld!AX84)</f>
        <v/>
      </c>
      <c r="AY84" s="65" t="str">
        <f>IF(LauderNew!AY84-LauderOld!AY84=0,"",LauderNew!AY84-LauderOld!AY84)</f>
        <v/>
      </c>
      <c r="AZ84" s="65" t="str">
        <f>IF(LauderNew!AZ84-LauderOld!AZ84=0,"",LauderNew!AZ84-LauderOld!AZ84)</f>
        <v/>
      </c>
      <c r="BA84" s="65" t="str">
        <f>IF(LauderNew!BA84-LauderOld!BA84=0,"",LauderNew!BA84-LauderOld!BA84)</f>
        <v/>
      </c>
      <c r="BB84" s="65" t="str">
        <f>IF(LauderNew!BB84-LauderOld!BB84=0,"",LauderNew!BB84-LauderOld!BB84)</f>
        <v/>
      </c>
      <c r="BC84" s="65" t="str">
        <f>IF(LauderNew!BC84-LauderOld!BC84=0,"",LauderNew!BC84-LauderOld!BC84)</f>
        <v/>
      </c>
      <c r="BD84" s="65" t="str">
        <f>IF(LauderNew!BD84-LauderOld!BD84=0,"",LauderNew!BD84-LauderOld!BD84)</f>
        <v/>
      </c>
    </row>
    <row r="85" spans="3:56" x14ac:dyDescent="0.25">
      <c r="C85" s="106"/>
      <c r="D85" s="49" t="s">
        <v>38</v>
      </c>
      <c r="E85" s="65" t="str">
        <f>IF(LauderNew!E85-LauderOld!E85=0,"",LauderNew!E85-LauderOld!E85)</f>
        <v/>
      </c>
      <c r="F85" s="65" t="str">
        <f>IF(LauderNew!F85-LauderOld!F85=0,"",LauderNew!F85-LauderOld!F85)</f>
        <v/>
      </c>
      <c r="G85" s="65" t="str">
        <f>IF(LauderNew!G85-LauderOld!G85=0,"",LauderNew!G85-LauderOld!G85)</f>
        <v/>
      </c>
      <c r="H85" s="65" t="str">
        <f>IF(LauderNew!H85-LauderOld!H85=0,"",LauderNew!H85-LauderOld!H85)</f>
        <v/>
      </c>
      <c r="I85" s="65" t="str">
        <f>IF(LauderNew!I85-LauderOld!I85=0,"",LauderNew!I85-LauderOld!I85)</f>
        <v/>
      </c>
      <c r="J85" s="65" t="str">
        <f>IF(LauderNew!J85-LauderOld!J85=0,"",LauderNew!J85-LauderOld!J85)</f>
        <v/>
      </c>
      <c r="K85" s="65" t="str">
        <f>IF(LauderNew!K85-LauderOld!K85=0,"",LauderNew!K85-LauderOld!K85)</f>
        <v/>
      </c>
      <c r="L85" s="65" t="str">
        <f>IF(LauderNew!L85-LauderOld!L85=0,"",LauderNew!L85-LauderOld!L85)</f>
        <v/>
      </c>
      <c r="M85" s="65" t="str">
        <f>IF(LauderNew!M85-LauderOld!M85=0,"",LauderNew!M85-LauderOld!M85)</f>
        <v/>
      </c>
      <c r="N85" s="65" t="str">
        <f>IF(LauderNew!N85-LauderOld!N85=0,"",LauderNew!N85-LauderOld!N85)</f>
        <v/>
      </c>
      <c r="O85" s="65" t="str">
        <f>IF(LauderNew!O85-LauderOld!O85=0,"",LauderNew!O85-LauderOld!O85)</f>
        <v/>
      </c>
      <c r="P85" s="65" t="str">
        <f>IF(LauderNew!P85-LauderOld!P85=0,"",LauderNew!P85-LauderOld!P85)</f>
        <v/>
      </c>
      <c r="Q85" s="65" t="str">
        <f>IF(LauderNew!Q85-LauderOld!Q85=0,"",LauderNew!Q85-LauderOld!Q85)</f>
        <v/>
      </c>
      <c r="R85" s="65" t="str">
        <f>IF(LauderNew!R85-LauderOld!R85=0,"",LauderNew!R85-LauderOld!R85)</f>
        <v/>
      </c>
      <c r="S85" s="65" t="str">
        <f>IF(LauderNew!S85-LauderOld!S85=0,"",LauderNew!S85-LauderOld!S85)</f>
        <v/>
      </c>
      <c r="T85" s="65" t="str">
        <f>IF(LauderNew!T85-LauderOld!T85=0,"",LauderNew!T85-LauderOld!T85)</f>
        <v/>
      </c>
      <c r="U85" s="65" t="str">
        <f>IF(LauderNew!U85-LauderOld!U85=0,"",LauderNew!U85-LauderOld!U85)</f>
        <v/>
      </c>
      <c r="V85" s="65" t="str">
        <f>IF(LauderNew!V85-LauderOld!V85=0,"",LauderNew!V85-LauderOld!V85)</f>
        <v/>
      </c>
      <c r="W85" s="65" t="str">
        <f>IF(LauderNew!W85-LauderOld!W85=0,"",LauderNew!W85-LauderOld!W85)</f>
        <v/>
      </c>
      <c r="X85" s="65" t="str">
        <f>IF(LauderNew!X85-LauderOld!X85=0,"",LauderNew!X85-LauderOld!X85)</f>
        <v/>
      </c>
      <c r="Y85" s="65" t="str">
        <f>IF(LauderNew!Y85-LauderOld!Y85=0,"",LauderNew!Y85-LauderOld!Y85)</f>
        <v/>
      </c>
      <c r="Z85" s="65" t="str">
        <f>IF(LauderNew!Z85-LauderOld!Z85=0,"",LauderNew!Z85-LauderOld!Z85)</f>
        <v/>
      </c>
      <c r="AA85" s="65" t="str">
        <f>IF(LauderNew!AA85-LauderOld!AA85=0,"",LauderNew!AA85-LauderOld!AA85)</f>
        <v/>
      </c>
      <c r="AB85" s="65" t="str">
        <f>IF(LauderNew!AB85-LauderOld!AB85=0,"",LauderNew!AB85-LauderOld!AB85)</f>
        <v/>
      </c>
      <c r="AC85" s="65" t="str">
        <f>IF(LauderNew!AC85-LauderOld!AC85=0,"",LauderNew!AC85-LauderOld!AC85)</f>
        <v/>
      </c>
      <c r="AD85" s="65" t="str">
        <f>IF(LauderNew!AD85-LauderOld!AD85=0,"",LauderNew!AD85-LauderOld!AD85)</f>
        <v/>
      </c>
      <c r="AE85" s="65" t="str">
        <f>IF(LauderNew!AE85-LauderOld!AE85=0,"",LauderNew!AE85-LauderOld!AE85)</f>
        <v/>
      </c>
      <c r="AF85" s="65" t="str">
        <f>IF(LauderNew!AF85-LauderOld!AF85=0,"",LauderNew!AF85-LauderOld!AF85)</f>
        <v/>
      </c>
      <c r="AG85" s="65" t="str">
        <f>IF(LauderNew!AG85-LauderOld!AG85=0,"",LauderNew!AG85-LauderOld!AG85)</f>
        <v/>
      </c>
      <c r="AH85" s="65" t="str">
        <f>IF(LauderNew!AH85-LauderOld!AH85=0,"",LauderNew!AH85-LauderOld!AH85)</f>
        <v/>
      </c>
      <c r="AI85" s="65" t="str">
        <f>IF(LauderNew!AI85-LauderOld!AI85=0,"",LauderNew!AI85-LauderOld!AI85)</f>
        <v/>
      </c>
      <c r="AJ85" s="65" t="str">
        <f>IF(LauderNew!AJ85-LauderOld!AJ85=0,"",LauderNew!AJ85-LauderOld!AJ85)</f>
        <v/>
      </c>
      <c r="AK85" s="65" t="str">
        <f>IF(LauderNew!AK85-LauderOld!AK85=0,"",LauderNew!AK85-LauderOld!AK85)</f>
        <v/>
      </c>
      <c r="AL85" s="65" t="str">
        <f>IF(LauderNew!AL85-LauderOld!AL85=0,"",LauderNew!AL85-LauderOld!AL85)</f>
        <v/>
      </c>
      <c r="AM85" s="65" t="str">
        <f>IF(LauderNew!AM85-LauderOld!AM85=0,"",LauderNew!AM85-LauderOld!AM85)</f>
        <v/>
      </c>
      <c r="AN85" s="65" t="str">
        <f>IF(LauderNew!AN85-LauderOld!AN85=0,"",LauderNew!AN85-LauderOld!AN85)</f>
        <v/>
      </c>
      <c r="AO85" s="65" t="str">
        <f>IF(LauderNew!AO85-LauderOld!AO85=0,"",LauderNew!AO85-LauderOld!AO85)</f>
        <v/>
      </c>
      <c r="AP85" s="65" t="str">
        <f>IF(LauderNew!AP85-LauderOld!AP85=0,"",LauderNew!AP85-LauderOld!AP85)</f>
        <v/>
      </c>
      <c r="AQ85" s="65" t="str">
        <f>IF(LauderNew!AQ85-LauderOld!AQ85=0,"",LauderNew!AQ85-LauderOld!AQ85)</f>
        <v/>
      </c>
      <c r="AR85" s="65" t="str">
        <f>IF(LauderNew!AR85-LauderOld!AR85=0,"",LauderNew!AR85-LauderOld!AR85)</f>
        <v/>
      </c>
      <c r="AS85" s="65" t="str">
        <f>IF(LauderNew!AS85-LauderOld!AS85=0,"",LauderNew!AS85-LauderOld!AS85)</f>
        <v/>
      </c>
      <c r="AT85" s="65" t="str">
        <f>IF(LauderNew!AT85-LauderOld!AT85=0,"",LauderNew!AT85-LauderOld!AT85)</f>
        <v/>
      </c>
      <c r="AU85" s="65" t="str">
        <f>IF(LauderNew!AU85-LauderOld!AU85=0,"",LauderNew!AU85-LauderOld!AU85)</f>
        <v/>
      </c>
      <c r="AV85" s="65" t="str">
        <f>IF(LauderNew!AV85-LauderOld!AV85=0,"",LauderNew!AV85-LauderOld!AV85)</f>
        <v/>
      </c>
      <c r="AW85" s="65" t="str">
        <f>IF(LauderNew!AW85-LauderOld!AW85=0,"",LauderNew!AW85-LauderOld!AW85)</f>
        <v/>
      </c>
      <c r="AX85" s="65" t="str">
        <f>IF(LauderNew!AX85-LauderOld!AX85=0,"",LauderNew!AX85-LauderOld!AX85)</f>
        <v/>
      </c>
      <c r="AY85" s="65" t="str">
        <f>IF(LauderNew!AY85-LauderOld!AY85=0,"",LauderNew!AY85-LauderOld!AY85)</f>
        <v/>
      </c>
      <c r="AZ85" s="65" t="str">
        <f>IF(LauderNew!AZ85-LauderOld!AZ85=0,"",LauderNew!AZ85-LauderOld!AZ85)</f>
        <v/>
      </c>
      <c r="BA85" s="65" t="str">
        <f>IF(LauderNew!BA85-LauderOld!BA85=0,"",LauderNew!BA85-LauderOld!BA85)</f>
        <v/>
      </c>
      <c r="BB85" s="65" t="str">
        <f>IF(LauderNew!BB85-LauderOld!BB85=0,"",LauderNew!BB85-LauderOld!BB85)</f>
        <v/>
      </c>
      <c r="BC85" s="65" t="str">
        <f>IF(LauderNew!BC85-LauderOld!BC85=0,"",LauderNew!BC85-LauderOld!BC85)</f>
        <v/>
      </c>
      <c r="BD85" s="65" t="str">
        <f>IF(LauderNew!BD85-LauderOld!BD85=0,"",LauderNew!BD85-LauderOld!BD85)</f>
        <v/>
      </c>
    </row>
    <row r="86" spans="3:56" x14ac:dyDescent="0.25">
      <c r="C86" s="106"/>
      <c r="D86" s="49" t="s">
        <v>39</v>
      </c>
      <c r="E86" s="65" t="str">
        <f>IF(LauderNew!E86-LauderOld!E86=0,"",LauderNew!E86-LauderOld!E86)</f>
        <v/>
      </c>
      <c r="F86" s="65" t="str">
        <f>IF(LauderNew!F86-LauderOld!F86=0,"",LauderNew!F86-LauderOld!F86)</f>
        <v/>
      </c>
      <c r="G86" s="65" t="str">
        <f>IF(LauderNew!G86-LauderOld!G86=0,"",LauderNew!G86-LauderOld!G86)</f>
        <v/>
      </c>
      <c r="H86" s="65" t="str">
        <f>IF(LauderNew!H86-LauderOld!H86=0,"",LauderNew!H86-LauderOld!H86)</f>
        <v/>
      </c>
      <c r="I86" s="65" t="str">
        <f>IF(LauderNew!I86-LauderOld!I86=0,"",LauderNew!I86-LauderOld!I86)</f>
        <v/>
      </c>
      <c r="J86" s="65" t="str">
        <f>IF(LauderNew!J86-LauderOld!J86=0,"",LauderNew!J86-LauderOld!J86)</f>
        <v/>
      </c>
      <c r="K86" s="65" t="str">
        <f>IF(LauderNew!K86-LauderOld!K86=0,"",LauderNew!K86-LauderOld!K86)</f>
        <v/>
      </c>
      <c r="L86" s="65" t="str">
        <f>IF(LauderNew!L86-LauderOld!L86=0,"",LauderNew!L86-LauderOld!L86)</f>
        <v/>
      </c>
      <c r="M86" s="65" t="str">
        <f>IF(LauderNew!M86-LauderOld!M86=0,"",LauderNew!M86-LauderOld!M86)</f>
        <v/>
      </c>
      <c r="N86" s="65" t="str">
        <f>IF(LauderNew!N86-LauderOld!N86=0,"",LauderNew!N86-LauderOld!N86)</f>
        <v/>
      </c>
      <c r="O86" s="65" t="str">
        <f>IF(LauderNew!O86-LauderOld!O86=0,"",LauderNew!O86-LauderOld!O86)</f>
        <v/>
      </c>
      <c r="P86" s="65" t="str">
        <f>IF(LauderNew!P86-LauderOld!P86=0,"",LauderNew!P86-LauderOld!P86)</f>
        <v/>
      </c>
      <c r="Q86" s="65" t="str">
        <f>IF(LauderNew!Q86-LauderOld!Q86=0,"",LauderNew!Q86-LauderOld!Q86)</f>
        <v/>
      </c>
      <c r="R86" s="65" t="str">
        <f>IF(LauderNew!R86-LauderOld!R86=0,"",LauderNew!R86-LauderOld!R86)</f>
        <v/>
      </c>
      <c r="S86" s="65" t="str">
        <f>IF(LauderNew!S86-LauderOld!S86=0,"",LauderNew!S86-LauderOld!S86)</f>
        <v/>
      </c>
      <c r="T86" s="65" t="str">
        <f>IF(LauderNew!T86-LauderOld!T86=0,"",LauderNew!T86-LauderOld!T86)</f>
        <v/>
      </c>
      <c r="U86" s="65" t="str">
        <f>IF(LauderNew!U86-LauderOld!U86=0,"",LauderNew!U86-LauderOld!U86)</f>
        <v/>
      </c>
      <c r="V86" s="65" t="str">
        <f>IF(LauderNew!V86-LauderOld!V86=0,"",LauderNew!V86-LauderOld!V86)</f>
        <v/>
      </c>
      <c r="W86" s="65" t="str">
        <f>IF(LauderNew!W86-LauderOld!W86=0,"",LauderNew!W86-LauderOld!W86)</f>
        <v/>
      </c>
      <c r="X86" s="65" t="str">
        <f>IF(LauderNew!X86-LauderOld!X86=0,"",LauderNew!X86-LauderOld!X86)</f>
        <v/>
      </c>
      <c r="Y86" s="65" t="str">
        <f>IF(LauderNew!Y86-LauderOld!Y86=0,"",LauderNew!Y86-LauderOld!Y86)</f>
        <v/>
      </c>
      <c r="Z86" s="65" t="str">
        <f>IF(LauderNew!Z86-LauderOld!Z86=0,"",LauderNew!Z86-LauderOld!Z86)</f>
        <v/>
      </c>
      <c r="AA86" s="65" t="str">
        <f>IF(LauderNew!AA86-LauderOld!AA86=0,"",LauderNew!AA86-LauderOld!AA86)</f>
        <v/>
      </c>
      <c r="AB86" s="65" t="str">
        <f>IF(LauderNew!AB86-LauderOld!AB86=0,"",LauderNew!AB86-LauderOld!AB86)</f>
        <v/>
      </c>
      <c r="AC86" s="65" t="str">
        <f>IF(LauderNew!AC86-LauderOld!AC86=0,"",LauderNew!AC86-LauderOld!AC86)</f>
        <v/>
      </c>
      <c r="AD86" s="65" t="str">
        <f>IF(LauderNew!AD86-LauderOld!AD86=0,"",LauderNew!AD86-LauderOld!AD86)</f>
        <v/>
      </c>
      <c r="AE86" s="65" t="str">
        <f>IF(LauderNew!AE86-LauderOld!AE86=0,"",LauderNew!AE86-LauderOld!AE86)</f>
        <v/>
      </c>
      <c r="AF86" s="65" t="str">
        <f>IF(LauderNew!AF86-LauderOld!AF86=0,"",LauderNew!AF86-LauderOld!AF86)</f>
        <v/>
      </c>
      <c r="AG86" s="65" t="str">
        <f>IF(LauderNew!AG86-LauderOld!AG86=0,"",LauderNew!AG86-LauderOld!AG86)</f>
        <v/>
      </c>
      <c r="AH86" s="65" t="str">
        <f>IF(LauderNew!AH86-LauderOld!AH86=0,"",LauderNew!AH86-LauderOld!AH86)</f>
        <v/>
      </c>
      <c r="AI86" s="65" t="str">
        <f>IF(LauderNew!AI86-LauderOld!AI86=0,"",LauderNew!AI86-LauderOld!AI86)</f>
        <v/>
      </c>
      <c r="AJ86" s="65" t="str">
        <f>IF(LauderNew!AJ86-LauderOld!AJ86=0,"",LauderNew!AJ86-LauderOld!AJ86)</f>
        <v/>
      </c>
      <c r="AK86" s="65" t="str">
        <f>IF(LauderNew!AK86-LauderOld!AK86=0,"",LauderNew!AK86-LauderOld!AK86)</f>
        <v/>
      </c>
      <c r="AL86" s="65" t="str">
        <f>IF(LauderNew!AL86-LauderOld!AL86=0,"",LauderNew!AL86-LauderOld!AL86)</f>
        <v/>
      </c>
      <c r="AM86" s="65" t="str">
        <f>IF(LauderNew!AM86-LauderOld!AM86=0,"",LauderNew!AM86-LauderOld!AM86)</f>
        <v/>
      </c>
      <c r="AN86" s="65" t="str">
        <f>IF(LauderNew!AN86-LauderOld!AN86=0,"",LauderNew!AN86-LauderOld!AN86)</f>
        <v/>
      </c>
      <c r="AO86" s="65" t="str">
        <f>IF(LauderNew!AO86-LauderOld!AO86=0,"",LauderNew!AO86-LauderOld!AO86)</f>
        <v/>
      </c>
      <c r="AP86" s="65" t="str">
        <f>IF(LauderNew!AP86-LauderOld!AP86=0,"",LauderNew!AP86-LauderOld!AP86)</f>
        <v/>
      </c>
      <c r="AQ86" s="65" t="str">
        <f>IF(LauderNew!AQ86-LauderOld!AQ86=0,"",LauderNew!AQ86-LauderOld!AQ86)</f>
        <v/>
      </c>
      <c r="AR86" s="65" t="str">
        <f>IF(LauderNew!AR86-LauderOld!AR86=0,"",LauderNew!AR86-LauderOld!AR86)</f>
        <v/>
      </c>
      <c r="AS86" s="65" t="str">
        <f>IF(LauderNew!AS86-LauderOld!AS86=0,"",LauderNew!AS86-LauderOld!AS86)</f>
        <v/>
      </c>
      <c r="AT86" s="65" t="str">
        <f>IF(LauderNew!AT86-LauderOld!AT86=0,"",LauderNew!AT86-LauderOld!AT86)</f>
        <v/>
      </c>
      <c r="AU86" s="65" t="str">
        <f>IF(LauderNew!AU86-LauderOld!AU86=0,"",LauderNew!AU86-LauderOld!AU86)</f>
        <v/>
      </c>
      <c r="AV86" s="65" t="str">
        <f>IF(LauderNew!AV86-LauderOld!AV86=0,"",LauderNew!AV86-LauderOld!AV86)</f>
        <v/>
      </c>
      <c r="AW86" s="65" t="str">
        <f>IF(LauderNew!AW86-LauderOld!AW86=0,"",LauderNew!AW86-LauderOld!AW86)</f>
        <v/>
      </c>
      <c r="AX86" s="65" t="str">
        <f>IF(LauderNew!AX86-LauderOld!AX86=0,"",LauderNew!AX86-LauderOld!AX86)</f>
        <v/>
      </c>
      <c r="AY86" s="65" t="str">
        <f>IF(LauderNew!AY86-LauderOld!AY86=0,"",LauderNew!AY86-LauderOld!AY86)</f>
        <v/>
      </c>
      <c r="AZ86" s="65" t="str">
        <f>IF(LauderNew!AZ86-LauderOld!AZ86=0,"",LauderNew!AZ86-LauderOld!AZ86)</f>
        <v/>
      </c>
      <c r="BA86" s="65" t="str">
        <f>IF(LauderNew!BA86-LauderOld!BA86=0,"",LauderNew!BA86-LauderOld!BA86)</f>
        <v/>
      </c>
      <c r="BB86" s="65" t="str">
        <f>IF(LauderNew!BB86-LauderOld!BB86=0,"",LauderNew!BB86-LauderOld!BB86)</f>
        <v/>
      </c>
      <c r="BC86" s="65" t="str">
        <f>IF(LauderNew!BC86-LauderOld!BC86=0,"",LauderNew!BC86-LauderOld!BC86)</f>
        <v/>
      </c>
      <c r="BD86" s="65" t="str">
        <f>IF(LauderNew!BD86-LauderOld!BD86=0,"",LauderNew!BD86-LauderOld!BD86)</f>
        <v/>
      </c>
    </row>
    <row r="87" spans="3:56" x14ac:dyDescent="0.25">
      <c r="C87" s="106"/>
      <c r="D87" s="49" t="s">
        <v>40</v>
      </c>
      <c r="E87" s="65" t="str">
        <f>IF(LauderNew!E87-LauderOld!E87=0,"",LauderNew!E87-LauderOld!E87)</f>
        <v/>
      </c>
      <c r="F87" s="65" t="str">
        <f>IF(LauderNew!F87-LauderOld!F87=0,"",LauderNew!F87-LauderOld!F87)</f>
        <v/>
      </c>
      <c r="G87" s="65" t="str">
        <f>IF(LauderNew!G87-LauderOld!G87=0,"",LauderNew!G87-LauderOld!G87)</f>
        <v/>
      </c>
      <c r="H87" s="65" t="str">
        <f>IF(LauderNew!H87-LauderOld!H87=0,"",LauderNew!H87-LauderOld!H87)</f>
        <v/>
      </c>
      <c r="I87" s="65" t="str">
        <f>IF(LauderNew!I87-LauderOld!I87=0,"",LauderNew!I87-LauderOld!I87)</f>
        <v/>
      </c>
      <c r="J87" s="65" t="str">
        <f>IF(LauderNew!J87-LauderOld!J87=0,"",LauderNew!J87-LauderOld!J87)</f>
        <v/>
      </c>
      <c r="K87" s="65" t="str">
        <f>IF(LauderNew!K87-LauderOld!K87=0,"",LauderNew!K87-LauderOld!K87)</f>
        <v/>
      </c>
      <c r="L87" s="65" t="str">
        <f>IF(LauderNew!L87-LauderOld!L87=0,"",LauderNew!L87-LauderOld!L87)</f>
        <v/>
      </c>
      <c r="M87" s="65" t="str">
        <f>IF(LauderNew!M87-LauderOld!M87=0,"",LauderNew!M87-LauderOld!M87)</f>
        <v/>
      </c>
      <c r="N87" s="65" t="str">
        <f>IF(LauderNew!N87-LauderOld!N87=0,"",LauderNew!N87-LauderOld!N87)</f>
        <v/>
      </c>
      <c r="O87" s="65" t="str">
        <f>IF(LauderNew!O87-LauderOld!O87=0,"",LauderNew!O87-LauderOld!O87)</f>
        <v/>
      </c>
      <c r="P87" s="65" t="str">
        <f>IF(LauderNew!P87-LauderOld!P87=0,"",LauderNew!P87-LauderOld!P87)</f>
        <v/>
      </c>
      <c r="Q87" s="65" t="str">
        <f>IF(LauderNew!Q87-LauderOld!Q87=0,"",LauderNew!Q87-LauderOld!Q87)</f>
        <v/>
      </c>
      <c r="R87" s="65" t="str">
        <f>IF(LauderNew!R87-LauderOld!R87=0,"",LauderNew!R87-LauderOld!R87)</f>
        <v/>
      </c>
      <c r="S87" s="65" t="str">
        <f>IF(LauderNew!S87-LauderOld!S87=0,"",LauderNew!S87-LauderOld!S87)</f>
        <v/>
      </c>
      <c r="T87" s="65" t="str">
        <f>IF(LauderNew!T87-LauderOld!T87=0,"",LauderNew!T87-LauderOld!T87)</f>
        <v/>
      </c>
      <c r="U87" s="65" t="str">
        <f>IF(LauderNew!U87-LauderOld!U87=0,"",LauderNew!U87-LauderOld!U87)</f>
        <v/>
      </c>
      <c r="V87" s="65" t="str">
        <f>IF(LauderNew!V87-LauderOld!V87=0,"",LauderNew!V87-LauderOld!V87)</f>
        <v/>
      </c>
      <c r="W87" s="65" t="str">
        <f>IF(LauderNew!W87-LauderOld!W87=0,"",LauderNew!W87-LauderOld!W87)</f>
        <v/>
      </c>
      <c r="X87" s="65" t="str">
        <f>IF(LauderNew!X87-LauderOld!X87=0,"",LauderNew!X87-LauderOld!X87)</f>
        <v/>
      </c>
      <c r="Y87" s="65" t="str">
        <f>IF(LauderNew!Y87-LauderOld!Y87=0,"",LauderNew!Y87-LauderOld!Y87)</f>
        <v/>
      </c>
      <c r="Z87" s="65" t="str">
        <f>IF(LauderNew!Z87-LauderOld!Z87=0,"",LauderNew!Z87-LauderOld!Z87)</f>
        <v/>
      </c>
      <c r="AA87" s="65" t="str">
        <f>IF(LauderNew!AA87-LauderOld!AA87=0,"",LauderNew!AA87-LauderOld!AA87)</f>
        <v/>
      </c>
      <c r="AB87" s="65" t="str">
        <f>IF(LauderNew!AB87-LauderOld!AB87=0,"",LauderNew!AB87-LauderOld!AB87)</f>
        <v/>
      </c>
      <c r="AC87" s="65" t="str">
        <f>IF(LauderNew!AC87-LauderOld!AC87=0,"",LauderNew!AC87-LauderOld!AC87)</f>
        <v/>
      </c>
      <c r="AD87" s="65" t="str">
        <f>IF(LauderNew!AD87-LauderOld!AD87=0,"",LauderNew!AD87-LauderOld!AD87)</f>
        <v/>
      </c>
      <c r="AE87" s="65" t="str">
        <f>IF(LauderNew!AE87-LauderOld!AE87=0,"",LauderNew!AE87-LauderOld!AE87)</f>
        <v/>
      </c>
      <c r="AF87" s="65" t="str">
        <f>IF(LauderNew!AF87-LauderOld!AF87=0,"",LauderNew!AF87-LauderOld!AF87)</f>
        <v/>
      </c>
      <c r="AG87" s="65" t="str">
        <f>IF(LauderNew!AG87-LauderOld!AG87=0,"",LauderNew!AG87-LauderOld!AG87)</f>
        <v/>
      </c>
      <c r="AH87" s="65" t="str">
        <f>IF(LauderNew!AH87-LauderOld!AH87=0,"",LauderNew!AH87-LauderOld!AH87)</f>
        <v/>
      </c>
      <c r="AI87" s="65" t="str">
        <f>IF(LauderNew!AI87-LauderOld!AI87=0,"",LauderNew!AI87-LauderOld!AI87)</f>
        <v/>
      </c>
      <c r="AJ87" s="65" t="str">
        <f>IF(LauderNew!AJ87-LauderOld!AJ87=0,"",LauderNew!AJ87-LauderOld!AJ87)</f>
        <v/>
      </c>
      <c r="AK87" s="65" t="str">
        <f>IF(LauderNew!AK87-LauderOld!AK87=0,"",LauderNew!AK87-LauderOld!AK87)</f>
        <v/>
      </c>
      <c r="AL87" s="65" t="str">
        <f>IF(LauderNew!AL87-LauderOld!AL87=0,"",LauderNew!AL87-LauderOld!AL87)</f>
        <v/>
      </c>
      <c r="AM87" s="65" t="str">
        <f>IF(LauderNew!AM87-LauderOld!AM87=0,"",LauderNew!AM87-LauderOld!AM87)</f>
        <v/>
      </c>
      <c r="AN87" s="65" t="str">
        <f>IF(LauderNew!AN87-LauderOld!AN87=0,"",LauderNew!AN87-LauderOld!AN87)</f>
        <v/>
      </c>
      <c r="AO87" s="65" t="str">
        <f>IF(LauderNew!AO87-LauderOld!AO87=0,"",LauderNew!AO87-LauderOld!AO87)</f>
        <v/>
      </c>
      <c r="AP87" s="65" t="str">
        <f>IF(LauderNew!AP87-LauderOld!AP87=0,"",LauderNew!AP87-LauderOld!AP87)</f>
        <v/>
      </c>
      <c r="AQ87" s="65" t="str">
        <f>IF(LauderNew!AQ87-LauderOld!AQ87=0,"",LauderNew!AQ87-LauderOld!AQ87)</f>
        <v/>
      </c>
      <c r="AR87" s="65" t="str">
        <f>IF(LauderNew!AR87-LauderOld!AR87=0,"",LauderNew!AR87-LauderOld!AR87)</f>
        <v/>
      </c>
      <c r="AS87" s="65" t="str">
        <f>IF(LauderNew!AS87-LauderOld!AS87=0,"",LauderNew!AS87-LauderOld!AS87)</f>
        <v/>
      </c>
      <c r="AT87" s="65" t="str">
        <f>IF(LauderNew!AT87-LauderOld!AT87=0,"",LauderNew!AT87-LauderOld!AT87)</f>
        <v/>
      </c>
      <c r="AU87" s="65" t="str">
        <f>IF(LauderNew!AU87-LauderOld!AU87=0,"",LauderNew!AU87-LauderOld!AU87)</f>
        <v/>
      </c>
      <c r="AV87" s="65" t="str">
        <f>IF(LauderNew!AV87-LauderOld!AV87=0,"",LauderNew!AV87-LauderOld!AV87)</f>
        <v/>
      </c>
      <c r="AW87" s="65" t="str">
        <f>IF(LauderNew!AW87-LauderOld!AW87=0,"",LauderNew!AW87-LauderOld!AW87)</f>
        <v/>
      </c>
      <c r="AX87" s="65" t="str">
        <f>IF(LauderNew!AX87-LauderOld!AX87=0,"",LauderNew!AX87-LauderOld!AX87)</f>
        <v/>
      </c>
      <c r="AY87" s="65" t="str">
        <f>IF(LauderNew!AY87-LauderOld!AY87=0,"",LauderNew!AY87-LauderOld!AY87)</f>
        <v/>
      </c>
      <c r="AZ87" s="65" t="str">
        <f>IF(LauderNew!AZ87-LauderOld!AZ87=0,"",LauderNew!AZ87-LauderOld!AZ87)</f>
        <v/>
      </c>
      <c r="BA87" s="65" t="str">
        <f>IF(LauderNew!BA87-LauderOld!BA87=0,"",LauderNew!BA87-LauderOld!BA87)</f>
        <v/>
      </c>
      <c r="BB87" s="65" t="str">
        <f>IF(LauderNew!BB87-LauderOld!BB87=0,"",LauderNew!BB87-LauderOld!BB87)</f>
        <v/>
      </c>
      <c r="BC87" s="65" t="str">
        <f>IF(LauderNew!BC87-LauderOld!BC87=0,"",LauderNew!BC87-LauderOld!BC87)</f>
        <v/>
      </c>
      <c r="BD87" s="65" t="str">
        <f>IF(LauderNew!BD87-LauderOld!BD87=0,"",LauderNew!BD87-LauderOld!BD87)</f>
        <v/>
      </c>
    </row>
    <row r="88" spans="3:56" x14ac:dyDescent="0.25">
      <c r="C88" s="106"/>
      <c r="D88" s="50" t="s">
        <v>41</v>
      </c>
      <c r="E88" s="54" t="str">
        <f>IFERROR((SUM(E81:E87)*E90)/((40*(1-E89)+40)),"")</f>
        <v/>
      </c>
      <c r="F88" s="54" t="str">
        <f t="shared" ref="F88:BD88" si="22">IFERROR((SUM(F81:F87)*F90)/((40*(1-F89)+40)),"")</f>
        <v/>
      </c>
      <c r="G88" s="54" t="str">
        <f t="shared" si="22"/>
        <v/>
      </c>
      <c r="H88" s="54" t="str">
        <f t="shared" si="22"/>
        <v/>
      </c>
      <c r="I88" s="54" t="str">
        <f t="shared" si="22"/>
        <v/>
      </c>
      <c r="J88" s="54" t="str">
        <f t="shared" si="22"/>
        <v/>
      </c>
      <c r="K88" s="54" t="str">
        <f t="shared" si="22"/>
        <v/>
      </c>
      <c r="L88" s="54" t="str">
        <f t="shared" si="22"/>
        <v/>
      </c>
      <c r="M88" s="54" t="str">
        <f t="shared" si="22"/>
        <v/>
      </c>
      <c r="N88" s="54" t="str">
        <f t="shared" si="22"/>
        <v/>
      </c>
      <c r="O88" s="54" t="str">
        <f t="shared" si="22"/>
        <v/>
      </c>
      <c r="P88" s="54" t="str">
        <f t="shared" si="22"/>
        <v/>
      </c>
      <c r="Q88" s="54" t="str">
        <f t="shared" si="22"/>
        <v/>
      </c>
      <c r="R88" s="54" t="str">
        <f t="shared" si="22"/>
        <v/>
      </c>
      <c r="S88" s="54" t="str">
        <f t="shared" si="22"/>
        <v/>
      </c>
      <c r="T88" s="54" t="str">
        <f t="shared" si="22"/>
        <v/>
      </c>
      <c r="U88" s="54" t="str">
        <f t="shared" si="22"/>
        <v/>
      </c>
      <c r="V88" s="54" t="str">
        <f t="shared" si="22"/>
        <v/>
      </c>
      <c r="W88" s="54" t="str">
        <f t="shared" si="22"/>
        <v/>
      </c>
      <c r="X88" s="54" t="str">
        <f t="shared" si="22"/>
        <v/>
      </c>
      <c r="Y88" s="54" t="str">
        <f t="shared" si="22"/>
        <v/>
      </c>
      <c r="Z88" s="54" t="str">
        <f t="shared" si="22"/>
        <v/>
      </c>
      <c r="AA88" s="54" t="str">
        <f t="shared" si="22"/>
        <v/>
      </c>
      <c r="AB88" s="54" t="str">
        <f t="shared" si="22"/>
        <v/>
      </c>
      <c r="AC88" s="54" t="str">
        <f t="shared" si="22"/>
        <v/>
      </c>
      <c r="AD88" s="54" t="str">
        <f t="shared" si="22"/>
        <v/>
      </c>
      <c r="AE88" s="54" t="str">
        <f t="shared" si="22"/>
        <v/>
      </c>
      <c r="AF88" s="54" t="str">
        <f t="shared" si="22"/>
        <v/>
      </c>
      <c r="AG88" s="54" t="str">
        <f t="shared" si="22"/>
        <v/>
      </c>
      <c r="AH88" s="54" t="str">
        <f t="shared" si="22"/>
        <v/>
      </c>
      <c r="AI88" s="54" t="str">
        <f t="shared" si="22"/>
        <v/>
      </c>
      <c r="AJ88" s="54" t="str">
        <f t="shared" si="22"/>
        <v/>
      </c>
      <c r="AK88" s="54" t="str">
        <f t="shared" si="22"/>
        <v/>
      </c>
      <c r="AL88" s="54" t="str">
        <f t="shared" si="22"/>
        <v/>
      </c>
      <c r="AM88" s="54" t="str">
        <f t="shared" si="22"/>
        <v/>
      </c>
      <c r="AN88" s="54" t="str">
        <f t="shared" si="22"/>
        <v/>
      </c>
      <c r="AO88" s="54" t="str">
        <f t="shared" si="22"/>
        <v/>
      </c>
      <c r="AP88" s="54" t="str">
        <f t="shared" si="22"/>
        <v/>
      </c>
      <c r="AQ88" s="54" t="str">
        <f t="shared" si="22"/>
        <v/>
      </c>
      <c r="AR88" s="54" t="str">
        <f t="shared" si="22"/>
        <v/>
      </c>
      <c r="AS88" s="54" t="str">
        <f t="shared" si="22"/>
        <v/>
      </c>
      <c r="AT88" s="54" t="str">
        <f t="shared" si="22"/>
        <v/>
      </c>
      <c r="AU88" s="54" t="str">
        <f t="shared" si="22"/>
        <v/>
      </c>
      <c r="AV88" s="54" t="str">
        <f t="shared" si="22"/>
        <v/>
      </c>
      <c r="AW88" s="54" t="str">
        <f t="shared" si="22"/>
        <v/>
      </c>
      <c r="AX88" s="54" t="str">
        <f t="shared" si="22"/>
        <v/>
      </c>
      <c r="AY88" s="54" t="str">
        <f t="shared" si="22"/>
        <v/>
      </c>
      <c r="AZ88" s="54" t="str">
        <f t="shared" si="22"/>
        <v/>
      </c>
      <c r="BA88" s="54" t="str">
        <f t="shared" si="22"/>
        <v/>
      </c>
      <c r="BB88" s="54" t="str">
        <f t="shared" si="22"/>
        <v/>
      </c>
      <c r="BC88" s="54" t="str">
        <f t="shared" si="22"/>
        <v/>
      </c>
      <c r="BD88" s="54" t="str">
        <f t="shared" si="22"/>
        <v/>
      </c>
    </row>
    <row r="89" spans="3:56" x14ac:dyDescent="0.25">
      <c r="C89" s="106"/>
      <c r="D89" s="50" t="s">
        <v>42</v>
      </c>
      <c r="E89" s="67" t="str">
        <f>IF(LauderNew!E89-LauderOld!E89=0,"",LauderNew!E89-LauderOld!E89)</f>
        <v/>
      </c>
      <c r="F89" s="67" t="str">
        <f>IF(LauderNew!F89-LauderOld!F89=0,"",LauderNew!F89-LauderOld!F89)</f>
        <v/>
      </c>
      <c r="G89" s="67" t="str">
        <f>IF(LauderNew!G89-LauderOld!G89=0,"",LauderNew!G89-LauderOld!G89)</f>
        <v/>
      </c>
      <c r="H89" s="67" t="str">
        <f>IF(LauderNew!H89-LauderOld!H89=0,"",LauderNew!H89-LauderOld!H89)</f>
        <v/>
      </c>
      <c r="I89" s="67" t="str">
        <f>IF(LauderNew!I89-LauderOld!I89=0,"",LauderNew!I89-LauderOld!I89)</f>
        <v/>
      </c>
      <c r="J89" s="67" t="str">
        <f>IF(LauderNew!J89-LauderOld!J89=0,"",LauderNew!J89-LauderOld!J89)</f>
        <v/>
      </c>
      <c r="K89" s="67" t="str">
        <f>IF(LauderNew!K89-LauderOld!K89=0,"",LauderNew!K89-LauderOld!K89)</f>
        <v/>
      </c>
      <c r="L89" s="67" t="str">
        <f>IF(LauderNew!L89-LauderOld!L89=0,"",LauderNew!L89-LauderOld!L89)</f>
        <v/>
      </c>
      <c r="M89" s="67" t="str">
        <f>IF(LauderNew!M89-LauderOld!M89=0,"",LauderNew!M89-LauderOld!M89)</f>
        <v/>
      </c>
      <c r="N89" s="67" t="str">
        <f>IF(LauderNew!N89-LauderOld!N89=0,"",LauderNew!N89-LauderOld!N89)</f>
        <v/>
      </c>
      <c r="O89" s="67" t="str">
        <f>IF(LauderNew!O89-LauderOld!O89=0,"",LauderNew!O89-LauderOld!O89)</f>
        <v/>
      </c>
      <c r="P89" s="67" t="str">
        <f>IF(LauderNew!P89-LauderOld!P89=0,"",LauderNew!P89-LauderOld!P89)</f>
        <v/>
      </c>
      <c r="Q89" s="67" t="str">
        <f>IF(LauderNew!Q89-LauderOld!Q89=0,"",LauderNew!Q89-LauderOld!Q89)</f>
        <v/>
      </c>
      <c r="R89" s="67" t="str">
        <f>IF(LauderNew!R89-LauderOld!R89=0,"",LauderNew!R89-LauderOld!R89)</f>
        <v/>
      </c>
      <c r="S89" s="67" t="str">
        <f>IF(LauderNew!S89-LauderOld!S89=0,"",LauderNew!S89-LauderOld!S89)</f>
        <v/>
      </c>
      <c r="T89" s="67" t="str">
        <f>IF(LauderNew!T89-LauderOld!T89=0,"",LauderNew!T89-LauderOld!T89)</f>
        <v/>
      </c>
      <c r="U89" s="67" t="str">
        <f>IF(LauderNew!U89-LauderOld!U89=0,"",LauderNew!U89-LauderOld!U89)</f>
        <v/>
      </c>
      <c r="V89" s="67" t="str">
        <f>IF(LauderNew!V89-LauderOld!V89=0,"",LauderNew!V89-LauderOld!V89)</f>
        <v/>
      </c>
      <c r="W89" s="67" t="str">
        <f>IF(LauderNew!W89-LauderOld!W89=0,"",LauderNew!W89-LauderOld!W89)</f>
        <v/>
      </c>
      <c r="X89" s="67" t="str">
        <f>IF(LauderNew!X89-LauderOld!X89=0,"",LauderNew!X89-LauderOld!X89)</f>
        <v/>
      </c>
      <c r="Y89" s="67" t="str">
        <f>IF(LauderNew!Y89-LauderOld!Y89=0,"",LauderNew!Y89-LauderOld!Y89)</f>
        <v/>
      </c>
      <c r="Z89" s="67" t="str">
        <f>IF(LauderNew!Z89-LauderOld!Z89=0,"",LauderNew!Z89-LauderOld!Z89)</f>
        <v/>
      </c>
      <c r="AA89" s="67" t="str">
        <f>IF(LauderNew!AA89-LauderOld!AA89=0,"",LauderNew!AA89-LauderOld!AA89)</f>
        <v/>
      </c>
      <c r="AB89" s="67" t="str">
        <f>IF(LauderNew!AB89-LauderOld!AB89=0,"",LauderNew!AB89-LauderOld!AB89)</f>
        <v/>
      </c>
      <c r="AC89" s="67" t="str">
        <f>IF(LauderNew!AC89-LauderOld!AC89=0,"",LauderNew!AC89-LauderOld!AC89)</f>
        <v/>
      </c>
      <c r="AD89" s="67" t="str">
        <f>IF(LauderNew!AD89-LauderOld!AD89=0,"",LauderNew!AD89-LauderOld!AD89)</f>
        <v/>
      </c>
      <c r="AE89" s="67" t="str">
        <f>IF(LauderNew!AE89-LauderOld!AE89=0,"",LauderNew!AE89-LauderOld!AE89)</f>
        <v/>
      </c>
      <c r="AF89" s="67" t="str">
        <f>IF(LauderNew!AF89-LauderOld!AF89=0,"",LauderNew!AF89-LauderOld!AF89)</f>
        <v/>
      </c>
      <c r="AG89" s="67" t="str">
        <f>IF(LauderNew!AG89-LauderOld!AG89=0,"",LauderNew!AG89-LauderOld!AG89)</f>
        <v/>
      </c>
      <c r="AH89" s="67" t="str">
        <f>IF(LauderNew!AH89-LauderOld!AH89=0,"",LauderNew!AH89-LauderOld!AH89)</f>
        <v/>
      </c>
      <c r="AI89" s="67" t="str">
        <f>IF(LauderNew!AI89-LauderOld!AI89=0,"",LauderNew!AI89-LauderOld!AI89)</f>
        <v/>
      </c>
      <c r="AJ89" s="67" t="str">
        <f>IF(LauderNew!AJ89-LauderOld!AJ89=0,"",LauderNew!AJ89-LauderOld!AJ89)</f>
        <v/>
      </c>
      <c r="AK89" s="67" t="str">
        <f>IF(LauderNew!AK89-LauderOld!AK89=0,"",LauderNew!AK89-LauderOld!AK89)</f>
        <v/>
      </c>
      <c r="AL89" s="67" t="str">
        <f>IF(LauderNew!AL89-LauderOld!AL89=0,"",LauderNew!AL89-LauderOld!AL89)</f>
        <v/>
      </c>
      <c r="AM89" s="67" t="str">
        <f>IF(LauderNew!AM89-LauderOld!AM89=0,"",LauderNew!AM89-LauderOld!AM89)</f>
        <v/>
      </c>
      <c r="AN89" s="67" t="str">
        <f>IF(LauderNew!AN89-LauderOld!AN89=0,"",LauderNew!AN89-LauderOld!AN89)</f>
        <v/>
      </c>
      <c r="AO89" s="67" t="str">
        <f>IF(LauderNew!AO89-LauderOld!AO89=0,"",LauderNew!AO89-LauderOld!AO89)</f>
        <v/>
      </c>
      <c r="AP89" s="67" t="str">
        <f>IF(LauderNew!AP89-LauderOld!AP89=0,"",LauderNew!AP89-LauderOld!AP89)</f>
        <v/>
      </c>
      <c r="AQ89" s="67" t="str">
        <f>IF(LauderNew!AQ89-LauderOld!AQ89=0,"",LauderNew!AQ89-LauderOld!AQ89)</f>
        <v/>
      </c>
      <c r="AR89" s="67" t="str">
        <f>IF(LauderNew!AR89-LauderOld!AR89=0,"",LauderNew!AR89-LauderOld!AR89)</f>
        <v/>
      </c>
      <c r="AS89" s="67" t="str">
        <f>IF(LauderNew!AS89-LauderOld!AS89=0,"",LauderNew!AS89-LauderOld!AS89)</f>
        <v/>
      </c>
      <c r="AT89" s="67" t="str">
        <f>IF(LauderNew!AT89-LauderOld!AT89=0,"",LauderNew!AT89-LauderOld!AT89)</f>
        <v/>
      </c>
      <c r="AU89" s="67" t="str">
        <f>IF(LauderNew!AU89-LauderOld!AU89=0,"",LauderNew!AU89-LauderOld!AU89)</f>
        <v/>
      </c>
      <c r="AV89" s="67" t="str">
        <f>IF(LauderNew!AV89-LauderOld!AV89=0,"",LauderNew!AV89-LauderOld!AV89)</f>
        <v/>
      </c>
      <c r="AW89" s="67" t="str">
        <f>IF(LauderNew!AW89-LauderOld!AW89=0,"",LauderNew!AW89-LauderOld!AW89)</f>
        <v/>
      </c>
      <c r="AX89" s="67" t="str">
        <f>IF(LauderNew!AX89-LauderOld!AX89=0,"",LauderNew!AX89-LauderOld!AX89)</f>
        <v/>
      </c>
      <c r="AY89" s="67" t="str">
        <f>IF(LauderNew!AY89-LauderOld!AY89=0,"",LauderNew!AY89-LauderOld!AY89)</f>
        <v/>
      </c>
      <c r="AZ89" s="67" t="str">
        <f>IF(LauderNew!AZ89-LauderOld!AZ89=0,"",LauderNew!AZ89-LauderOld!AZ89)</f>
        <v/>
      </c>
      <c r="BA89" s="67" t="str">
        <f>IF(LauderNew!BA89-LauderOld!BA89=0,"",LauderNew!BA89-LauderOld!BA89)</f>
        <v/>
      </c>
      <c r="BB89" s="67" t="str">
        <f>IF(LauderNew!BB89-LauderOld!BB89=0,"",LauderNew!BB89-LauderOld!BB89)</f>
        <v/>
      </c>
      <c r="BC89" s="67" t="str">
        <f>IF(LauderNew!BC89-LauderOld!BC89=0,"",LauderNew!BC89-LauderOld!BC89)</f>
        <v/>
      </c>
      <c r="BD89" s="67" t="str">
        <f>IF(LauderNew!BD89-LauderOld!BD89=0,"",LauderNew!BD89-LauderOld!BD89)</f>
        <v/>
      </c>
    </row>
    <row r="90" spans="3:56" x14ac:dyDescent="0.25">
      <c r="C90" s="106"/>
      <c r="D90" s="50" t="s">
        <v>43</v>
      </c>
      <c r="E90" s="65" t="str">
        <f>IF(LauderNew!E90-LauderOld!E90=0,"",LauderNew!E90-LauderOld!E90)</f>
        <v/>
      </c>
      <c r="F90" s="65" t="str">
        <f>IF(LauderNew!F90-LauderOld!F90=0,"",LauderNew!F90-LauderOld!F90)</f>
        <v/>
      </c>
      <c r="G90" s="65" t="str">
        <f>IF(LauderNew!G90-LauderOld!G90=0,"",LauderNew!G90-LauderOld!G90)</f>
        <v/>
      </c>
      <c r="H90" s="65" t="str">
        <f>IF(LauderNew!H90-LauderOld!H90=0,"",LauderNew!H90-LauderOld!H90)</f>
        <v/>
      </c>
      <c r="I90" s="65" t="str">
        <f>IF(LauderNew!I90-LauderOld!I90=0,"",LauderNew!I90-LauderOld!I90)</f>
        <v/>
      </c>
      <c r="J90" s="65" t="str">
        <f>IF(LauderNew!J90-LauderOld!J90=0,"",LauderNew!J90-LauderOld!J90)</f>
        <v/>
      </c>
      <c r="K90" s="65" t="str">
        <f>IF(LauderNew!K90-LauderOld!K90=0,"",LauderNew!K90-LauderOld!K90)</f>
        <v/>
      </c>
      <c r="L90" s="65" t="str">
        <f>IF(LauderNew!L90-LauderOld!L90=0,"",LauderNew!L90-LauderOld!L90)</f>
        <v/>
      </c>
      <c r="M90" s="65" t="str">
        <f>IF(LauderNew!M90-LauderOld!M90=0,"",LauderNew!M90-LauderOld!M90)</f>
        <v/>
      </c>
      <c r="N90" s="65" t="str">
        <f>IF(LauderNew!N90-LauderOld!N90=0,"",LauderNew!N90-LauderOld!N90)</f>
        <v/>
      </c>
      <c r="O90" s="65" t="str">
        <f>IF(LauderNew!O90-LauderOld!O90=0,"",LauderNew!O90-LauderOld!O90)</f>
        <v/>
      </c>
      <c r="P90" s="65" t="str">
        <f>IF(LauderNew!P90-LauderOld!P90=0,"",LauderNew!P90-LauderOld!P90)</f>
        <v/>
      </c>
      <c r="Q90" s="65" t="str">
        <f>IF(LauderNew!Q90-LauderOld!Q90=0,"",LauderNew!Q90-LauderOld!Q90)</f>
        <v/>
      </c>
      <c r="R90" s="65" t="str">
        <f>IF(LauderNew!R90-LauderOld!R90=0,"",LauderNew!R90-LauderOld!R90)</f>
        <v/>
      </c>
      <c r="S90" s="65" t="str">
        <f>IF(LauderNew!S90-LauderOld!S90=0,"",LauderNew!S90-LauderOld!S90)</f>
        <v/>
      </c>
      <c r="T90" s="65" t="str">
        <f>IF(LauderNew!T90-LauderOld!T90=0,"",LauderNew!T90-LauderOld!T90)</f>
        <v/>
      </c>
      <c r="U90" s="65" t="str">
        <f>IF(LauderNew!U90-LauderOld!U90=0,"",LauderNew!U90-LauderOld!U90)</f>
        <v/>
      </c>
      <c r="V90" s="65" t="str">
        <f>IF(LauderNew!V90-LauderOld!V90=0,"",LauderNew!V90-LauderOld!V90)</f>
        <v/>
      </c>
      <c r="W90" s="65" t="str">
        <f>IF(LauderNew!W90-LauderOld!W90=0,"",LauderNew!W90-LauderOld!W90)</f>
        <v/>
      </c>
      <c r="X90" s="65" t="str">
        <f>IF(LauderNew!X90-LauderOld!X90=0,"",LauderNew!X90-LauderOld!X90)</f>
        <v/>
      </c>
      <c r="Y90" s="65" t="str">
        <f>IF(LauderNew!Y90-LauderOld!Y90=0,"",LauderNew!Y90-LauderOld!Y90)</f>
        <v/>
      </c>
      <c r="Z90" s="65" t="str">
        <f>IF(LauderNew!Z90-LauderOld!Z90=0,"",LauderNew!Z90-LauderOld!Z90)</f>
        <v/>
      </c>
      <c r="AA90" s="65" t="str">
        <f>IF(LauderNew!AA90-LauderOld!AA90=0,"",LauderNew!AA90-LauderOld!AA90)</f>
        <v/>
      </c>
      <c r="AB90" s="65" t="str">
        <f>IF(LauderNew!AB90-LauderOld!AB90=0,"",LauderNew!AB90-LauderOld!AB90)</f>
        <v/>
      </c>
      <c r="AC90" s="65" t="str">
        <f>IF(LauderNew!AC90-LauderOld!AC90=0,"",LauderNew!AC90-LauderOld!AC90)</f>
        <v/>
      </c>
      <c r="AD90" s="65" t="str">
        <f>IF(LauderNew!AD90-LauderOld!AD90=0,"",LauderNew!AD90-LauderOld!AD90)</f>
        <v/>
      </c>
      <c r="AE90" s="65" t="str">
        <f>IF(LauderNew!AE90-LauderOld!AE90=0,"",LauderNew!AE90-LauderOld!AE90)</f>
        <v/>
      </c>
      <c r="AF90" s="65" t="str">
        <f>IF(LauderNew!AF90-LauderOld!AF90=0,"",LauderNew!AF90-LauderOld!AF90)</f>
        <v/>
      </c>
      <c r="AG90" s="65" t="str">
        <f>IF(LauderNew!AG90-LauderOld!AG90=0,"",LauderNew!AG90-LauderOld!AG90)</f>
        <v/>
      </c>
      <c r="AH90" s="65" t="str">
        <f>IF(LauderNew!AH90-LauderOld!AH90=0,"",LauderNew!AH90-LauderOld!AH90)</f>
        <v/>
      </c>
      <c r="AI90" s="65" t="str">
        <f>IF(LauderNew!AI90-LauderOld!AI90=0,"",LauderNew!AI90-LauderOld!AI90)</f>
        <v/>
      </c>
      <c r="AJ90" s="65" t="str">
        <f>IF(LauderNew!AJ90-LauderOld!AJ90=0,"",LauderNew!AJ90-LauderOld!AJ90)</f>
        <v/>
      </c>
      <c r="AK90" s="65" t="str">
        <f>IF(LauderNew!AK90-LauderOld!AK90=0,"",LauderNew!AK90-LauderOld!AK90)</f>
        <v/>
      </c>
      <c r="AL90" s="65" t="str">
        <f>IF(LauderNew!AL90-LauderOld!AL90=0,"",LauderNew!AL90-LauderOld!AL90)</f>
        <v/>
      </c>
      <c r="AM90" s="65" t="str">
        <f>IF(LauderNew!AM90-LauderOld!AM90=0,"",LauderNew!AM90-LauderOld!AM90)</f>
        <v/>
      </c>
      <c r="AN90" s="65" t="str">
        <f>IF(LauderNew!AN90-LauderOld!AN90=0,"",LauderNew!AN90-LauderOld!AN90)</f>
        <v/>
      </c>
      <c r="AO90" s="65" t="str">
        <f>IF(LauderNew!AO90-LauderOld!AO90=0,"",LauderNew!AO90-LauderOld!AO90)</f>
        <v/>
      </c>
      <c r="AP90" s="65" t="str">
        <f>IF(LauderNew!AP90-LauderOld!AP90=0,"",LauderNew!AP90-LauderOld!AP90)</f>
        <v/>
      </c>
      <c r="AQ90" s="65" t="str">
        <f>IF(LauderNew!AQ90-LauderOld!AQ90=0,"",LauderNew!AQ90-LauderOld!AQ90)</f>
        <v/>
      </c>
      <c r="AR90" s="65" t="str">
        <f>IF(LauderNew!AR90-LauderOld!AR90=0,"",LauderNew!AR90-LauderOld!AR90)</f>
        <v/>
      </c>
      <c r="AS90" s="65" t="str">
        <f>IF(LauderNew!AS90-LauderOld!AS90=0,"",LauderNew!AS90-LauderOld!AS90)</f>
        <v/>
      </c>
      <c r="AT90" s="65" t="str">
        <f>IF(LauderNew!AT90-LauderOld!AT90=0,"",LauderNew!AT90-LauderOld!AT90)</f>
        <v/>
      </c>
      <c r="AU90" s="65" t="str">
        <f>IF(LauderNew!AU90-LauderOld!AU90=0,"",LauderNew!AU90-LauderOld!AU90)</f>
        <v/>
      </c>
      <c r="AV90" s="65" t="str">
        <f>IF(LauderNew!AV90-LauderOld!AV90=0,"",LauderNew!AV90-LauderOld!AV90)</f>
        <v/>
      </c>
      <c r="AW90" s="65" t="str">
        <f>IF(LauderNew!AW90-LauderOld!AW90=0,"",LauderNew!AW90-LauderOld!AW90)</f>
        <v/>
      </c>
      <c r="AX90" s="65" t="str">
        <f>IF(LauderNew!AX90-LauderOld!AX90=0,"",LauderNew!AX90-LauderOld!AX90)</f>
        <v/>
      </c>
      <c r="AY90" s="65" t="str">
        <f>IF(LauderNew!AY90-LauderOld!AY90=0,"",LauderNew!AY90-LauderOld!AY90)</f>
        <v/>
      </c>
      <c r="AZ90" s="65" t="str">
        <f>IF(LauderNew!AZ90-LauderOld!AZ90=0,"",LauderNew!AZ90-LauderOld!AZ90)</f>
        <v/>
      </c>
      <c r="BA90" s="65" t="str">
        <f>IF(LauderNew!BA90-LauderOld!BA90=0,"",LauderNew!BA90-LauderOld!BA90)</f>
        <v/>
      </c>
      <c r="BB90" s="65" t="str">
        <f>IF(LauderNew!BB90-LauderOld!BB90=0,"",LauderNew!BB90-LauderOld!BB90)</f>
        <v/>
      </c>
      <c r="BC90" s="65" t="str">
        <f>IF(LauderNew!BC90-LauderOld!BC90=0,"",LauderNew!BC90-LauderOld!BC90)</f>
        <v/>
      </c>
      <c r="BD90" s="65" t="str">
        <f>IF(LauderNew!BD90-LauderOld!BD90=0,"",LauderNew!BD90-LauderOld!BD90)</f>
        <v/>
      </c>
    </row>
    <row r="91" spans="3:56" x14ac:dyDescent="0.25">
      <c r="C91" s="106"/>
      <c r="D91" s="51" t="s">
        <v>44</v>
      </c>
      <c r="E91" s="61">
        <f t="shared" ref="E91:L91" si="23">SUM(E81:E88)</f>
        <v>0</v>
      </c>
      <c r="F91" s="61">
        <f t="shared" si="23"/>
        <v>0</v>
      </c>
      <c r="G91" s="61">
        <f t="shared" si="23"/>
        <v>0</v>
      </c>
      <c r="H91" s="61">
        <f t="shared" si="23"/>
        <v>0</v>
      </c>
      <c r="I91" s="61">
        <f t="shared" si="23"/>
        <v>0</v>
      </c>
      <c r="J91" s="61">
        <f t="shared" si="23"/>
        <v>0</v>
      </c>
      <c r="K91" s="61">
        <f t="shared" si="23"/>
        <v>0</v>
      </c>
      <c r="L91" s="61">
        <f t="shared" si="23"/>
        <v>0</v>
      </c>
      <c r="M91" s="61">
        <f t="shared" ref="M91:BD91" si="24">SUM(M81:M88)</f>
        <v>0</v>
      </c>
      <c r="N91" s="61">
        <f t="shared" si="24"/>
        <v>0</v>
      </c>
      <c r="O91" s="61">
        <f t="shared" si="24"/>
        <v>0</v>
      </c>
      <c r="P91" s="61">
        <f t="shared" si="24"/>
        <v>0</v>
      </c>
      <c r="Q91" s="61">
        <f t="shared" si="24"/>
        <v>0</v>
      </c>
      <c r="R91" s="61">
        <f t="shared" si="24"/>
        <v>0</v>
      </c>
      <c r="S91" s="61">
        <f t="shared" si="24"/>
        <v>0</v>
      </c>
      <c r="T91" s="61">
        <f t="shared" si="24"/>
        <v>0</v>
      </c>
      <c r="U91" s="61">
        <f t="shared" si="24"/>
        <v>0</v>
      </c>
      <c r="V91" s="61">
        <f t="shared" si="24"/>
        <v>0</v>
      </c>
      <c r="W91" s="61">
        <f t="shared" si="24"/>
        <v>0</v>
      </c>
      <c r="X91" s="61">
        <f t="shared" si="24"/>
        <v>0</v>
      </c>
      <c r="Y91" s="61">
        <f t="shared" si="24"/>
        <v>0</v>
      </c>
      <c r="Z91" s="61">
        <f t="shared" si="24"/>
        <v>0</v>
      </c>
      <c r="AA91" s="61">
        <f t="shared" si="24"/>
        <v>0</v>
      </c>
      <c r="AB91" s="61">
        <f t="shared" si="24"/>
        <v>0</v>
      </c>
      <c r="AC91" s="61">
        <f t="shared" si="24"/>
        <v>0</v>
      </c>
      <c r="AD91" s="61">
        <f t="shared" si="24"/>
        <v>0</v>
      </c>
      <c r="AE91" s="61">
        <f t="shared" si="24"/>
        <v>0</v>
      </c>
      <c r="AF91" s="61">
        <f t="shared" si="24"/>
        <v>0</v>
      </c>
      <c r="AG91" s="61">
        <f t="shared" si="24"/>
        <v>0</v>
      </c>
      <c r="AH91" s="61">
        <f t="shared" si="24"/>
        <v>0</v>
      </c>
      <c r="AI91" s="61">
        <f t="shared" si="24"/>
        <v>0</v>
      </c>
      <c r="AJ91" s="61">
        <f t="shared" si="24"/>
        <v>0</v>
      </c>
      <c r="AK91" s="61">
        <f t="shared" si="24"/>
        <v>0</v>
      </c>
      <c r="AL91" s="61">
        <f t="shared" si="24"/>
        <v>0</v>
      </c>
      <c r="AM91" s="61">
        <f t="shared" si="24"/>
        <v>0</v>
      </c>
      <c r="AN91" s="61">
        <f t="shared" si="24"/>
        <v>0</v>
      </c>
      <c r="AO91" s="61">
        <f t="shared" si="24"/>
        <v>0</v>
      </c>
      <c r="AP91" s="61">
        <f t="shared" si="24"/>
        <v>0</v>
      </c>
      <c r="AQ91" s="61">
        <f t="shared" si="24"/>
        <v>0</v>
      </c>
      <c r="AR91" s="61">
        <f t="shared" si="24"/>
        <v>0</v>
      </c>
      <c r="AS91" s="61">
        <f t="shared" si="24"/>
        <v>0</v>
      </c>
      <c r="AT91" s="61">
        <f t="shared" si="24"/>
        <v>0</v>
      </c>
      <c r="AU91" s="61">
        <f t="shared" si="24"/>
        <v>0</v>
      </c>
      <c r="AV91" s="61">
        <f t="shared" si="24"/>
        <v>0</v>
      </c>
      <c r="AW91" s="61">
        <f t="shared" si="24"/>
        <v>0</v>
      </c>
      <c r="AX91" s="61">
        <f t="shared" si="24"/>
        <v>0</v>
      </c>
      <c r="AY91" s="61">
        <f t="shared" si="24"/>
        <v>0</v>
      </c>
      <c r="AZ91" s="61">
        <f t="shared" si="24"/>
        <v>0</v>
      </c>
      <c r="BA91" s="61">
        <f t="shared" si="24"/>
        <v>0</v>
      </c>
      <c r="BB91" s="61">
        <f t="shared" si="24"/>
        <v>0</v>
      </c>
      <c r="BC91" s="61">
        <f t="shared" si="24"/>
        <v>0</v>
      </c>
      <c r="BD91" s="61">
        <f t="shared" si="24"/>
        <v>0</v>
      </c>
    </row>
    <row r="92" spans="3:56" x14ac:dyDescent="0.25">
      <c r="C92" s="106"/>
      <c r="D92" s="52" t="s">
        <v>45</v>
      </c>
      <c r="E92" s="56" t="str">
        <f>IFERROR(E91-E79,"")</f>
        <v/>
      </c>
      <c r="F92" s="56" t="str">
        <f t="shared" ref="F92:BD92" si="25">IFERROR(F91-F79,"")</f>
        <v/>
      </c>
      <c r="G92" s="56" t="str">
        <f t="shared" si="25"/>
        <v/>
      </c>
      <c r="H92" s="56" t="str">
        <f t="shared" si="25"/>
        <v/>
      </c>
      <c r="I92" s="56" t="str">
        <f t="shared" si="25"/>
        <v/>
      </c>
      <c r="J92" s="56" t="str">
        <f t="shared" si="25"/>
        <v/>
      </c>
      <c r="K92" s="56" t="str">
        <f t="shared" si="25"/>
        <v/>
      </c>
      <c r="L92" s="56" t="str">
        <f t="shared" si="25"/>
        <v/>
      </c>
      <c r="M92" s="56" t="str">
        <f t="shared" si="25"/>
        <v/>
      </c>
      <c r="N92" s="56" t="str">
        <f t="shared" si="25"/>
        <v/>
      </c>
      <c r="O92" s="56" t="str">
        <f t="shared" si="25"/>
        <v/>
      </c>
      <c r="P92" s="56" t="str">
        <f t="shared" si="25"/>
        <v/>
      </c>
      <c r="Q92" s="56" t="str">
        <f t="shared" si="25"/>
        <v/>
      </c>
      <c r="R92" s="56" t="str">
        <f t="shared" si="25"/>
        <v/>
      </c>
      <c r="S92" s="56" t="str">
        <f t="shared" si="25"/>
        <v/>
      </c>
      <c r="T92" s="56" t="str">
        <f t="shared" si="25"/>
        <v/>
      </c>
      <c r="U92" s="56" t="str">
        <f t="shared" si="25"/>
        <v/>
      </c>
      <c r="V92" s="56" t="str">
        <f t="shared" si="25"/>
        <v/>
      </c>
      <c r="W92" s="56" t="str">
        <f t="shared" si="25"/>
        <v/>
      </c>
      <c r="X92" s="56" t="str">
        <f t="shared" si="25"/>
        <v/>
      </c>
      <c r="Y92" s="56">
        <f t="shared" si="25"/>
        <v>0.64376653439153841</v>
      </c>
      <c r="Z92" s="56" t="str">
        <f t="shared" si="25"/>
        <v/>
      </c>
      <c r="AA92" s="56" t="str">
        <f t="shared" si="25"/>
        <v/>
      </c>
      <c r="AB92" s="56" t="str">
        <f t="shared" si="25"/>
        <v/>
      </c>
      <c r="AC92" s="56" t="str">
        <f t="shared" si="25"/>
        <v/>
      </c>
      <c r="AD92" s="56" t="str">
        <f t="shared" si="25"/>
        <v/>
      </c>
      <c r="AE92" s="56" t="str">
        <f t="shared" si="25"/>
        <v/>
      </c>
      <c r="AF92" s="56" t="str">
        <f t="shared" si="25"/>
        <v/>
      </c>
      <c r="AG92" s="56" t="str">
        <f t="shared" si="25"/>
        <v/>
      </c>
      <c r="AH92" s="56" t="str">
        <f t="shared" si="25"/>
        <v/>
      </c>
      <c r="AI92" s="56" t="str">
        <f t="shared" si="25"/>
        <v/>
      </c>
      <c r="AJ92" s="56" t="str">
        <f t="shared" si="25"/>
        <v/>
      </c>
      <c r="AK92" s="56" t="str">
        <f t="shared" si="25"/>
        <v/>
      </c>
      <c r="AL92" s="56" t="str">
        <f t="shared" si="25"/>
        <v/>
      </c>
      <c r="AM92" s="56" t="str">
        <f t="shared" si="25"/>
        <v/>
      </c>
      <c r="AN92" s="56" t="str">
        <f t="shared" si="25"/>
        <v/>
      </c>
      <c r="AO92" s="56" t="str">
        <f t="shared" si="25"/>
        <v/>
      </c>
      <c r="AP92" s="56" t="str">
        <f t="shared" si="25"/>
        <v/>
      </c>
      <c r="AQ92" s="56" t="str">
        <f t="shared" si="25"/>
        <v/>
      </c>
      <c r="AR92" s="56" t="str">
        <f t="shared" si="25"/>
        <v/>
      </c>
      <c r="AS92" s="56" t="str">
        <f t="shared" si="25"/>
        <v/>
      </c>
      <c r="AT92" s="56" t="str">
        <f t="shared" si="25"/>
        <v/>
      </c>
      <c r="AU92" s="56" t="str">
        <f t="shared" si="25"/>
        <v/>
      </c>
      <c r="AV92" s="56" t="str">
        <f t="shared" si="25"/>
        <v/>
      </c>
      <c r="AW92" s="56" t="str">
        <f t="shared" si="25"/>
        <v/>
      </c>
      <c r="AX92" s="56" t="str">
        <f t="shared" si="25"/>
        <v/>
      </c>
      <c r="AY92" s="56" t="str">
        <f t="shared" si="25"/>
        <v/>
      </c>
      <c r="AZ92" s="56" t="str">
        <f t="shared" si="25"/>
        <v/>
      </c>
      <c r="BA92" s="56" t="str">
        <f t="shared" si="25"/>
        <v/>
      </c>
      <c r="BB92" s="56" t="str">
        <f t="shared" si="25"/>
        <v/>
      </c>
      <c r="BC92" s="56" t="str">
        <f t="shared" si="25"/>
        <v/>
      </c>
      <c r="BD92" s="56" t="str">
        <f t="shared" si="25"/>
        <v/>
      </c>
    </row>
    <row r="93" spans="3:56" x14ac:dyDescent="0.25">
      <c r="C93" s="48"/>
      <c r="D93" s="52"/>
      <c r="E93" s="56"/>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row>
    <row r="94" spans="3:56" ht="15.75" thickBot="1" x14ac:dyDescent="0.3">
      <c r="C94" s="48"/>
      <c r="D94" s="46" t="s">
        <v>55</v>
      </c>
      <c r="E94" s="82">
        <f>E74</f>
        <v>44569</v>
      </c>
      <c r="F94" s="82">
        <f t="shared" ref="F94:BD94" si="26">F74</f>
        <v>44576</v>
      </c>
      <c r="G94" s="82">
        <f t="shared" si="26"/>
        <v>44583</v>
      </c>
      <c r="H94" s="82">
        <f t="shared" si="26"/>
        <v>44590</v>
      </c>
      <c r="I94" s="82">
        <f t="shared" si="26"/>
        <v>44597</v>
      </c>
      <c r="J94" s="82">
        <f t="shared" si="26"/>
        <v>44604</v>
      </c>
      <c r="K94" s="82">
        <f t="shared" si="26"/>
        <v>44611</v>
      </c>
      <c r="L94" s="82">
        <f t="shared" si="26"/>
        <v>44618</v>
      </c>
      <c r="M94" s="82">
        <f t="shared" si="26"/>
        <v>44625</v>
      </c>
      <c r="N94" s="82">
        <f t="shared" si="26"/>
        <v>44632</v>
      </c>
      <c r="O94" s="82">
        <f t="shared" si="26"/>
        <v>44639</v>
      </c>
      <c r="P94" s="82">
        <f t="shared" si="26"/>
        <v>44646</v>
      </c>
      <c r="Q94" s="82">
        <f t="shared" si="26"/>
        <v>44653</v>
      </c>
      <c r="R94" s="82">
        <f t="shared" si="26"/>
        <v>44660</v>
      </c>
      <c r="S94" s="82">
        <f t="shared" si="26"/>
        <v>44667</v>
      </c>
      <c r="T94" s="82">
        <f t="shared" si="26"/>
        <v>44674</v>
      </c>
      <c r="U94" s="82">
        <f t="shared" si="26"/>
        <v>44681</v>
      </c>
      <c r="V94" s="82">
        <f t="shared" si="26"/>
        <v>44688</v>
      </c>
      <c r="W94" s="82">
        <f t="shared" si="26"/>
        <v>44695</v>
      </c>
      <c r="X94" s="82">
        <f t="shared" si="26"/>
        <v>44702</v>
      </c>
      <c r="Y94" s="82">
        <f t="shared" si="26"/>
        <v>44709</v>
      </c>
      <c r="Z94" s="82">
        <f t="shared" si="26"/>
        <v>44716</v>
      </c>
      <c r="AA94" s="82">
        <f t="shared" si="26"/>
        <v>44723</v>
      </c>
      <c r="AB94" s="82">
        <f t="shared" si="26"/>
        <v>44730</v>
      </c>
      <c r="AC94" s="82">
        <f t="shared" si="26"/>
        <v>44737</v>
      </c>
      <c r="AD94" s="82">
        <f t="shared" si="26"/>
        <v>44744</v>
      </c>
      <c r="AE94" s="82">
        <f t="shared" si="26"/>
        <v>44751</v>
      </c>
      <c r="AF94" s="82">
        <f t="shared" si="26"/>
        <v>44758</v>
      </c>
      <c r="AG94" s="82">
        <f t="shared" si="26"/>
        <v>44765</v>
      </c>
      <c r="AH94" s="82">
        <f t="shared" si="26"/>
        <v>44772</v>
      </c>
      <c r="AI94" s="82">
        <f t="shared" si="26"/>
        <v>44779</v>
      </c>
      <c r="AJ94" s="82">
        <f t="shared" si="26"/>
        <v>44786</v>
      </c>
      <c r="AK94" s="82">
        <f t="shared" si="26"/>
        <v>44793</v>
      </c>
      <c r="AL94" s="82">
        <f t="shared" si="26"/>
        <v>44800</v>
      </c>
      <c r="AM94" s="82">
        <f t="shared" si="26"/>
        <v>44807</v>
      </c>
      <c r="AN94" s="82">
        <f t="shared" si="26"/>
        <v>44814</v>
      </c>
      <c r="AO94" s="82">
        <f t="shared" si="26"/>
        <v>44821</v>
      </c>
      <c r="AP94" s="82">
        <f t="shared" si="26"/>
        <v>44828</v>
      </c>
      <c r="AQ94" s="82">
        <f t="shared" si="26"/>
        <v>44835</v>
      </c>
      <c r="AR94" s="82">
        <f t="shared" si="26"/>
        <v>44842</v>
      </c>
      <c r="AS94" s="82">
        <f t="shared" si="26"/>
        <v>44849</v>
      </c>
      <c r="AT94" s="82">
        <f t="shared" si="26"/>
        <v>44856</v>
      </c>
      <c r="AU94" s="82">
        <f t="shared" si="26"/>
        <v>44863</v>
      </c>
      <c r="AV94" s="82">
        <f t="shared" si="26"/>
        <v>44870</v>
      </c>
      <c r="AW94" s="82">
        <f t="shared" si="26"/>
        <v>44877</v>
      </c>
      <c r="AX94" s="82">
        <f t="shared" si="26"/>
        <v>44884</v>
      </c>
      <c r="AY94" s="82">
        <f t="shared" si="26"/>
        <v>44891</v>
      </c>
      <c r="AZ94" s="82">
        <f t="shared" si="26"/>
        <v>44898</v>
      </c>
      <c r="BA94" s="82">
        <f t="shared" si="26"/>
        <v>44905</v>
      </c>
      <c r="BB94" s="82">
        <f t="shared" si="26"/>
        <v>44912</v>
      </c>
      <c r="BC94" s="82">
        <f t="shared" si="26"/>
        <v>44919</v>
      </c>
      <c r="BD94" s="82">
        <f t="shared" si="26"/>
        <v>44926</v>
      </c>
    </row>
    <row r="95" spans="3:56" ht="15" customHeight="1" x14ac:dyDescent="0.25">
      <c r="C95" s="111" t="s">
        <v>56</v>
      </c>
      <c r="D95" s="52"/>
      <c r="E95" s="56"/>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row>
    <row r="96" spans="3:56" x14ac:dyDescent="0.25">
      <c r="C96" s="106"/>
      <c r="D96" s="41" t="s">
        <v>33</v>
      </c>
      <c r="E96" s="83" t="str">
        <f>IF(LauderNew!E96-LauderOld!E96=0,"",LauderNew!E96-LauderOld!E96)</f>
        <v/>
      </c>
      <c r="F96" s="83" t="str">
        <f>IF(LauderNew!F96-LauderOld!F96=0,"",LauderNew!F96-LauderOld!F96)</f>
        <v/>
      </c>
      <c r="G96" s="83" t="str">
        <f>IF(LauderNew!G96-LauderOld!G96=0,"",LauderNew!G96-LauderOld!G96)</f>
        <v/>
      </c>
      <c r="H96" s="83" t="str">
        <f>IF(LauderNew!H96-LauderOld!H96=0,"",LauderNew!H96-LauderOld!H96)</f>
        <v/>
      </c>
      <c r="I96" s="83" t="str">
        <f>IF(LauderNew!I96-LauderOld!I96=0,"",LauderNew!I96-LauderOld!I96)</f>
        <v/>
      </c>
      <c r="J96" s="83" t="str">
        <f>IF(LauderNew!J96-LauderOld!J96=0,"",LauderNew!J96-LauderOld!J96)</f>
        <v/>
      </c>
      <c r="K96" s="83" t="str">
        <f>IF(LauderNew!K96-LauderOld!K96=0,"",LauderNew!K96-LauderOld!K96)</f>
        <v/>
      </c>
      <c r="L96" s="83" t="str">
        <f>IF(LauderNew!L96-LauderOld!L96=0,"",LauderNew!L96-LauderOld!L96)</f>
        <v/>
      </c>
      <c r="M96" s="83" t="str">
        <f>IF(LauderNew!M96-LauderOld!M96=0,"",LauderNew!M96-LauderOld!M96)</f>
        <v/>
      </c>
      <c r="N96" s="83" t="str">
        <f>IF(LauderNew!N96-LauderOld!N96=0,"",LauderNew!N96-LauderOld!N96)</f>
        <v/>
      </c>
      <c r="O96" s="83" t="str">
        <f>IF(LauderNew!O96-LauderOld!O96=0,"",LauderNew!O96-LauderOld!O96)</f>
        <v/>
      </c>
      <c r="P96" s="83" t="str">
        <f>IF(LauderNew!P96-LauderOld!P96=0,"",LauderNew!P96-LauderOld!P96)</f>
        <v/>
      </c>
      <c r="Q96" s="83" t="str">
        <f>IF(LauderNew!Q96-LauderOld!Q96=0,"",LauderNew!Q96-LauderOld!Q96)</f>
        <v/>
      </c>
      <c r="R96" s="83" t="str">
        <f>IF(LauderNew!R96-LauderOld!R96=0,"",LauderNew!R96-LauderOld!R96)</f>
        <v/>
      </c>
      <c r="S96" s="83" t="str">
        <f>IF(LauderNew!S96-LauderOld!S96=0,"",LauderNew!S96-LauderOld!S96)</f>
        <v/>
      </c>
      <c r="T96" s="83" t="str">
        <f>IF(LauderNew!T96-LauderOld!T96=0,"",LauderNew!T96-LauderOld!T96)</f>
        <v/>
      </c>
      <c r="U96" s="83" t="str">
        <f>IF(LauderNew!U96-LauderOld!U96=0,"",LauderNew!U96-LauderOld!U96)</f>
        <v/>
      </c>
      <c r="V96" s="83" t="str">
        <f>IF(LauderNew!V96-LauderOld!V96=0,"",LauderNew!V96-LauderOld!V96)</f>
        <v/>
      </c>
      <c r="W96" s="83" t="str">
        <f>IF(LauderNew!W96-LauderOld!W96=0,"",LauderNew!W96-LauderOld!W96)</f>
        <v/>
      </c>
      <c r="X96" s="83" t="str">
        <f>IF(LauderNew!X96-LauderOld!X96=0,"",LauderNew!X96-LauderOld!X96)</f>
        <v/>
      </c>
      <c r="Y96" s="83" t="str">
        <f>IF(LauderNew!Y96-LauderOld!Y96=0,"",LauderNew!Y96-LauderOld!Y96)</f>
        <v/>
      </c>
      <c r="Z96" s="83" t="str">
        <f>IF(LauderNew!Z96-LauderOld!Z96=0,"",LauderNew!Z96-LauderOld!Z96)</f>
        <v/>
      </c>
      <c r="AA96" s="83" t="str">
        <f>IF(LauderNew!AA96-LauderOld!AA96=0,"",LauderNew!AA96-LauderOld!AA96)</f>
        <v/>
      </c>
      <c r="AB96" s="83" t="str">
        <f>IF(LauderNew!AB96-LauderOld!AB96=0,"",LauderNew!AB96-LauderOld!AB96)</f>
        <v/>
      </c>
      <c r="AC96" s="83" t="str">
        <f>IF(LauderNew!AC96-LauderOld!AC96=0,"",LauderNew!AC96-LauderOld!AC96)</f>
        <v/>
      </c>
      <c r="AD96" s="83" t="str">
        <f>IF(LauderNew!AD96-LauderOld!AD96=0,"",LauderNew!AD96-LauderOld!AD96)</f>
        <v/>
      </c>
      <c r="AE96" s="83" t="str">
        <f>IF(LauderNew!AE96-LauderOld!AE96=0,"",LauderNew!AE96-LauderOld!AE96)</f>
        <v/>
      </c>
      <c r="AF96" s="83" t="str">
        <f>IF(LauderNew!AF96-LauderOld!AF96=0,"",LauderNew!AF96-LauderOld!AF96)</f>
        <v/>
      </c>
      <c r="AG96" s="83" t="str">
        <f>IF(LauderNew!AG96-LauderOld!AG96=0,"",LauderNew!AG96-LauderOld!AG96)</f>
        <v/>
      </c>
      <c r="AH96" s="83" t="str">
        <f>IF(LauderNew!AH96-LauderOld!AH96=0,"",LauderNew!AH96-LauderOld!AH96)</f>
        <v/>
      </c>
      <c r="AI96" s="83" t="str">
        <f>IF(LauderNew!AI96-LauderOld!AI96=0,"",LauderNew!AI96-LauderOld!AI96)</f>
        <v/>
      </c>
      <c r="AJ96" s="83" t="str">
        <f>IF(LauderNew!AJ96-LauderOld!AJ96=0,"",LauderNew!AJ96-LauderOld!AJ96)</f>
        <v/>
      </c>
      <c r="AK96" s="83" t="str">
        <f>IF(LauderNew!AK96-LauderOld!AK96=0,"",LauderNew!AK96-LauderOld!AK96)</f>
        <v/>
      </c>
      <c r="AL96" s="83" t="str">
        <f>IF(LauderNew!AL96-LauderOld!AL96=0,"",LauderNew!AL96-LauderOld!AL96)</f>
        <v/>
      </c>
      <c r="AM96" s="83" t="str">
        <f>IF(LauderNew!AM96-LauderOld!AM96=0,"",LauderNew!AM96-LauderOld!AM96)</f>
        <v/>
      </c>
      <c r="AN96" s="83" t="str">
        <f>IF(LauderNew!AN96-LauderOld!AN96=0,"",LauderNew!AN96-LauderOld!AN96)</f>
        <v/>
      </c>
      <c r="AO96" s="83" t="str">
        <f>IF(LauderNew!AO96-LauderOld!AO96=0,"",LauderNew!AO96-LauderOld!AO96)</f>
        <v/>
      </c>
      <c r="AP96" s="83" t="str">
        <f>IF(LauderNew!AP96-LauderOld!AP96=0,"",LauderNew!AP96-LauderOld!AP96)</f>
        <v/>
      </c>
      <c r="AQ96" s="83" t="str">
        <f>IF(LauderNew!AQ96-LauderOld!AQ96=0,"",LauderNew!AQ96-LauderOld!AQ96)</f>
        <v/>
      </c>
      <c r="AR96" s="83" t="str">
        <f>IF(LauderNew!AR96-LauderOld!AR96=0,"",LauderNew!AR96-LauderOld!AR96)</f>
        <v/>
      </c>
      <c r="AS96" s="83" t="str">
        <f>IF(LauderNew!AS96-LauderOld!AS96=0,"",LauderNew!AS96-LauderOld!AS96)</f>
        <v/>
      </c>
      <c r="AT96" s="83" t="str">
        <f>IF(LauderNew!AT96-LauderOld!AT96=0,"",LauderNew!AT96-LauderOld!AT96)</f>
        <v/>
      </c>
      <c r="AU96" s="83" t="str">
        <f>IF(LauderNew!AU96-LauderOld!AU96=0,"",LauderNew!AU96-LauderOld!AU96)</f>
        <v/>
      </c>
      <c r="AV96" s="83" t="str">
        <f>IF(LauderNew!AV96-LauderOld!AV96=0,"",LauderNew!AV96-LauderOld!AV96)</f>
        <v/>
      </c>
      <c r="AW96" s="83" t="str">
        <f>IF(LauderNew!AW96-LauderOld!AW96=0,"",LauderNew!AW96-LauderOld!AW96)</f>
        <v/>
      </c>
      <c r="AX96" s="83" t="str">
        <f>IF(LauderNew!AX96-LauderOld!AX96=0,"",LauderNew!AX96-LauderOld!AX96)</f>
        <v/>
      </c>
      <c r="AY96" s="83" t="str">
        <f>IF(LauderNew!AY96-LauderOld!AY96=0,"",LauderNew!AY96-LauderOld!AY96)</f>
        <v/>
      </c>
      <c r="AZ96" s="83" t="str">
        <f>IF(LauderNew!AZ96-LauderOld!AZ96=0,"",LauderNew!AZ96-LauderOld!AZ96)</f>
        <v/>
      </c>
      <c r="BA96" s="83" t="str">
        <f>IF(LauderNew!BA96-LauderOld!BA96=0,"",LauderNew!BA96-LauderOld!BA96)</f>
        <v/>
      </c>
      <c r="BB96" s="83" t="str">
        <f>IF(LauderNew!BB96-LauderOld!BB96=0,"",LauderNew!BB96-LauderOld!BB96)</f>
        <v/>
      </c>
      <c r="BC96" s="83" t="str">
        <f>IF(LauderNew!BC96-LauderOld!BC96=0,"",LauderNew!BC96-LauderOld!BC96)</f>
        <v/>
      </c>
      <c r="BD96" s="83" t="str">
        <f>IF(LauderNew!BD96-LauderOld!BD96=0,"",LauderNew!BD96-LauderOld!BD96)</f>
        <v/>
      </c>
    </row>
    <row r="97" spans="3:56" x14ac:dyDescent="0.25">
      <c r="C97" s="106"/>
      <c r="D97" s="52"/>
      <c r="E97" s="56"/>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row>
    <row r="98" spans="3:56" x14ac:dyDescent="0.25">
      <c r="C98" s="106"/>
      <c r="D98" s="49" t="s">
        <v>34</v>
      </c>
      <c r="E98" s="56" t="str">
        <f>IF(LauderNew!E98-LauderOld!E98=0,"",LauderNew!E98-LauderOld!E98)</f>
        <v/>
      </c>
      <c r="F98" s="56" t="str">
        <f>IF(LauderNew!F98-LauderOld!F98=0,"",LauderNew!F98-LauderOld!F98)</f>
        <v/>
      </c>
      <c r="G98" s="56" t="str">
        <f>IF(LauderNew!G98-LauderOld!G98=0,"",LauderNew!G98-LauderOld!G98)</f>
        <v/>
      </c>
      <c r="H98" s="56" t="str">
        <f>IF(LauderNew!H98-LauderOld!H98=0,"",LauderNew!H98-LauderOld!H98)</f>
        <v/>
      </c>
      <c r="I98" s="56" t="str">
        <f>IF(LauderNew!I98-LauderOld!I98=0,"",LauderNew!I98-LauderOld!I98)</f>
        <v/>
      </c>
      <c r="J98" s="56" t="str">
        <f>IF(LauderNew!J98-LauderOld!J98=0,"",LauderNew!J98-LauderOld!J98)</f>
        <v/>
      </c>
      <c r="K98" s="56" t="str">
        <f>IF(LauderNew!K98-LauderOld!K98=0,"",LauderNew!K98-LauderOld!K98)</f>
        <v/>
      </c>
      <c r="L98" s="56" t="str">
        <f>IF(LauderNew!L98-LauderOld!L98=0,"",LauderNew!L98-LauderOld!L98)</f>
        <v/>
      </c>
      <c r="M98" s="56" t="str">
        <f>IF(LauderNew!M98-LauderOld!M98=0,"",LauderNew!M98-LauderOld!M98)</f>
        <v/>
      </c>
      <c r="N98" s="56" t="str">
        <f>IF(LauderNew!N98-LauderOld!N98=0,"",LauderNew!N98-LauderOld!N98)</f>
        <v/>
      </c>
      <c r="O98" s="56" t="str">
        <f>IF(LauderNew!O98-LauderOld!O98=0,"",LauderNew!O98-LauderOld!O98)</f>
        <v/>
      </c>
      <c r="P98" s="56" t="str">
        <f>IF(LauderNew!P98-LauderOld!P98=0,"",LauderNew!P98-LauderOld!P98)</f>
        <v/>
      </c>
      <c r="Q98" s="56" t="str">
        <f>IF(LauderNew!Q98-LauderOld!Q98=0,"",LauderNew!Q98-LauderOld!Q98)</f>
        <v/>
      </c>
      <c r="R98" s="56" t="str">
        <f>IF(LauderNew!R98-LauderOld!R98=0,"",LauderNew!R98-LauderOld!R98)</f>
        <v/>
      </c>
      <c r="S98" s="56" t="str">
        <f>IF(LauderNew!S98-LauderOld!S98=0,"",LauderNew!S98-LauderOld!S98)</f>
        <v/>
      </c>
      <c r="T98" s="56" t="str">
        <f>IF(LauderNew!T98-LauderOld!T98=0,"",LauderNew!T98-LauderOld!T98)</f>
        <v/>
      </c>
      <c r="U98" s="56" t="str">
        <f>IF(LauderNew!U98-LauderOld!U98=0,"",LauderNew!U98-LauderOld!U98)</f>
        <v/>
      </c>
      <c r="V98" s="56" t="str">
        <f>IF(LauderNew!V98-LauderOld!V98=0,"",LauderNew!V98-LauderOld!V98)</f>
        <v/>
      </c>
      <c r="W98" s="56" t="str">
        <f>IF(LauderNew!W98-LauderOld!W98=0,"",LauderNew!W98-LauderOld!W98)</f>
        <v/>
      </c>
      <c r="X98" s="56" t="str">
        <f>IF(LauderNew!X98-LauderOld!X98=0,"",LauderNew!X98-LauderOld!X98)</f>
        <v/>
      </c>
      <c r="Y98" s="56" t="str">
        <f>IF(LauderNew!Y98-LauderOld!Y98=0,"",LauderNew!Y98-LauderOld!Y98)</f>
        <v/>
      </c>
      <c r="Z98" s="56" t="str">
        <f>IF(LauderNew!Z98-LauderOld!Z98=0,"",LauderNew!Z98-LauderOld!Z98)</f>
        <v/>
      </c>
      <c r="AA98" s="56" t="str">
        <f>IF(LauderNew!AA98-LauderOld!AA98=0,"",LauderNew!AA98-LauderOld!AA98)</f>
        <v/>
      </c>
      <c r="AB98" s="56" t="str">
        <f>IF(LauderNew!AB98-LauderOld!AB98=0,"",LauderNew!AB98-LauderOld!AB98)</f>
        <v/>
      </c>
      <c r="AC98" s="56" t="str">
        <f>IF(LauderNew!AC98-LauderOld!AC98=0,"",LauderNew!AC98-LauderOld!AC98)</f>
        <v/>
      </c>
      <c r="AD98" s="56" t="str">
        <f>IF(LauderNew!AD98-LauderOld!AD98=0,"",LauderNew!AD98-LauderOld!AD98)</f>
        <v/>
      </c>
      <c r="AE98" s="56" t="str">
        <f>IF(LauderNew!AE98-LauderOld!AE98=0,"",LauderNew!AE98-LauderOld!AE98)</f>
        <v/>
      </c>
      <c r="AF98" s="56" t="str">
        <f>IF(LauderNew!AF98-LauderOld!AF98=0,"",LauderNew!AF98-LauderOld!AF98)</f>
        <v/>
      </c>
      <c r="AG98" s="56" t="str">
        <f>IF(LauderNew!AG98-LauderOld!AG98=0,"",LauderNew!AG98-LauderOld!AG98)</f>
        <v/>
      </c>
      <c r="AH98" s="56" t="str">
        <f>IF(LauderNew!AH98-LauderOld!AH98=0,"",LauderNew!AH98-LauderOld!AH98)</f>
        <v/>
      </c>
      <c r="AI98" s="56" t="str">
        <f>IF(LauderNew!AI98-LauderOld!AI98=0,"",LauderNew!AI98-LauderOld!AI98)</f>
        <v/>
      </c>
      <c r="AJ98" s="56" t="str">
        <f>IF(LauderNew!AJ98-LauderOld!AJ98=0,"",LauderNew!AJ98-LauderOld!AJ98)</f>
        <v/>
      </c>
      <c r="AK98" s="56" t="str">
        <f>IF(LauderNew!AK98-LauderOld!AK98=0,"",LauderNew!AK98-LauderOld!AK98)</f>
        <v/>
      </c>
      <c r="AL98" s="56" t="str">
        <f>IF(LauderNew!AL98-LauderOld!AL98=0,"",LauderNew!AL98-LauderOld!AL98)</f>
        <v/>
      </c>
      <c r="AM98" s="56" t="str">
        <f>IF(LauderNew!AM98-LauderOld!AM98=0,"",LauderNew!AM98-LauderOld!AM98)</f>
        <v/>
      </c>
      <c r="AN98" s="56" t="str">
        <f>IF(LauderNew!AN98-LauderOld!AN98=0,"",LauderNew!AN98-LauderOld!AN98)</f>
        <v/>
      </c>
      <c r="AO98" s="56" t="str">
        <f>IF(LauderNew!AO98-LauderOld!AO98=0,"",LauderNew!AO98-LauderOld!AO98)</f>
        <v/>
      </c>
      <c r="AP98" s="56" t="str">
        <f>IF(LauderNew!AP98-LauderOld!AP98=0,"",LauderNew!AP98-LauderOld!AP98)</f>
        <v/>
      </c>
      <c r="AQ98" s="56" t="str">
        <f>IF(LauderNew!AQ98-LauderOld!AQ98=0,"",LauderNew!AQ98-LauderOld!AQ98)</f>
        <v/>
      </c>
      <c r="AR98" s="56" t="str">
        <f>IF(LauderNew!AR98-LauderOld!AR98=0,"",LauderNew!AR98-LauderOld!AR98)</f>
        <v/>
      </c>
      <c r="AS98" s="56" t="str">
        <f>IF(LauderNew!AS98-LauderOld!AS98=0,"",LauderNew!AS98-LauderOld!AS98)</f>
        <v/>
      </c>
      <c r="AT98" s="56" t="str">
        <f>IF(LauderNew!AT98-LauderOld!AT98=0,"",LauderNew!AT98-LauderOld!AT98)</f>
        <v/>
      </c>
      <c r="AU98" s="56" t="str">
        <f>IF(LauderNew!AU98-LauderOld!AU98=0,"",LauderNew!AU98-LauderOld!AU98)</f>
        <v/>
      </c>
      <c r="AV98" s="56" t="str">
        <f>IF(LauderNew!AV98-LauderOld!AV98=0,"",LauderNew!AV98-LauderOld!AV98)</f>
        <v/>
      </c>
      <c r="AW98" s="56" t="str">
        <f>IF(LauderNew!AW98-LauderOld!AW98=0,"",LauderNew!AW98-LauderOld!AW98)</f>
        <v/>
      </c>
      <c r="AX98" s="56" t="str">
        <f>IF(LauderNew!AX98-LauderOld!AX98=0,"",LauderNew!AX98-LauderOld!AX98)</f>
        <v/>
      </c>
      <c r="AY98" s="56" t="str">
        <f>IF(LauderNew!AY98-LauderOld!AY98=0,"",LauderNew!AY98-LauderOld!AY98)</f>
        <v/>
      </c>
      <c r="AZ98" s="56" t="str">
        <f>IF(LauderNew!AZ98-LauderOld!AZ98=0,"",LauderNew!AZ98-LauderOld!AZ98)</f>
        <v/>
      </c>
      <c r="BA98" s="56" t="str">
        <f>IF(LauderNew!BA98-LauderOld!BA98=0,"",LauderNew!BA98-LauderOld!BA98)</f>
        <v/>
      </c>
      <c r="BB98" s="56" t="str">
        <f>IF(LauderNew!BB98-LauderOld!BB98=0,"",LauderNew!BB98-LauderOld!BB98)</f>
        <v/>
      </c>
      <c r="BC98" s="56" t="str">
        <f>IF(LauderNew!BC98-LauderOld!BC98=0,"",LauderNew!BC98-LauderOld!BC98)</f>
        <v/>
      </c>
      <c r="BD98" s="56" t="str">
        <f>IF(LauderNew!BD98-LauderOld!BD98=0,"",LauderNew!BD98-LauderOld!BD98)</f>
        <v/>
      </c>
    </row>
    <row r="99" spans="3:56" x14ac:dyDescent="0.25">
      <c r="C99" s="106"/>
      <c r="D99" s="49" t="s">
        <v>35</v>
      </c>
      <c r="E99" s="56" t="str">
        <f>IF(LauderNew!E99-LauderOld!E99=0,"",LauderNew!E99-LauderOld!E99)</f>
        <v/>
      </c>
      <c r="F99" s="56" t="str">
        <f>IF(LauderNew!F99-LauderOld!F99=0,"",LauderNew!F99-LauderOld!F99)</f>
        <v/>
      </c>
      <c r="G99" s="56" t="str">
        <f>IF(LauderNew!G99-LauderOld!G99=0,"",LauderNew!G99-LauderOld!G99)</f>
        <v/>
      </c>
      <c r="H99" s="56" t="str">
        <f>IF(LauderNew!H99-LauderOld!H99=0,"",LauderNew!H99-LauderOld!H99)</f>
        <v/>
      </c>
      <c r="I99" s="56" t="str">
        <f>IF(LauderNew!I99-LauderOld!I99=0,"",LauderNew!I99-LauderOld!I99)</f>
        <v/>
      </c>
      <c r="J99" s="56" t="str">
        <f>IF(LauderNew!J99-LauderOld!J99=0,"",LauderNew!J99-LauderOld!J99)</f>
        <v/>
      </c>
      <c r="K99" s="56" t="str">
        <f>IF(LauderNew!K99-LauderOld!K99=0,"",LauderNew!K99-LauderOld!K99)</f>
        <v/>
      </c>
      <c r="L99" s="56" t="str">
        <f>IF(LauderNew!L99-LauderOld!L99=0,"",LauderNew!L99-LauderOld!L99)</f>
        <v/>
      </c>
      <c r="M99" s="56" t="str">
        <f>IF(LauderNew!M99-LauderOld!M99=0,"",LauderNew!M99-LauderOld!M99)</f>
        <v/>
      </c>
      <c r="N99" s="56" t="str">
        <f>IF(LauderNew!N99-LauderOld!N99=0,"",LauderNew!N99-LauderOld!N99)</f>
        <v/>
      </c>
      <c r="O99" s="56" t="str">
        <f>IF(LauderNew!O99-LauderOld!O99=0,"",LauderNew!O99-LauderOld!O99)</f>
        <v/>
      </c>
      <c r="P99" s="56" t="str">
        <f>IF(LauderNew!P99-LauderOld!P99=0,"",LauderNew!P99-LauderOld!P99)</f>
        <v/>
      </c>
      <c r="Q99" s="56" t="str">
        <f>IF(LauderNew!Q99-LauderOld!Q99=0,"",LauderNew!Q99-LauderOld!Q99)</f>
        <v/>
      </c>
      <c r="R99" s="56" t="str">
        <f>IF(LauderNew!R99-LauderOld!R99=0,"",LauderNew!R99-LauderOld!R99)</f>
        <v/>
      </c>
      <c r="S99" s="56" t="str">
        <f>IF(LauderNew!S99-LauderOld!S99=0,"",LauderNew!S99-LauderOld!S99)</f>
        <v/>
      </c>
      <c r="T99" s="56" t="str">
        <f>IF(LauderNew!T99-LauderOld!T99=0,"",LauderNew!T99-LauderOld!T99)</f>
        <v/>
      </c>
      <c r="U99" s="56" t="str">
        <f>IF(LauderNew!U99-LauderOld!U99=0,"",LauderNew!U99-LauderOld!U99)</f>
        <v/>
      </c>
      <c r="V99" s="56" t="str">
        <f>IF(LauderNew!V99-LauderOld!V99=0,"",LauderNew!V99-LauderOld!V99)</f>
        <v/>
      </c>
      <c r="W99" s="56" t="str">
        <f>IF(LauderNew!W99-LauderOld!W99=0,"",LauderNew!W99-LauderOld!W99)</f>
        <v/>
      </c>
      <c r="X99" s="56" t="str">
        <f>IF(LauderNew!X99-LauderOld!X99=0,"",LauderNew!X99-LauderOld!X99)</f>
        <v/>
      </c>
      <c r="Y99" s="56" t="str">
        <f>IF(LauderNew!Y99-LauderOld!Y99=0,"",LauderNew!Y99-LauderOld!Y99)</f>
        <v/>
      </c>
      <c r="Z99" s="56" t="str">
        <f>IF(LauderNew!Z99-LauderOld!Z99=0,"",LauderNew!Z99-LauderOld!Z99)</f>
        <v/>
      </c>
      <c r="AA99" s="56" t="str">
        <f>IF(LauderNew!AA99-LauderOld!AA99=0,"",LauderNew!AA99-LauderOld!AA99)</f>
        <v/>
      </c>
      <c r="AB99" s="56" t="str">
        <f>IF(LauderNew!AB99-LauderOld!AB99=0,"",LauderNew!AB99-LauderOld!AB99)</f>
        <v/>
      </c>
      <c r="AC99" s="56" t="str">
        <f>IF(LauderNew!AC99-LauderOld!AC99=0,"",LauderNew!AC99-LauderOld!AC99)</f>
        <v/>
      </c>
      <c r="AD99" s="56" t="str">
        <f>IF(LauderNew!AD99-LauderOld!AD99=0,"",LauderNew!AD99-LauderOld!AD99)</f>
        <v/>
      </c>
      <c r="AE99" s="56" t="str">
        <f>IF(LauderNew!AE99-LauderOld!AE99=0,"",LauderNew!AE99-LauderOld!AE99)</f>
        <v/>
      </c>
      <c r="AF99" s="56" t="str">
        <f>IF(LauderNew!AF99-LauderOld!AF99=0,"",LauderNew!AF99-LauderOld!AF99)</f>
        <v/>
      </c>
      <c r="AG99" s="56" t="str">
        <f>IF(LauderNew!AG99-LauderOld!AG99=0,"",LauderNew!AG99-LauderOld!AG99)</f>
        <v/>
      </c>
      <c r="AH99" s="56" t="str">
        <f>IF(LauderNew!AH99-LauderOld!AH99=0,"",LauderNew!AH99-LauderOld!AH99)</f>
        <v/>
      </c>
      <c r="AI99" s="56" t="str">
        <f>IF(LauderNew!AI99-LauderOld!AI99=0,"",LauderNew!AI99-LauderOld!AI99)</f>
        <v/>
      </c>
      <c r="AJ99" s="56" t="str">
        <f>IF(LauderNew!AJ99-LauderOld!AJ99=0,"",LauderNew!AJ99-LauderOld!AJ99)</f>
        <v/>
      </c>
      <c r="AK99" s="56" t="str">
        <f>IF(LauderNew!AK99-LauderOld!AK99=0,"",LauderNew!AK99-LauderOld!AK99)</f>
        <v/>
      </c>
      <c r="AL99" s="56" t="str">
        <f>IF(LauderNew!AL99-LauderOld!AL99=0,"",LauderNew!AL99-LauderOld!AL99)</f>
        <v/>
      </c>
      <c r="AM99" s="56" t="str">
        <f>IF(LauderNew!AM99-LauderOld!AM99=0,"",LauderNew!AM99-LauderOld!AM99)</f>
        <v/>
      </c>
      <c r="AN99" s="56" t="str">
        <f>IF(LauderNew!AN99-LauderOld!AN99=0,"",LauderNew!AN99-LauderOld!AN99)</f>
        <v/>
      </c>
      <c r="AO99" s="56" t="str">
        <f>IF(LauderNew!AO99-LauderOld!AO99=0,"",LauderNew!AO99-LauderOld!AO99)</f>
        <v/>
      </c>
      <c r="AP99" s="56" t="str">
        <f>IF(LauderNew!AP99-LauderOld!AP99=0,"",LauderNew!AP99-LauderOld!AP99)</f>
        <v/>
      </c>
      <c r="AQ99" s="56" t="str">
        <f>IF(LauderNew!AQ99-LauderOld!AQ99=0,"",LauderNew!AQ99-LauderOld!AQ99)</f>
        <v/>
      </c>
      <c r="AR99" s="56" t="str">
        <f>IF(LauderNew!AR99-LauderOld!AR99=0,"",LauderNew!AR99-LauderOld!AR99)</f>
        <v/>
      </c>
      <c r="AS99" s="56" t="str">
        <f>IF(LauderNew!AS99-LauderOld!AS99=0,"",LauderNew!AS99-LauderOld!AS99)</f>
        <v/>
      </c>
      <c r="AT99" s="56" t="str">
        <f>IF(LauderNew!AT99-LauderOld!AT99=0,"",LauderNew!AT99-LauderOld!AT99)</f>
        <v/>
      </c>
      <c r="AU99" s="56" t="str">
        <f>IF(LauderNew!AU99-LauderOld!AU99=0,"",LauderNew!AU99-LauderOld!AU99)</f>
        <v/>
      </c>
      <c r="AV99" s="56" t="str">
        <f>IF(LauderNew!AV99-LauderOld!AV99=0,"",LauderNew!AV99-LauderOld!AV99)</f>
        <v/>
      </c>
      <c r="AW99" s="56" t="str">
        <f>IF(LauderNew!AW99-LauderOld!AW99=0,"",LauderNew!AW99-LauderOld!AW99)</f>
        <v/>
      </c>
      <c r="AX99" s="56" t="str">
        <f>IF(LauderNew!AX99-LauderOld!AX99=0,"",LauderNew!AX99-LauderOld!AX99)</f>
        <v/>
      </c>
      <c r="AY99" s="56" t="str">
        <f>IF(LauderNew!AY99-LauderOld!AY99=0,"",LauderNew!AY99-LauderOld!AY99)</f>
        <v/>
      </c>
      <c r="AZ99" s="56" t="str">
        <f>IF(LauderNew!AZ99-LauderOld!AZ99=0,"",LauderNew!AZ99-LauderOld!AZ99)</f>
        <v/>
      </c>
      <c r="BA99" s="56" t="str">
        <f>IF(LauderNew!BA99-LauderOld!BA99=0,"",LauderNew!BA99-LauderOld!BA99)</f>
        <v/>
      </c>
      <c r="BB99" s="56" t="str">
        <f>IF(LauderNew!BB99-LauderOld!BB99=0,"",LauderNew!BB99-LauderOld!BB99)</f>
        <v/>
      </c>
      <c r="BC99" s="56" t="str">
        <f>IF(LauderNew!BC99-LauderOld!BC99=0,"",LauderNew!BC99-LauderOld!BC99)</f>
        <v/>
      </c>
      <c r="BD99" s="56" t="str">
        <f>IF(LauderNew!BD99-LauderOld!BD99=0,"",LauderNew!BD99-LauderOld!BD99)</f>
        <v/>
      </c>
    </row>
    <row r="100" spans="3:56" x14ac:dyDescent="0.25">
      <c r="C100" s="106"/>
      <c r="D100" s="49" t="s">
        <v>36</v>
      </c>
      <c r="E100" s="56" t="str">
        <f>IF(LauderNew!E100-LauderOld!E100=0,"",LauderNew!E100-LauderOld!E100)</f>
        <v/>
      </c>
      <c r="F100" s="56" t="str">
        <f>IF(LauderNew!F100-LauderOld!F100=0,"",LauderNew!F100-LauderOld!F100)</f>
        <v/>
      </c>
      <c r="G100" s="56" t="str">
        <f>IF(LauderNew!G100-LauderOld!G100=0,"",LauderNew!G100-LauderOld!G100)</f>
        <v/>
      </c>
      <c r="H100" s="56" t="str">
        <f>IF(LauderNew!H100-LauderOld!H100=0,"",LauderNew!H100-LauderOld!H100)</f>
        <v/>
      </c>
      <c r="I100" s="56" t="str">
        <f>IF(LauderNew!I100-LauderOld!I100=0,"",LauderNew!I100-LauderOld!I100)</f>
        <v/>
      </c>
      <c r="J100" s="56" t="str">
        <f>IF(LauderNew!J100-LauderOld!J100=0,"",LauderNew!J100-LauderOld!J100)</f>
        <v/>
      </c>
      <c r="K100" s="56" t="str">
        <f>IF(LauderNew!K100-LauderOld!K100=0,"",LauderNew!K100-LauderOld!K100)</f>
        <v/>
      </c>
      <c r="L100" s="56" t="str">
        <f>IF(LauderNew!L100-LauderOld!L100=0,"",LauderNew!L100-LauderOld!L100)</f>
        <v/>
      </c>
      <c r="M100" s="56" t="str">
        <f>IF(LauderNew!M100-LauderOld!M100=0,"",LauderNew!M100-LauderOld!M100)</f>
        <v/>
      </c>
      <c r="N100" s="56" t="str">
        <f>IF(LauderNew!N100-LauderOld!N100=0,"",LauderNew!N100-LauderOld!N100)</f>
        <v/>
      </c>
      <c r="O100" s="56" t="str">
        <f>IF(LauderNew!O100-LauderOld!O100=0,"",LauderNew!O100-LauderOld!O100)</f>
        <v/>
      </c>
      <c r="P100" s="56" t="str">
        <f>IF(LauderNew!P100-LauderOld!P100=0,"",LauderNew!P100-LauderOld!P100)</f>
        <v/>
      </c>
      <c r="Q100" s="56" t="str">
        <f>IF(LauderNew!Q100-LauderOld!Q100=0,"",LauderNew!Q100-LauderOld!Q100)</f>
        <v/>
      </c>
      <c r="R100" s="56" t="str">
        <f>IF(LauderNew!R100-LauderOld!R100=0,"",LauderNew!R100-LauderOld!R100)</f>
        <v/>
      </c>
      <c r="S100" s="56" t="str">
        <f>IF(LauderNew!S100-LauderOld!S100=0,"",LauderNew!S100-LauderOld!S100)</f>
        <v/>
      </c>
      <c r="T100" s="56" t="str">
        <f>IF(LauderNew!T100-LauderOld!T100=0,"",LauderNew!T100-LauderOld!T100)</f>
        <v/>
      </c>
      <c r="U100" s="56" t="str">
        <f>IF(LauderNew!U100-LauderOld!U100=0,"",LauderNew!U100-LauderOld!U100)</f>
        <v/>
      </c>
      <c r="V100" s="56" t="str">
        <f>IF(LauderNew!V100-LauderOld!V100=0,"",LauderNew!V100-LauderOld!V100)</f>
        <v/>
      </c>
      <c r="W100" s="56" t="str">
        <f>IF(LauderNew!W100-LauderOld!W100=0,"",LauderNew!W100-LauderOld!W100)</f>
        <v/>
      </c>
      <c r="X100" s="56" t="str">
        <f>IF(LauderNew!X100-LauderOld!X100=0,"",LauderNew!X100-LauderOld!X100)</f>
        <v/>
      </c>
      <c r="Y100" s="56" t="str">
        <f>IF(LauderNew!Y100-LauderOld!Y100=0,"",LauderNew!Y100-LauderOld!Y100)</f>
        <v/>
      </c>
      <c r="Z100" s="56" t="str">
        <f>IF(LauderNew!Z100-LauderOld!Z100=0,"",LauderNew!Z100-LauderOld!Z100)</f>
        <v/>
      </c>
      <c r="AA100" s="56" t="str">
        <f>IF(LauderNew!AA100-LauderOld!AA100=0,"",LauderNew!AA100-LauderOld!AA100)</f>
        <v/>
      </c>
      <c r="AB100" s="56" t="str">
        <f>IF(LauderNew!AB100-LauderOld!AB100=0,"",LauderNew!AB100-LauderOld!AB100)</f>
        <v/>
      </c>
      <c r="AC100" s="56" t="str">
        <f>IF(LauderNew!AC100-LauderOld!AC100=0,"",LauderNew!AC100-LauderOld!AC100)</f>
        <v/>
      </c>
      <c r="AD100" s="56" t="str">
        <f>IF(LauderNew!AD100-LauderOld!AD100=0,"",LauderNew!AD100-LauderOld!AD100)</f>
        <v/>
      </c>
      <c r="AE100" s="56" t="str">
        <f>IF(LauderNew!AE100-LauderOld!AE100=0,"",LauderNew!AE100-LauderOld!AE100)</f>
        <v/>
      </c>
      <c r="AF100" s="56" t="str">
        <f>IF(LauderNew!AF100-LauderOld!AF100=0,"",LauderNew!AF100-LauderOld!AF100)</f>
        <v/>
      </c>
      <c r="AG100" s="56" t="str">
        <f>IF(LauderNew!AG100-LauderOld!AG100=0,"",LauderNew!AG100-LauderOld!AG100)</f>
        <v/>
      </c>
      <c r="AH100" s="56" t="str">
        <f>IF(LauderNew!AH100-LauderOld!AH100=0,"",LauderNew!AH100-LauderOld!AH100)</f>
        <v/>
      </c>
      <c r="AI100" s="56" t="str">
        <f>IF(LauderNew!AI100-LauderOld!AI100=0,"",LauderNew!AI100-LauderOld!AI100)</f>
        <v/>
      </c>
      <c r="AJ100" s="56" t="str">
        <f>IF(LauderNew!AJ100-LauderOld!AJ100=0,"",LauderNew!AJ100-LauderOld!AJ100)</f>
        <v/>
      </c>
      <c r="AK100" s="56" t="str">
        <f>IF(LauderNew!AK100-LauderOld!AK100=0,"",LauderNew!AK100-LauderOld!AK100)</f>
        <v/>
      </c>
      <c r="AL100" s="56" t="str">
        <f>IF(LauderNew!AL100-LauderOld!AL100=0,"",LauderNew!AL100-LauderOld!AL100)</f>
        <v/>
      </c>
      <c r="AM100" s="56" t="str">
        <f>IF(LauderNew!AM100-LauderOld!AM100=0,"",LauderNew!AM100-LauderOld!AM100)</f>
        <v/>
      </c>
      <c r="AN100" s="56" t="str">
        <f>IF(LauderNew!AN100-LauderOld!AN100=0,"",LauderNew!AN100-LauderOld!AN100)</f>
        <v/>
      </c>
      <c r="AO100" s="56" t="str">
        <f>IF(LauderNew!AO100-LauderOld!AO100=0,"",LauderNew!AO100-LauderOld!AO100)</f>
        <v/>
      </c>
      <c r="AP100" s="56" t="str">
        <f>IF(LauderNew!AP100-LauderOld!AP100=0,"",LauderNew!AP100-LauderOld!AP100)</f>
        <v/>
      </c>
      <c r="AQ100" s="56" t="str">
        <f>IF(LauderNew!AQ100-LauderOld!AQ100=0,"",LauderNew!AQ100-LauderOld!AQ100)</f>
        <v/>
      </c>
      <c r="AR100" s="56" t="str">
        <f>IF(LauderNew!AR100-LauderOld!AR100=0,"",LauderNew!AR100-LauderOld!AR100)</f>
        <v/>
      </c>
      <c r="AS100" s="56" t="str">
        <f>IF(LauderNew!AS100-LauderOld!AS100=0,"",LauderNew!AS100-LauderOld!AS100)</f>
        <v/>
      </c>
      <c r="AT100" s="56" t="str">
        <f>IF(LauderNew!AT100-LauderOld!AT100=0,"",LauderNew!AT100-LauderOld!AT100)</f>
        <v/>
      </c>
      <c r="AU100" s="56" t="str">
        <f>IF(LauderNew!AU100-LauderOld!AU100=0,"",LauderNew!AU100-LauderOld!AU100)</f>
        <v/>
      </c>
      <c r="AV100" s="56" t="str">
        <f>IF(LauderNew!AV100-LauderOld!AV100=0,"",LauderNew!AV100-LauderOld!AV100)</f>
        <v/>
      </c>
      <c r="AW100" s="56" t="str">
        <f>IF(LauderNew!AW100-LauderOld!AW100=0,"",LauderNew!AW100-LauderOld!AW100)</f>
        <v/>
      </c>
      <c r="AX100" s="56" t="str">
        <f>IF(LauderNew!AX100-LauderOld!AX100=0,"",LauderNew!AX100-LauderOld!AX100)</f>
        <v/>
      </c>
      <c r="AY100" s="56" t="str">
        <f>IF(LauderNew!AY100-LauderOld!AY100=0,"",LauderNew!AY100-LauderOld!AY100)</f>
        <v/>
      </c>
      <c r="AZ100" s="56" t="str">
        <f>IF(LauderNew!AZ100-LauderOld!AZ100=0,"",LauderNew!AZ100-LauderOld!AZ100)</f>
        <v/>
      </c>
      <c r="BA100" s="56" t="str">
        <f>IF(LauderNew!BA100-LauderOld!BA100=0,"",LauderNew!BA100-LauderOld!BA100)</f>
        <v/>
      </c>
      <c r="BB100" s="56" t="str">
        <f>IF(LauderNew!BB100-LauderOld!BB100=0,"",LauderNew!BB100-LauderOld!BB100)</f>
        <v/>
      </c>
      <c r="BC100" s="56" t="str">
        <f>IF(LauderNew!BC100-LauderOld!BC100=0,"",LauderNew!BC100-LauderOld!BC100)</f>
        <v/>
      </c>
      <c r="BD100" s="56" t="str">
        <f>IF(LauderNew!BD100-LauderOld!BD100=0,"",LauderNew!BD100-LauderOld!BD100)</f>
        <v/>
      </c>
    </row>
    <row r="101" spans="3:56" x14ac:dyDescent="0.25">
      <c r="C101" s="106"/>
      <c r="D101" s="49" t="s">
        <v>37</v>
      </c>
      <c r="E101" s="56" t="str">
        <f>IF(LauderNew!E101-LauderOld!E101=0,"",LauderNew!E101-LauderOld!E101)</f>
        <v/>
      </c>
      <c r="F101" s="56" t="str">
        <f>IF(LauderNew!F101-LauderOld!F101=0,"",LauderNew!F101-LauderOld!F101)</f>
        <v/>
      </c>
      <c r="G101" s="56" t="str">
        <f>IF(LauderNew!G101-LauderOld!G101=0,"",LauderNew!G101-LauderOld!G101)</f>
        <v/>
      </c>
      <c r="H101" s="56" t="str">
        <f>IF(LauderNew!H101-LauderOld!H101=0,"",LauderNew!H101-LauderOld!H101)</f>
        <v/>
      </c>
      <c r="I101" s="56" t="str">
        <f>IF(LauderNew!I101-LauderOld!I101=0,"",LauderNew!I101-LauderOld!I101)</f>
        <v/>
      </c>
      <c r="J101" s="56" t="str">
        <f>IF(LauderNew!J101-LauderOld!J101=0,"",LauderNew!J101-LauderOld!J101)</f>
        <v/>
      </c>
      <c r="K101" s="56" t="str">
        <f>IF(LauderNew!K101-LauderOld!K101=0,"",LauderNew!K101-LauderOld!K101)</f>
        <v/>
      </c>
      <c r="L101" s="56" t="str">
        <f>IF(LauderNew!L101-LauderOld!L101=0,"",LauderNew!L101-LauderOld!L101)</f>
        <v/>
      </c>
      <c r="M101" s="56" t="str">
        <f>IF(LauderNew!M101-LauderOld!M101=0,"",LauderNew!M101-LauderOld!M101)</f>
        <v/>
      </c>
      <c r="N101" s="56" t="str">
        <f>IF(LauderNew!N101-LauderOld!N101=0,"",LauderNew!N101-LauderOld!N101)</f>
        <v/>
      </c>
      <c r="O101" s="56" t="str">
        <f>IF(LauderNew!O101-LauderOld!O101=0,"",LauderNew!O101-LauderOld!O101)</f>
        <v/>
      </c>
      <c r="P101" s="56" t="str">
        <f>IF(LauderNew!P101-LauderOld!P101=0,"",LauderNew!P101-LauderOld!P101)</f>
        <v/>
      </c>
      <c r="Q101" s="56" t="str">
        <f>IF(LauderNew!Q101-LauderOld!Q101=0,"",LauderNew!Q101-LauderOld!Q101)</f>
        <v/>
      </c>
      <c r="R101" s="56" t="str">
        <f>IF(LauderNew!R101-LauderOld!R101=0,"",LauderNew!R101-LauderOld!R101)</f>
        <v/>
      </c>
      <c r="S101" s="56" t="str">
        <f>IF(LauderNew!S101-LauderOld!S101=0,"",LauderNew!S101-LauderOld!S101)</f>
        <v/>
      </c>
      <c r="T101" s="56" t="str">
        <f>IF(LauderNew!T101-LauderOld!T101=0,"",LauderNew!T101-LauderOld!T101)</f>
        <v/>
      </c>
      <c r="U101" s="56" t="str">
        <f>IF(LauderNew!U101-LauderOld!U101=0,"",LauderNew!U101-LauderOld!U101)</f>
        <v/>
      </c>
      <c r="V101" s="56" t="str">
        <f>IF(LauderNew!V101-LauderOld!V101=0,"",LauderNew!V101-LauderOld!V101)</f>
        <v/>
      </c>
      <c r="W101" s="56" t="str">
        <f>IF(LauderNew!W101-LauderOld!W101=0,"",LauderNew!W101-LauderOld!W101)</f>
        <v/>
      </c>
      <c r="X101" s="56" t="str">
        <f>IF(LauderNew!X101-LauderOld!X101=0,"",LauderNew!X101-LauderOld!X101)</f>
        <v/>
      </c>
      <c r="Y101" s="56" t="str">
        <f>IF(LauderNew!Y101-LauderOld!Y101=0,"",LauderNew!Y101-LauderOld!Y101)</f>
        <v/>
      </c>
      <c r="Z101" s="56" t="str">
        <f>IF(LauderNew!Z101-LauderOld!Z101=0,"",LauderNew!Z101-LauderOld!Z101)</f>
        <v/>
      </c>
      <c r="AA101" s="56" t="str">
        <f>IF(LauderNew!AA101-LauderOld!AA101=0,"",LauderNew!AA101-LauderOld!AA101)</f>
        <v/>
      </c>
      <c r="AB101" s="56" t="str">
        <f>IF(LauderNew!AB101-LauderOld!AB101=0,"",LauderNew!AB101-LauderOld!AB101)</f>
        <v/>
      </c>
      <c r="AC101" s="56" t="str">
        <f>IF(LauderNew!AC101-LauderOld!AC101=0,"",LauderNew!AC101-LauderOld!AC101)</f>
        <v/>
      </c>
      <c r="AD101" s="56" t="str">
        <f>IF(LauderNew!AD101-LauderOld!AD101=0,"",LauderNew!AD101-LauderOld!AD101)</f>
        <v/>
      </c>
      <c r="AE101" s="56" t="str">
        <f>IF(LauderNew!AE101-LauderOld!AE101=0,"",LauderNew!AE101-LauderOld!AE101)</f>
        <v/>
      </c>
      <c r="AF101" s="56" t="str">
        <f>IF(LauderNew!AF101-LauderOld!AF101=0,"",LauderNew!AF101-LauderOld!AF101)</f>
        <v/>
      </c>
      <c r="AG101" s="56" t="str">
        <f>IF(LauderNew!AG101-LauderOld!AG101=0,"",LauderNew!AG101-LauderOld!AG101)</f>
        <v/>
      </c>
      <c r="AH101" s="56" t="str">
        <f>IF(LauderNew!AH101-LauderOld!AH101=0,"",LauderNew!AH101-LauderOld!AH101)</f>
        <v/>
      </c>
      <c r="AI101" s="56" t="str">
        <f>IF(LauderNew!AI101-LauderOld!AI101=0,"",LauderNew!AI101-LauderOld!AI101)</f>
        <v/>
      </c>
      <c r="AJ101" s="56" t="str">
        <f>IF(LauderNew!AJ101-LauderOld!AJ101=0,"",LauderNew!AJ101-LauderOld!AJ101)</f>
        <v/>
      </c>
      <c r="AK101" s="56" t="str">
        <f>IF(LauderNew!AK101-LauderOld!AK101=0,"",LauderNew!AK101-LauderOld!AK101)</f>
        <v/>
      </c>
      <c r="AL101" s="56" t="str">
        <f>IF(LauderNew!AL101-LauderOld!AL101=0,"",LauderNew!AL101-LauderOld!AL101)</f>
        <v/>
      </c>
      <c r="AM101" s="56" t="str">
        <f>IF(LauderNew!AM101-LauderOld!AM101=0,"",LauderNew!AM101-LauderOld!AM101)</f>
        <v/>
      </c>
      <c r="AN101" s="56" t="str">
        <f>IF(LauderNew!AN101-LauderOld!AN101=0,"",LauderNew!AN101-LauderOld!AN101)</f>
        <v/>
      </c>
      <c r="AO101" s="56" t="str">
        <f>IF(LauderNew!AO101-LauderOld!AO101=0,"",LauderNew!AO101-LauderOld!AO101)</f>
        <v/>
      </c>
      <c r="AP101" s="56" t="str">
        <f>IF(LauderNew!AP101-LauderOld!AP101=0,"",LauderNew!AP101-LauderOld!AP101)</f>
        <v/>
      </c>
      <c r="AQ101" s="56" t="str">
        <f>IF(LauderNew!AQ101-LauderOld!AQ101=0,"",LauderNew!AQ101-LauderOld!AQ101)</f>
        <v/>
      </c>
      <c r="AR101" s="56" t="str">
        <f>IF(LauderNew!AR101-LauderOld!AR101=0,"",LauderNew!AR101-LauderOld!AR101)</f>
        <v/>
      </c>
      <c r="AS101" s="56" t="str">
        <f>IF(LauderNew!AS101-LauderOld!AS101=0,"",LauderNew!AS101-LauderOld!AS101)</f>
        <v/>
      </c>
      <c r="AT101" s="56" t="str">
        <f>IF(LauderNew!AT101-LauderOld!AT101=0,"",LauderNew!AT101-LauderOld!AT101)</f>
        <v/>
      </c>
      <c r="AU101" s="56" t="str">
        <f>IF(LauderNew!AU101-LauderOld!AU101=0,"",LauderNew!AU101-LauderOld!AU101)</f>
        <v/>
      </c>
      <c r="AV101" s="56" t="str">
        <f>IF(LauderNew!AV101-LauderOld!AV101=0,"",LauderNew!AV101-LauderOld!AV101)</f>
        <v/>
      </c>
      <c r="AW101" s="56" t="str">
        <f>IF(LauderNew!AW101-LauderOld!AW101=0,"",LauderNew!AW101-LauderOld!AW101)</f>
        <v/>
      </c>
      <c r="AX101" s="56" t="str">
        <f>IF(LauderNew!AX101-LauderOld!AX101=0,"",LauderNew!AX101-LauderOld!AX101)</f>
        <v/>
      </c>
      <c r="AY101" s="56" t="str">
        <f>IF(LauderNew!AY101-LauderOld!AY101=0,"",LauderNew!AY101-LauderOld!AY101)</f>
        <v/>
      </c>
      <c r="AZ101" s="56" t="str">
        <f>IF(LauderNew!AZ101-LauderOld!AZ101=0,"",LauderNew!AZ101-LauderOld!AZ101)</f>
        <v/>
      </c>
      <c r="BA101" s="56" t="str">
        <f>IF(LauderNew!BA101-LauderOld!BA101=0,"",LauderNew!BA101-LauderOld!BA101)</f>
        <v/>
      </c>
      <c r="BB101" s="56" t="str">
        <f>IF(LauderNew!BB101-LauderOld!BB101=0,"",LauderNew!BB101-LauderOld!BB101)</f>
        <v/>
      </c>
      <c r="BC101" s="56" t="str">
        <f>IF(LauderNew!BC101-LauderOld!BC101=0,"",LauderNew!BC101-LauderOld!BC101)</f>
        <v/>
      </c>
      <c r="BD101" s="56" t="str">
        <f>IF(LauderNew!BD101-LauderOld!BD101=0,"",LauderNew!BD101-LauderOld!BD101)</f>
        <v/>
      </c>
    </row>
    <row r="102" spans="3:56" x14ac:dyDescent="0.25">
      <c r="C102" s="106"/>
      <c r="D102" s="49" t="s">
        <v>38</v>
      </c>
      <c r="E102" s="56" t="str">
        <f>IF(LauderNew!E102-LauderOld!E102=0,"",LauderNew!E102-LauderOld!E102)</f>
        <v/>
      </c>
      <c r="F102" s="56" t="str">
        <f>IF(LauderNew!F102-LauderOld!F102=0,"",LauderNew!F102-LauderOld!F102)</f>
        <v/>
      </c>
      <c r="G102" s="56" t="str">
        <f>IF(LauderNew!G102-LauderOld!G102=0,"",LauderNew!G102-LauderOld!G102)</f>
        <v/>
      </c>
      <c r="H102" s="56" t="str">
        <f>IF(LauderNew!H102-LauderOld!H102=0,"",LauderNew!H102-LauderOld!H102)</f>
        <v/>
      </c>
      <c r="I102" s="56" t="str">
        <f>IF(LauderNew!I102-LauderOld!I102=0,"",LauderNew!I102-LauderOld!I102)</f>
        <v/>
      </c>
      <c r="J102" s="56" t="str">
        <f>IF(LauderNew!J102-LauderOld!J102=0,"",LauderNew!J102-LauderOld!J102)</f>
        <v/>
      </c>
      <c r="K102" s="56" t="str">
        <f>IF(LauderNew!K102-LauderOld!K102=0,"",LauderNew!K102-LauderOld!K102)</f>
        <v/>
      </c>
      <c r="L102" s="56" t="str">
        <f>IF(LauderNew!L102-LauderOld!L102=0,"",LauderNew!L102-LauderOld!L102)</f>
        <v/>
      </c>
      <c r="M102" s="56" t="str">
        <f>IF(LauderNew!M102-LauderOld!M102=0,"",LauderNew!M102-LauderOld!M102)</f>
        <v/>
      </c>
      <c r="N102" s="56" t="str">
        <f>IF(LauderNew!N102-LauderOld!N102=0,"",LauderNew!N102-LauderOld!N102)</f>
        <v/>
      </c>
      <c r="O102" s="56" t="str">
        <f>IF(LauderNew!O102-LauderOld!O102=0,"",LauderNew!O102-LauderOld!O102)</f>
        <v/>
      </c>
      <c r="P102" s="56" t="str">
        <f>IF(LauderNew!P102-LauderOld!P102=0,"",LauderNew!P102-LauderOld!P102)</f>
        <v/>
      </c>
      <c r="Q102" s="56" t="str">
        <f>IF(LauderNew!Q102-LauderOld!Q102=0,"",LauderNew!Q102-LauderOld!Q102)</f>
        <v/>
      </c>
      <c r="R102" s="56" t="str">
        <f>IF(LauderNew!R102-LauderOld!R102=0,"",LauderNew!R102-LauderOld!R102)</f>
        <v/>
      </c>
      <c r="S102" s="56" t="str">
        <f>IF(LauderNew!S102-LauderOld!S102=0,"",LauderNew!S102-LauderOld!S102)</f>
        <v/>
      </c>
      <c r="T102" s="56" t="str">
        <f>IF(LauderNew!T102-LauderOld!T102=0,"",LauderNew!T102-LauderOld!T102)</f>
        <v/>
      </c>
      <c r="U102" s="56" t="str">
        <f>IF(LauderNew!U102-LauderOld!U102=0,"",LauderNew!U102-LauderOld!U102)</f>
        <v/>
      </c>
      <c r="V102" s="56" t="str">
        <f>IF(LauderNew!V102-LauderOld!V102=0,"",LauderNew!V102-LauderOld!V102)</f>
        <v/>
      </c>
      <c r="W102" s="56" t="str">
        <f>IF(LauderNew!W102-LauderOld!W102=0,"",LauderNew!W102-LauderOld!W102)</f>
        <v/>
      </c>
      <c r="X102" s="56" t="str">
        <f>IF(LauderNew!X102-LauderOld!X102=0,"",LauderNew!X102-LauderOld!X102)</f>
        <v/>
      </c>
      <c r="Y102" s="56" t="str">
        <f>IF(LauderNew!Y102-LauderOld!Y102=0,"",LauderNew!Y102-LauderOld!Y102)</f>
        <v/>
      </c>
      <c r="Z102" s="56" t="str">
        <f>IF(LauderNew!Z102-LauderOld!Z102=0,"",LauderNew!Z102-LauderOld!Z102)</f>
        <v/>
      </c>
      <c r="AA102" s="56" t="str">
        <f>IF(LauderNew!AA102-LauderOld!AA102=0,"",LauderNew!AA102-LauderOld!AA102)</f>
        <v/>
      </c>
      <c r="AB102" s="56" t="str">
        <f>IF(LauderNew!AB102-LauderOld!AB102=0,"",LauderNew!AB102-LauderOld!AB102)</f>
        <v/>
      </c>
      <c r="AC102" s="56" t="str">
        <f>IF(LauderNew!AC102-LauderOld!AC102=0,"",LauderNew!AC102-LauderOld!AC102)</f>
        <v/>
      </c>
      <c r="AD102" s="56" t="str">
        <f>IF(LauderNew!AD102-LauderOld!AD102=0,"",LauderNew!AD102-LauderOld!AD102)</f>
        <v/>
      </c>
      <c r="AE102" s="56" t="str">
        <f>IF(LauderNew!AE102-LauderOld!AE102=0,"",LauderNew!AE102-LauderOld!AE102)</f>
        <v/>
      </c>
      <c r="AF102" s="56" t="str">
        <f>IF(LauderNew!AF102-LauderOld!AF102=0,"",LauderNew!AF102-LauderOld!AF102)</f>
        <v/>
      </c>
      <c r="AG102" s="56" t="str">
        <f>IF(LauderNew!AG102-LauderOld!AG102=0,"",LauderNew!AG102-LauderOld!AG102)</f>
        <v/>
      </c>
      <c r="AH102" s="56" t="str">
        <f>IF(LauderNew!AH102-LauderOld!AH102=0,"",LauderNew!AH102-LauderOld!AH102)</f>
        <v/>
      </c>
      <c r="AI102" s="56" t="str">
        <f>IF(LauderNew!AI102-LauderOld!AI102=0,"",LauderNew!AI102-LauderOld!AI102)</f>
        <v/>
      </c>
      <c r="AJ102" s="56" t="str">
        <f>IF(LauderNew!AJ102-LauderOld!AJ102=0,"",LauderNew!AJ102-LauderOld!AJ102)</f>
        <v/>
      </c>
      <c r="AK102" s="56" t="str">
        <f>IF(LauderNew!AK102-LauderOld!AK102=0,"",LauderNew!AK102-LauderOld!AK102)</f>
        <v/>
      </c>
      <c r="AL102" s="56" t="str">
        <f>IF(LauderNew!AL102-LauderOld!AL102=0,"",LauderNew!AL102-LauderOld!AL102)</f>
        <v/>
      </c>
      <c r="AM102" s="56" t="str">
        <f>IF(LauderNew!AM102-LauderOld!AM102=0,"",LauderNew!AM102-LauderOld!AM102)</f>
        <v/>
      </c>
      <c r="AN102" s="56" t="str">
        <f>IF(LauderNew!AN102-LauderOld!AN102=0,"",LauderNew!AN102-LauderOld!AN102)</f>
        <v/>
      </c>
      <c r="AO102" s="56" t="str">
        <f>IF(LauderNew!AO102-LauderOld!AO102=0,"",LauderNew!AO102-LauderOld!AO102)</f>
        <v/>
      </c>
      <c r="AP102" s="56" t="str">
        <f>IF(LauderNew!AP102-LauderOld!AP102=0,"",LauderNew!AP102-LauderOld!AP102)</f>
        <v/>
      </c>
      <c r="AQ102" s="56" t="str">
        <f>IF(LauderNew!AQ102-LauderOld!AQ102=0,"",LauderNew!AQ102-LauderOld!AQ102)</f>
        <v/>
      </c>
      <c r="AR102" s="56" t="str">
        <f>IF(LauderNew!AR102-LauderOld!AR102=0,"",LauderNew!AR102-LauderOld!AR102)</f>
        <v/>
      </c>
      <c r="AS102" s="56" t="str">
        <f>IF(LauderNew!AS102-LauderOld!AS102=0,"",LauderNew!AS102-LauderOld!AS102)</f>
        <v/>
      </c>
      <c r="AT102" s="56" t="str">
        <f>IF(LauderNew!AT102-LauderOld!AT102=0,"",LauderNew!AT102-LauderOld!AT102)</f>
        <v/>
      </c>
      <c r="AU102" s="56" t="str">
        <f>IF(LauderNew!AU102-LauderOld!AU102=0,"",LauderNew!AU102-LauderOld!AU102)</f>
        <v/>
      </c>
      <c r="AV102" s="56" t="str">
        <f>IF(LauderNew!AV102-LauderOld!AV102=0,"",LauderNew!AV102-LauderOld!AV102)</f>
        <v/>
      </c>
      <c r="AW102" s="56" t="str">
        <f>IF(LauderNew!AW102-LauderOld!AW102=0,"",LauderNew!AW102-LauderOld!AW102)</f>
        <v/>
      </c>
      <c r="AX102" s="56" t="str">
        <f>IF(LauderNew!AX102-LauderOld!AX102=0,"",LauderNew!AX102-LauderOld!AX102)</f>
        <v/>
      </c>
      <c r="AY102" s="56" t="str">
        <f>IF(LauderNew!AY102-LauderOld!AY102=0,"",LauderNew!AY102-LauderOld!AY102)</f>
        <v/>
      </c>
      <c r="AZ102" s="56" t="str">
        <f>IF(LauderNew!AZ102-LauderOld!AZ102=0,"",LauderNew!AZ102-LauderOld!AZ102)</f>
        <v/>
      </c>
      <c r="BA102" s="56" t="str">
        <f>IF(LauderNew!BA102-LauderOld!BA102=0,"",LauderNew!BA102-LauderOld!BA102)</f>
        <v/>
      </c>
      <c r="BB102" s="56" t="str">
        <f>IF(LauderNew!BB102-LauderOld!BB102=0,"",LauderNew!BB102-LauderOld!BB102)</f>
        <v/>
      </c>
      <c r="BC102" s="56" t="str">
        <f>IF(LauderNew!BC102-LauderOld!BC102=0,"",LauderNew!BC102-LauderOld!BC102)</f>
        <v/>
      </c>
      <c r="BD102" s="56" t="str">
        <f>IF(LauderNew!BD102-LauderOld!BD102=0,"",LauderNew!BD102-LauderOld!BD102)</f>
        <v/>
      </c>
    </row>
    <row r="103" spans="3:56" x14ac:dyDescent="0.25">
      <c r="C103" s="106"/>
      <c r="D103" s="49" t="s">
        <v>39</v>
      </c>
      <c r="E103" s="56" t="str">
        <f>IF(LauderNew!E103-LauderOld!E103=0,"",LauderNew!E103-LauderOld!E103)</f>
        <v/>
      </c>
      <c r="F103" s="56" t="str">
        <f>IF(LauderNew!F103-LauderOld!F103=0,"",LauderNew!F103-LauderOld!F103)</f>
        <v/>
      </c>
      <c r="G103" s="56" t="str">
        <f>IF(LauderNew!G103-LauderOld!G103=0,"",LauderNew!G103-LauderOld!G103)</f>
        <v/>
      </c>
      <c r="H103" s="56" t="str">
        <f>IF(LauderNew!H103-LauderOld!H103=0,"",LauderNew!H103-LauderOld!H103)</f>
        <v/>
      </c>
      <c r="I103" s="56" t="str">
        <f>IF(LauderNew!I103-LauderOld!I103=0,"",LauderNew!I103-LauderOld!I103)</f>
        <v/>
      </c>
      <c r="J103" s="56" t="str">
        <f>IF(LauderNew!J103-LauderOld!J103=0,"",LauderNew!J103-LauderOld!J103)</f>
        <v/>
      </c>
      <c r="K103" s="56" t="str">
        <f>IF(LauderNew!K103-LauderOld!K103=0,"",LauderNew!K103-LauderOld!K103)</f>
        <v/>
      </c>
      <c r="L103" s="56" t="str">
        <f>IF(LauderNew!L103-LauderOld!L103=0,"",LauderNew!L103-LauderOld!L103)</f>
        <v/>
      </c>
      <c r="M103" s="56" t="str">
        <f>IF(LauderNew!M103-LauderOld!M103=0,"",LauderNew!M103-LauderOld!M103)</f>
        <v/>
      </c>
      <c r="N103" s="56" t="str">
        <f>IF(LauderNew!N103-LauderOld!N103=0,"",LauderNew!N103-LauderOld!N103)</f>
        <v/>
      </c>
      <c r="O103" s="56" t="str">
        <f>IF(LauderNew!O103-LauderOld!O103=0,"",LauderNew!O103-LauderOld!O103)</f>
        <v/>
      </c>
      <c r="P103" s="56" t="str">
        <f>IF(LauderNew!P103-LauderOld!P103=0,"",LauderNew!P103-LauderOld!P103)</f>
        <v/>
      </c>
      <c r="Q103" s="56" t="str">
        <f>IF(LauderNew!Q103-LauderOld!Q103=0,"",LauderNew!Q103-LauderOld!Q103)</f>
        <v/>
      </c>
      <c r="R103" s="56" t="str">
        <f>IF(LauderNew!R103-LauderOld!R103=0,"",LauderNew!R103-LauderOld!R103)</f>
        <v/>
      </c>
      <c r="S103" s="56" t="str">
        <f>IF(LauderNew!S103-LauderOld!S103=0,"",LauderNew!S103-LauderOld!S103)</f>
        <v/>
      </c>
      <c r="T103" s="56" t="str">
        <f>IF(LauderNew!T103-LauderOld!T103=0,"",LauderNew!T103-LauderOld!T103)</f>
        <v/>
      </c>
      <c r="U103" s="56" t="str">
        <f>IF(LauderNew!U103-LauderOld!U103=0,"",LauderNew!U103-LauderOld!U103)</f>
        <v/>
      </c>
      <c r="V103" s="56" t="str">
        <f>IF(LauderNew!V103-LauderOld!V103=0,"",LauderNew!V103-LauderOld!V103)</f>
        <v/>
      </c>
      <c r="W103" s="56" t="str">
        <f>IF(LauderNew!W103-LauderOld!W103=0,"",LauderNew!W103-LauderOld!W103)</f>
        <v/>
      </c>
      <c r="X103" s="56" t="str">
        <f>IF(LauderNew!X103-LauderOld!X103=0,"",LauderNew!X103-LauderOld!X103)</f>
        <v/>
      </c>
      <c r="Y103" s="56" t="str">
        <f>IF(LauderNew!Y103-LauderOld!Y103=0,"",LauderNew!Y103-LauderOld!Y103)</f>
        <v/>
      </c>
      <c r="Z103" s="56" t="str">
        <f>IF(LauderNew!Z103-LauderOld!Z103=0,"",LauderNew!Z103-LauderOld!Z103)</f>
        <v/>
      </c>
      <c r="AA103" s="56" t="str">
        <f>IF(LauderNew!AA103-LauderOld!AA103=0,"",LauderNew!AA103-LauderOld!AA103)</f>
        <v/>
      </c>
      <c r="AB103" s="56" t="str">
        <f>IF(LauderNew!AB103-LauderOld!AB103=0,"",LauderNew!AB103-LauderOld!AB103)</f>
        <v/>
      </c>
      <c r="AC103" s="56" t="str">
        <f>IF(LauderNew!AC103-LauderOld!AC103=0,"",LauderNew!AC103-LauderOld!AC103)</f>
        <v/>
      </c>
      <c r="AD103" s="56" t="str">
        <f>IF(LauderNew!AD103-LauderOld!AD103=0,"",LauderNew!AD103-LauderOld!AD103)</f>
        <v/>
      </c>
      <c r="AE103" s="56" t="str">
        <f>IF(LauderNew!AE103-LauderOld!AE103=0,"",LauderNew!AE103-LauderOld!AE103)</f>
        <v/>
      </c>
      <c r="AF103" s="56" t="str">
        <f>IF(LauderNew!AF103-LauderOld!AF103=0,"",LauderNew!AF103-LauderOld!AF103)</f>
        <v/>
      </c>
      <c r="AG103" s="56" t="str">
        <f>IF(LauderNew!AG103-LauderOld!AG103=0,"",LauderNew!AG103-LauderOld!AG103)</f>
        <v/>
      </c>
      <c r="AH103" s="56" t="str">
        <f>IF(LauderNew!AH103-LauderOld!AH103=0,"",LauderNew!AH103-LauderOld!AH103)</f>
        <v/>
      </c>
      <c r="AI103" s="56" t="str">
        <f>IF(LauderNew!AI103-LauderOld!AI103=0,"",LauderNew!AI103-LauderOld!AI103)</f>
        <v/>
      </c>
      <c r="AJ103" s="56" t="str">
        <f>IF(LauderNew!AJ103-LauderOld!AJ103=0,"",LauderNew!AJ103-LauderOld!AJ103)</f>
        <v/>
      </c>
      <c r="AK103" s="56" t="str">
        <f>IF(LauderNew!AK103-LauderOld!AK103=0,"",LauderNew!AK103-LauderOld!AK103)</f>
        <v/>
      </c>
      <c r="AL103" s="56" t="str">
        <f>IF(LauderNew!AL103-LauderOld!AL103=0,"",LauderNew!AL103-LauderOld!AL103)</f>
        <v/>
      </c>
      <c r="AM103" s="56" t="str">
        <f>IF(LauderNew!AM103-LauderOld!AM103=0,"",LauderNew!AM103-LauderOld!AM103)</f>
        <v/>
      </c>
      <c r="AN103" s="56" t="str">
        <f>IF(LauderNew!AN103-LauderOld!AN103=0,"",LauderNew!AN103-LauderOld!AN103)</f>
        <v/>
      </c>
      <c r="AO103" s="56" t="str">
        <f>IF(LauderNew!AO103-LauderOld!AO103=0,"",LauderNew!AO103-LauderOld!AO103)</f>
        <v/>
      </c>
      <c r="AP103" s="56" t="str">
        <f>IF(LauderNew!AP103-LauderOld!AP103=0,"",LauderNew!AP103-LauderOld!AP103)</f>
        <v/>
      </c>
      <c r="AQ103" s="56" t="str">
        <f>IF(LauderNew!AQ103-LauderOld!AQ103=0,"",LauderNew!AQ103-LauderOld!AQ103)</f>
        <v/>
      </c>
      <c r="AR103" s="56" t="str">
        <f>IF(LauderNew!AR103-LauderOld!AR103=0,"",LauderNew!AR103-LauderOld!AR103)</f>
        <v/>
      </c>
      <c r="AS103" s="56" t="str">
        <f>IF(LauderNew!AS103-LauderOld!AS103=0,"",LauderNew!AS103-LauderOld!AS103)</f>
        <v/>
      </c>
      <c r="AT103" s="56" t="str">
        <f>IF(LauderNew!AT103-LauderOld!AT103=0,"",LauderNew!AT103-LauderOld!AT103)</f>
        <v/>
      </c>
      <c r="AU103" s="56" t="str">
        <f>IF(LauderNew!AU103-LauderOld!AU103=0,"",LauderNew!AU103-LauderOld!AU103)</f>
        <v/>
      </c>
      <c r="AV103" s="56" t="str">
        <f>IF(LauderNew!AV103-LauderOld!AV103=0,"",LauderNew!AV103-LauderOld!AV103)</f>
        <v/>
      </c>
      <c r="AW103" s="56" t="str">
        <f>IF(LauderNew!AW103-LauderOld!AW103=0,"",LauderNew!AW103-LauderOld!AW103)</f>
        <v/>
      </c>
      <c r="AX103" s="56" t="str">
        <f>IF(LauderNew!AX103-LauderOld!AX103=0,"",LauderNew!AX103-LauderOld!AX103)</f>
        <v/>
      </c>
      <c r="AY103" s="56" t="str">
        <f>IF(LauderNew!AY103-LauderOld!AY103=0,"",LauderNew!AY103-LauderOld!AY103)</f>
        <v/>
      </c>
      <c r="AZ103" s="56" t="str">
        <f>IF(LauderNew!AZ103-LauderOld!AZ103=0,"",LauderNew!AZ103-LauderOld!AZ103)</f>
        <v/>
      </c>
      <c r="BA103" s="56" t="str">
        <f>IF(LauderNew!BA103-LauderOld!BA103=0,"",LauderNew!BA103-LauderOld!BA103)</f>
        <v/>
      </c>
      <c r="BB103" s="56" t="str">
        <f>IF(LauderNew!BB103-LauderOld!BB103=0,"",LauderNew!BB103-LauderOld!BB103)</f>
        <v/>
      </c>
      <c r="BC103" s="56" t="str">
        <f>IF(LauderNew!BC103-LauderOld!BC103=0,"",LauderNew!BC103-LauderOld!BC103)</f>
        <v/>
      </c>
      <c r="BD103" s="56" t="str">
        <f>IF(LauderNew!BD103-LauderOld!BD103=0,"",LauderNew!BD103-LauderOld!BD103)</f>
        <v/>
      </c>
    </row>
    <row r="104" spans="3:56" x14ac:dyDescent="0.25">
      <c r="C104" s="106"/>
      <c r="D104" s="49" t="s">
        <v>40</v>
      </c>
      <c r="E104" s="56" t="str">
        <f>IF(LauderNew!E104-LauderOld!E104=0,"",LauderNew!E104-LauderOld!E104)</f>
        <v/>
      </c>
      <c r="F104" s="56" t="str">
        <f>IF(LauderNew!F104-LauderOld!F104=0,"",LauderNew!F104-LauderOld!F104)</f>
        <v/>
      </c>
      <c r="G104" s="56" t="str">
        <f>IF(LauderNew!G104-LauderOld!G104=0,"",LauderNew!G104-LauderOld!G104)</f>
        <v/>
      </c>
      <c r="H104" s="56" t="str">
        <f>IF(LauderNew!H104-LauderOld!H104=0,"",LauderNew!H104-LauderOld!H104)</f>
        <v/>
      </c>
      <c r="I104" s="56" t="str">
        <f>IF(LauderNew!I104-LauderOld!I104=0,"",LauderNew!I104-LauderOld!I104)</f>
        <v/>
      </c>
      <c r="J104" s="56" t="str">
        <f>IF(LauderNew!J104-LauderOld!J104=0,"",LauderNew!J104-LauderOld!J104)</f>
        <v/>
      </c>
      <c r="K104" s="56" t="str">
        <f>IF(LauderNew!K104-LauderOld!K104=0,"",LauderNew!K104-LauderOld!K104)</f>
        <v/>
      </c>
      <c r="L104" s="56" t="str">
        <f>IF(LauderNew!L104-LauderOld!L104=0,"",LauderNew!L104-LauderOld!L104)</f>
        <v/>
      </c>
      <c r="M104" s="56" t="str">
        <f>IF(LauderNew!M104-LauderOld!M104=0,"",LauderNew!M104-LauderOld!M104)</f>
        <v/>
      </c>
      <c r="N104" s="56" t="str">
        <f>IF(LauderNew!N104-LauderOld!N104=0,"",LauderNew!N104-LauderOld!N104)</f>
        <v/>
      </c>
      <c r="O104" s="56" t="str">
        <f>IF(LauderNew!O104-LauderOld!O104=0,"",LauderNew!O104-LauderOld!O104)</f>
        <v/>
      </c>
      <c r="P104" s="56" t="str">
        <f>IF(LauderNew!P104-LauderOld!P104=0,"",LauderNew!P104-LauderOld!P104)</f>
        <v/>
      </c>
      <c r="Q104" s="56" t="str">
        <f>IF(LauderNew!Q104-LauderOld!Q104=0,"",LauderNew!Q104-LauderOld!Q104)</f>
        <v/>
      </c>
      <c r="R104" s="56" t="str">
        <f>IF(LauderNew!R104-LauderOld!R104=0,"",LauderNew!R104-LauderOld!R104)</f>
        <v/>
      </c>
      <c r="S104" s="56" t="str">
        <f>IF(LauderNew!S104-LauderOld!S104=0,"",LauderNew!S104-LauderOld!S104)</f>
        <v/>
      </c>
      <c r="T104" s="56" t="str">
        <f>IF(LauderNew!T104-LauderOld!T104=0,"",LauderNew!T104-LauderOld!T104)</f>
        <v/>
      </c>
      <c r="U104" s="56" t="str">
        <f>IF(LauderNew!U104-LauderOld!U104=0,"",LauderNew!U104-LauderOld!U104)</f>
        <v/>
      </c>
      <c r="V104" s="56" t="str">
        <f>IF(LauderNew!V104-LauderOld!V104=0,"",LauderNew!V104-LauderOld!V104)</f>
        <v/>
      </c>
      <c r="W104" s="56" t="str">
        <f>IF(LauderNew!W104-LauderOld!W104=0,"",LauderNew!W104-LauderOld!W104)</f>
        <v/>
      </c>
      <c r="X104" s="56" t="str">
        <f>IF(LauderNew!X104-LauderOld!X104=0,"",LauderNew!X104-LauderOld!X104)</f>
        <v/>
      </c>
      <c r="Y104" s="56" t="str">
        <f>IF(LauderNew!Y104-LauderOld!Y104=0,"",LauderNew!Y104-LauderOld!Y104)</f>
        <v/>
      </c>
      <c r="Z104" s="56" t="str">
        <f>IF(LauderNew!Z104-LauderOld!Z104=0,"",LauderNew!Z104-LauderOld!Z104)</f>
        <v/>
      </c>
      <c r="AA104" s="56" t="str">
        <f>IF(LauderNew!AA104-LauderOld!AA104=0,"",LauderNew!AA104-LauderOld!AA104)</f>
        <v/>
      </c>
      <c r="AB104" s="56" t="str">
        <f>IF(LauderNew!AB104-LauderOld!AB104=0,"",LauderNew!AB104-LauderOld!AB104)</f>
        <v/>
      </c>
      <c r="AC104" s="56" t="str">
        <f>IF(LauderNew!AC104-LauderOld!AC104=0,"",LauderNew!AC104-LauderOld!AC104)</f>
        <v/>
      </c>
      <c r="AD104" s="56" t="str">
        <f>IF(LauderNew!AD104-LauderOld!AD104=0,"",LauderNew!AD104-LauderOld!AD104)</f>
        <v/>
      </c>
      <c r="AE104" s="56" t="str">
        <f>IF(LauderNew!AE104-LauderOld!AE104=0,"",LauderNew!AE104-LauderOld!AE104)</f>
        <v/>
      </c>
      <c r="AF104" s="56" t="str">
        <f>IF(LauderNew!AF104-LauderOld!AF104=0,"",LauderNew!AF104-LauderOld!AF104)</f>
        <v/>
      </c>
      <c r="AG104" s="56" t="str">
        <f>IF(LauderNew!AG104-LauderOld!AG104=0,"",LauderNew!AG104-LauderOld!AG104)</f>
        <v/>
      </c>
      <c r="AH104" s="56" t="str">
        <f>IF(LauderNew!AH104-LauderOld!AH104=0,"",LauderNew!AH104-LauderOld!AH104)</f>
        <v/>
      </c>
      <c r="AI104" s="56" t="str">
        <f>IF(LauderNew!AI104-LauderOld!AI104=0,"",LauderNew!AI104-LauderOld!AI104)</f>
        <v/>
      </c>
      <c r="AJ104" s="56" t="str">
        <f>IF(LauderNew!AJ104-LauderOld!AJ104=0,"",LauderNew!AJ104-LauderOld!AJ104)</f>
        <v/>
      </c>
      <c r="AK104" s="56" t="str">
        <f>IF(LauderNew!AK104-LauderOld!AK104=0,"",LauderNew!AK104-LauderOld!AK104)</f>
        <v/>
      </c>
      <c r="AL104" s="56" t="str">
        <f>IF(LauderNew!AL104-LauderOld!AL104=0,"",LauderNew!AL104-LauderOld!AL104)</f>
        <v/>
      </c>
      <c r="AM104" s="56" t="str">
        <f>IF(LauderNew!AM104-LauderOld!AM104=0,"",LauderNew!AM104-LauderOld!AM104)</f>
        <v/>
      </c>
      <c r="AN104" s="56" t="str">
        <f>IF(LauderNew!AN104-LauderOld!AN104=0,"",LauderNew!AN104-LauderOld!AN104)</f>
        <v/>
      </c>
      <c r="AO104" s="56" t="str">
        <f>IF(LauderNew!AO104-LauderOld!AO104=0,"",LauderNew!AO104-LauderOld!AO104)</f>
        <v/>
      </c>
      <c r="AP104" s="56" t="str">
        <f>IF(LauderNew!AP104-LauderOld!AP104=0,"",LauderNew!AP104-LauderOld!AP104)</f>
        <v/>
      </c>
      <c r="AQ104" s="56" t="str">
        <f>IF(LauderNew!AQ104-LauderOld!AQ104=0,"",LauderNew!AQ104-LauderOld!AQ104)</f>
        <v/>
      </c>
      <c r="AR104" s="56" t="str">
        <f>IF(LauderNew!AR104-LauderOld!AR104=0,"",LauderNew!AR104-LauderOld!AR104)</f>
        <v/>
      </c>
      <c r="AS104" s="56" t="str">
        <f>IF(LauderNew!AS104-LauderOld!AS104=0,"",LauderNew!AS104-LauderOld!AS104)</f>
        <v/>
      </c>
      <c r="AT104" s="56" t="str">
        <f>IF(LauderNew!AT104-LauderOld!AT104=0,"",LauderNew!AT104-LauderOld!AT104)</f>
        <v/>
      </c>
      <c r="AU104" s="56" t="str">
        <f>IF(LauderNew!AU104-LauderOld!AU104=0,"",LauderNew!AU104-LauderOld!AU104)</f>
        <v/>
      </c>
      <c r="AV104" s="56" t="str">
        <f>IF(LauderNew!AV104-LauderOld!AV104=0,"",LauderNew!AV104-LauderOld!AV104)</f>
        <v/>
      </c>
      <c r="AW104" s="56" t="str">
        <f>IF(LauderNew!AW104-LauderOld!AW104=0,"",LauderNew!AW104-LauderOld!AW104)</f>
        <v/>
      </c>
      <c r="AX104" s="56" t="str">
        <f>IF(LauderNew!AX104-LauderOld!AX104=0,"",LauderNew!AX104-LauderOld!AX104)</f>
        <v/>
      </c>
      <c r="AY104" s="56" t="str">
        <f>IF(LauderNew!AY104-LauderOld!AY104=0,"",LauderNew!AY104-LauderOld!AY104)</f>
        <v/>
      </c>
      <c r="AZ104" s="56" t="str">
        <f>IF(LauderNew!AZ104-LauderOld!AZ104=0,"",LauderNew!AZ104-LauderOld!AZ104)</f>
        <v/>
      </c>
      <c r="BA104" s="56" t="str">
        <f>IF(LauderNew!BA104-LauderOld!BA104=0,"",LauderNew!BA104-LauderOld!BA104)</f>
        <v/>
      </c>
      <c r="BB104" s="56" t="str">
        <f>IF(LauderNew!BB104-LauderOld!BB104=0,"",LauderNew!BB104-LauderOld!BB104)</f>
        <v/>
      </c>
      <c r="BC104" s="56" t="str">
        <f>IF(LauderNew!BC104-LauderOld!BC104=0,"",LauderNew!BC104-LauderOld!BC104)</f>
        <v/>
      </c>
      <c r="BD104" s="56" t="str">
        <f>IF(LauderNew!BD104-LauderOld!BD104=0,"",LauderNew!BD104-LauderOld!BD104)</f>
        <v/>
      </c>
    </row>
    <row r="105" spans="3:56" x14ac:dyDescent="0.25">
      <c r="C105" s="106"/>
      <c r="D105" s="50" t="s">
        <v>41</v>
      </c>
      <c r="E105" s="56" t="str">
        <f>IFERROR((SUM(E98:E104)*E107)/((40*(1-E106)+40)),"")</f>
        <v/>
      </c>
      <c r="F105" s="56" t="str">
        <f t="shared" ref="F105:BD105" si="27">IFERROR((SUM(F98:F104)*F107)/((40*(1-F106)+40)),"")</f>
        <v/>
      </c>
      <c r="G105" s="56" t="str">
        <f t="shared" si="27"/>
        <v/>
      </c>
      <c r="H105" s="56" t="str">
        <f t="shared" si="27"/>
        <v/>
      </c>
      <c r="I105" s="56" t="str">
        <f t="shared" si="27"/>
        <v/>
      </c>
      <c r="J105" s="56" t="str">
        <f t="shared" si="27"/>
        <v/>
      </c>
      <c r="K105" s="56" t="str">
        <f t="shared" si="27"/>
        <v/>
      </c>
      <c r="L105" s="56" t="str">
        <f t="shared" si="27"/>
        <v/>
      </c>
      <c r="M105" s="56" t="str">
        <f t="shared" si="27"/>
        <v/>
      </c>
      <c r="N105" s="56" t="str">
        <f t="shared" si="27"/>
        <v/>
      </c>
      <c r="O105" s="56" t="str">
        <f t="shared" si="27"/>
        <v/>
      </c>
      <c r="P105" s="56" t="str">
        <f t="shared" si="27"/>
        <v/>
      </c>
      <c r="Q105" s="56" t="str">
        <f t="shared" si="27"/>
        <v/>
      </c>
      <c r="R105" s="56" t="str">
        <f t="shared" si="27"/>
        <v/>
      </c>
      <c r="S105" s="56" t="str">
        <f t="shared" si="27"/>
        <v/>
      </c>
      <c r="T105" s="56" t="str">
        <f t="shared" si="27"/>
        <v/>
      </c>
      <c r="U105" s="56" t="str">
        <f t="shared" si="27"/>
        <v/>
      </c>
      <c r="V105" s="56" t="str">
        <f t="shared" si="27"/>
        <v/>
      </c>
      <c r="W105" s="56" t="str">
        <f t="shared" si="27"/>
        <v/>
      </c>
      <c r="X105" s="56" t="str">
        <f t="shared" si="27"/>
        <v/>
      </c>
      <c r="Y105" s="56" t="str">
        <f t="shared" si="27"/>
        <v/>
      </c>
      <c r="Z105" s="56" t="str">
        <f t="shared" si="27"/>
        <v/>
      </c>
      <c r="AA105" s="56" t="str">
        <f t="shared" si="27"/>
        <v/>
      </c>
      <c r="AB105" s="56" t="str">
        <f t="shared" si="27"/>
        <v/>
      </c>
      <c r="AC105" s="56" t="str">
        <f t="shared" si="27"/>
        <v/>
      </c>
      <c r="AD105" s="56" t="str">
        <f t="shared" si="27"/>
        <v/>
      </c>
      <c r="AE105" s="56" t="str">
        <f t="shared" si="27"/>
        <v/>
      </c>
      <c r="AF105" s="56" t="str">
        <f t="shared" si="27"/>
        <v/>
      </c>
      <c r="AG105" s="56" t="str">
        <f t="shared" si="27"/>
        <v/>
      </c>
      <c r="AH105" s="56" t="str">
        <f t="shared" si="27"/>
        <v/>
      </c>
      <c r="AI105" s="56" t="str">
        <f t="shared" si="27"/>
        <v/>
      </c>
      <c r="AJ105" s="56" t="str">
        <f t="shared" si="27"/>
        <v/>
      </c>
      <c r="AK105" s="56" t="str">
        <f t="shared" si="27"/>
        <v/>
      </c>
      <c r="AL105" s="56" t="str">
        <f t="shared" si="27"/>
        <v/>
      </c>
      <c r="AM105" s="56" t="str">
        <f t="shared" si="27"/>
        <v/>
      </c>
      <c r="AN105" s="56" t="str">
        <f t="shared" si="27"/>
        <v/>
      </c>
      <c r="AO105" s="56" t="str">
        <f t="shared" si="27"/>
        <v/>
      </c>
      <c r="AP105" s="56" t="str">
        <f t="shared" si="27"/>
        <v/>
      </c>
      <c r="AQ105" s="56" t="str">
        <f t="shared" si="27"/>
        <v/>
      </c>
      <c r="AR105" s="56" t="str">
        <f t="shared" si="27"/>
        <v/>
      </c>
      <c r="AS105" s="56" t="str">
        <f t="shared" si="27"/>
        <v/>
      </c>
      <c r="AT105" s="56" t="str">
        <f t="shared" si="27"/>
        <v/>
      </c>
      <c r="AU105" s="56" t="str">
        <f t="shared" si="27"/>
        <v/>
      </c>
      <c r="AV105" s="56" t="str">
        <f t="shared" si="27"/>
        <v/>
      </c>
      <c r="AW105" s="56" t="str">
        <f t="shared" si="27"/>
        <v/>
      </c>
      <c r="AX105" s="56" t="str">
        <f t="shared" si="27"/>
        <v/>
      </c>
      <c r="AY105" s="56" t="str">
        <f t="shared" si="27"/>
        <v/>
      </c>
      <c r="AZ105" s="56" t="str">
        <f t="shared" si="27"/>
        <v/>
      </c>
      <c r="BA105" s="56" t="str">
        <f t="shared" si="27"/>
        <v/>
      </c>
      <c r="BB105" s="56" t="str">
        <f t="shared" si="27"/>
        <v/>
      </c>
      <c r="BC105" s="56" t="str">
        <f t="shared" si="27"/>
        <v/>
      </c>
      <c r="BD105" s="56" t="str">
        <f t="shared" si="27"/>
        <v/>
      </c>
    </row>
    <row r="106" spans="3:56" x14ac:dyDescent="0.25">
      <c r="C106" s="106"/>
      <c r="D106" s="50" t="s">
        <v>42</v>
      </c>
      <c r="E106" s="67" t="str">
        <f>IF(LauderNew!E106-LauderOld!E106=0,"",LauderNew!E106-LauderOld!E106)</f>
        <v/>
      </c>
      <c r="F106" s="67" t="str">
        <f>IF(LauderNew!F106-LauderOld!F106=0,"",LauderNew!F106-LauderOld!F106)</f>
        <v/>
      </c>
      <c r="G106" s="67" t="str">
        <f>IF(LauderNew!G106-LauderOld!G106=0,"",LauderNew!G106-LauderOld!G106)</f>
        <v/>
      </c>
      <c r="H106" s="67" t="str">
        <f>IF(LauderNew!H106-LauderOld!H106=0,"",LauderNew!H106-LauderOld!H106)</f>
        <v/>
      </c>
      <c r="I106" s="67" t="str">
        <f>IF(LauderNew!I106-LauderOld!I106=0,"",LauderNew!I106-LauderOld!I106)</f>
        <v/>
      </c>
      <c r="J106" s="67" t="str">
        <f>IF(LauderNew!J106-LauderOld!J106=0,"",LauderNew!J106-LauderOld!J106)</f>
        <v/>
      </c>
      <c r="K106" s="67" t="str">
        <f>IF(LauderNew!K106-LauderOld!K106=0,"",LauderNew!K106-LauderOld!K106)</f>
        <v/>
      </c>
      <c r="L106" s="67" t="str">
        <f>IF(LauderNew!L106-LauderOld!L106=0,"",LauderNew!L106-LauderOld!L106)</f>
        <v/>
      </c>
      <c r="M106" s="67" t="str">
        <f>IF(LauderNew!M106-LauderOld!M106=0,"",LauderNew!M106-LauderOld!M106)</f>
        <v/>
      </c>
      <c r="N106" s="67" t="str">
        <f>IF(LauderNew!N106-LauderOld!N106=0,"",LauderNew!N106-LauderOld!N106)</f>
        <v/>
      </c>
      <c r="O106" s="67" t="str">
        <f>IF(LauderNew!O106-LauderOld!O106=0,"",LauderNew!O106-LauderOld!O106)</f>
        <v/>
      </c>
      <c r="P106" s="67" t="str">
        <f>IF(LauderNew!P106-LauderOld!P106=0,"",LauderNew!P106-LauderOld!P106)</f>
        <v/>
      </c>
      <c r="Q106" s="67" t="str">
        <f>IF(LauderNew!Q106-LauderOld!Q106=0,"",LauderNew!Q106-LauderOld!Q106)</f>
        <v/>
      </c>
      <c r="R106" s="67" t="str">
        <f>IF(LauderNew!R106-LauderOld!R106=0,"",LauderNew!R106-LauderOld!R106)</f>
        <v/>
      </c>
      <c r="S106" s="67" t="str">
        <f>IF(LauderNew!S106-LauderOld!S106=0,"",LauderNew!S106-LauderOld!S106)</f>
        <v/>
      </c>
      <c r="T106" s="67" t="str">
        <f>IF(LauderNew!T106-LauderOld!T106=0,"",LauderNew!T106-LauderOld!T106)</f>
        <v/>
      </c>
      <c r="U106" s="67" t="str">
        <f>IF(LauderNew!U106-LauderOld!U106=0,"",LauderNew!U106-LauderOld!U106)</f>
        <v/>
      </c>
      <c r="V106" s="67" t="str">
        <f>IF(LauderNew!V106-LauderOld!V106=0,"",LauderNew!V106-LauderOld!V106)</f>
        <v/>
      </c>
      <c r="W106" s="67" t="str">
        <f>IF(LauderNew!W106-LauderOld!W106=0,"",LauderNew!W106-LauderOld!W106)</f>
        <v/>
      </c>
      <c r="X106" s="67" t="str">
        <f>IF(LauderNew!X106-LauderOld!X106=0,"",LauderNew!X106-LauderOld!X106)</f>
        <v/>
      </c>
      <c r="Y106" s="67" t="str">
        <f>IF(LauderNew!Y106-LauderOld!Y106=0,"",LauderNew!Y106-LauderOld!Y106)</f>
        <v/>
      </c>
      <c r="Z106" s="67" t="str">
        <f>IF(LauderNew!Z106-LauderOld!Z106=0,"",LauderNew!Z106-LauderOld!Z106)</f>
        <v/>
      </c>
      <c r="AA106" s="67" t="str">
        <f>IF(LauderNew!AA106-LauderOld!AA106=0,"",LauderNew!AA106-LauderOld!AA106)</f>
        <v/>
      </c>
      <c r="AB106" s="67" t="str">
        <f>IF(LauderNew!AB106-LauderOld!AB106=0,"",LauderNew!AB106-LauderOld!AB106)</f>
        <v/>
      </c>
      <c r="AC106" s="67" t="str">
        <f>IF(LauderNew!AC106-LauderOld!AC106=0,"",LauderNew!AC106-LauderOld!AC106)</f>
        <v/>
      </c>
      <c r="AD106" s="67" t="str">
        <f>IF(LauderNew!AD106-LauderOld!AD106=0,"",LauderNew!AD106-LauderOld!AD106)</f>
        <v/>
      </c>
      <c r="AE106" s="67" t="str">
        <f>IF(LauderNew!AE106-LauderOld!AE106=0,"",LauderNew!AE106-LauderOld!AE106)</f>
        <v/>
      </c>
      <c r="AF106" s="67" t="str">
        <f>IF(LauderNew!AF106-LauderOld!AF106=0,"",LauderNew!AF106-LauderOld!AF106)</f>
        <v/>
      </c>
      <c r="AG106" s="67" t="str">
        <f>IF(LauderNew!AG106-LauderOld!AG106=0,"",LauderNew!AG106-LauderOld!AG106)</f>
        <v/>
      </c>
      <c r="AH106" s="67" t="str">
        <f>IF(LauderNew!AH106-LauderOld!AH106=0,"",LauderNew!AH106-LauderOld!AH106)</f>
        <v/>
      </c>
      <c r="AI106" s="67" t="str">
        <f>IF(LauderNew!AI106-LauderOld!AI106=0,"",LauderNew!AI106-LauderOld!AI106)</f>
        <v/>
      </c>
      <c r="AJ106" s="67" t="str">
        <f>IF(LauderNew!AJ106-LauderOld!AJ106=0,"",LauderNew!AJ106-LauderOld!AJ106)</f>
        <v/>
      </c>
      <c r="AK106" s="67" t="str">
        <f>IF(LauderNew!AK106-LauderOld!AK106=0,"",LauderNew!AK106-LauderOld!AK106)</f>
        <v/>
      </c>
      <c r="AL106" s="67" t="str">
        <f>IF(LauderNew!AL106-LauderOld!AL106=0,"",LauderNew!AL106-LauderOld!AL106)</f>
        <v/>
      </c>
      <c r="AM106" s="67" t="str">
        <f>IF(LauderNew!AM106-LauderOld!AM106=0,"",LauderNew!AM106-LauderOld!AM106)</f>
        <v/>
      </c>
      <c r="AN106" s="67" t="str">
        <f>IF(LauderNew!AN106-LauderOld!AN106=0,"",LauderNew!AN106-LauderOld!AN106)</f>
        <v/>
      </c>
      <c r="AO106" s="67" t="str">
        <f>IF(LauderNew!AO106-LauderOld!AO106=0,"",LauderNew!AO106-LauderOld!AO106)</f>
        <v/>
      </c>
      <c r="AP106" s="67" t="str">
        <f>IF(LauderNew!AP106-LauderOld!AP106=0,"",LauderNew!AP106-LauderOld!AP106)</f>
        <v/>
      </c>
      <c r="AQ106" s="67" t="str">
        <f>IF(LauderNew!AQ106-LauderOld!AQ106=0,"",LauderNew!AQ106-LauderOld!AQ106)</f>
        <v/>
      </c>
      <c r="AR106" s="67" t="str">
        <f>IF(LauderNew!AR106-LauderOld!AR106=0,"",LauderNew!AR106-LauderOld!AR106)</f>
        <v/>
      </c>
      <c r="AS106" s="67" t="str">
        <f>IF(LauderNew!AS106-LauderOld!AS106=0,"",LauderNew!AS106-LauderOld!AS106)</f>
        <v/>
      </c>
      <c r="AT106" s="67" t="str">
        <f>IF(LauderNew!AT106-LauderOld!AT106=0,"",LauderNew!AT106-LauderOld!AT106)</f>
        <v/>
      </c>
      <c r="AU106" s="67" t="str">
        <f>IF(LauderNew!AU106-LauderOld!AU106=0,"",LauderNew!AU106-LauderOld!AU106)</f>
        <v/>
      </c>
      <c r="AV106" s="67" t="str">
        <f>IF(LauderNew!AV106-LauderOld!AV106=0,"",LauderNew!AV106-LauderOld!AV106)</f>
        <v/>
      </c>
      <c r="AW106" s="67" t="str">
        <f>IF(LauderNew!AW106-LauderOld!AW106=0,"",LauderNew!AW106-LauderOld!AW106)</f>
        <v/>
      </c>
      <c r="AX106" s="67" t="str">
        <f>IF(LauderNew!AX106-LauderOld!AX106=0,"",LauderNew!AX106-LauderOld!AX106)</f>
        <v/>
      </c>
      <c r="AY106" s="67" t="str">
        <f>IF(LauderNew!AY106-LauderOld!AY106=0,"",LauderNew!AY106-LauderOld!AY106)</f>
        <v/>
      </c>
      <c r="AZ106" s="67" t="str">
        <f>IF(LauderNew!AZ106-LauderOld!AZ106=0,"",LauderNew!AZ106-LauderOld!AZ106)</f>
        <v/>
      </c>
      <c r="BA106" s="67" t="str">
        <f>IF(LauderNew!BA106-LauderOld!BA106=0,"",LauderNew!BA106-LauderOld!BA106)</f>
        <v/>
      </c>
      <c r="BB106" s="67" t="str">
        <f>IF(LauderNew!BB106-LauderOld!BB106=0,"",LauderNew!BB106-LauderOld!BB106)</f>
        <v/>
      </c>
      <c r="BC106" s="67" t="str">
        <f>IF(LauderNew!BC106-LauderOld!BC106=0,"",LauderNew!BC106-LauderOld!BC106)</f>
        <v/>
      </c>
      <c r="BD106" s="67" t="str">
        <f>IF(LauderNew!BD106-LauderOld!BD106=0,"",LauderNew!BD106-LauderOld!BD106)</f>
        <v/>
      </c>
    </row>
    <row r="107" spans="3:56" x14ac:dyDescent="0.25">
      <c r="C107" s="106"/>
      <c r="D107" s="50" t="s">
        <v>43</v>
      </c>
      <c r="E107" s="65" t="str">
        <f>IF(LauderNew!E107-LauderOld!E107=0,"",LauderNew!E107-LauderOld!E107)</f>
        <v/>
      </c>
      <c r="F107" s="65" t="str">
        <f>IF(LauderNew!F107-LauderOld!F107=0,"",LauderNew!F107-LauderOld!F107)</f>
        <v/>
      </c>
      <c r="G107" s="65" t="str">
        <f>IF(LauderNew!G107-LauderOld!G107=0,"",LauderNew!G107-LauderOld!G107)</f>
        <v/>
      </c>
      <c r="H107" s="65" t="str">
        <f>IF(LauderNew!H107-LauderOld!H107=0,"",LauderNew!H107-LauderOld!H107)</f>
        <v/>
      </c>
      <c r="I107" s="65" t="str">
        <f>IF(LauderNew!I107-LauderOld!I107=0,"",LauderNew!I107-LauderOld!I107)</f>
        <v/>
      </c>
      <c r="J107" s="65" t="str">
        <f>IF(LauderNew!J107-LauderOld!J107=0,"",LauderNew!J107-LauderOld!J107)</f>
        <v/>
      </c>
      <c r="K107" s="65" t="str">
        <f>IF(LauderNew!K107-LauderOld!K107=0,"",LauderNew!K107-LauderOld!K107)</f>
        <v/>
      </c>
      <c r="L107" s="65" t="str">
        <f>IF(LauderNew!L107-LauderOld!L107=0,"",LauderNew!L107-LauderOld!L107)</f>
        <v/>
      </c>
      <c r="M107" s="65" t="str">
        <f>IF(LauderNew!M107-LauderOld!M107=0,"",LauderNew!M107-LauderOld!M107)</f>
        <v/>
      </c>
      <c r="N107" s="65" t="str">
        <f>IF(LauderNew!N107-LauderOld!N107=0,"",LauderNew!N107-LauderOld!N107)</f>
        <v/>
      </c>
      <c r="O107" s="65" t="str">
        <f>IF(LauderNew!O107-LauderOld!O107=0,"",LauderNew!O107-LauderOld!O107)</f>
        <v/>
      </c>
      <c r="P107" s="65" t="str">
        <f>IF(LauderNew!P107-LauderOld!P107=0,"",LauderNew!P107-LauderOld!P107)</f>
        <v/>
      </c>
      <c r="Q107" s="65" t="str">
        <f>IF(LauderNew!Q107-LauderOld!Q107=0,"",LauderNew!Q107-LauderOld!Q107)</f>
        <v/>
      </c>
      <c r="R107" s="65" t="str">
        <f>IF(LauderNew!R107-LauderOld!R107=0,"",LauderNew!R107-LauderOld!R107)</f>
        <v/>
      </c>
      <c r="S107" s="65" t="str">
        <f>IF(LauderNew!S107-LauderOld!S107=0,"",LauderNew!S107-LauderOld!S107)</f>
        <v/>
      </c>
      <c r="T107" s="65" t="str">
        <f>IF(LauderNew!T107-LauderOld!T107=0,"",LauderNew!T107-LauderOld!T107)</f>
        <v/>
      </c>
      <c r="U107" s="65" t="str">
        <f>IF(LauderNew!U107-LauderOld!U107=0,"",LauderNew!U107-LauderOld!U107)</f>
        <v/>
      </c>
      <c r="V107" s="65" t="str">
        <f>IF(LauderNew!V107-LauderOld!V107=0,"",LauderNew!V107-LauderOld!V107)</f>
        <v/>
      </c>
      <c r="W107" s="65" t="str">
        <f>IF(LauderNew!W107-LauderOld!W107=0,"",LauderNew!W107-LauderOld!W107)</f>
        <v/>
      </c>
      <c r="X107" s="65" t="str">
        <f>IF(LauderNew!X107-LauderOld!X107=0,"",LauderNew!X107-LauderOld!X107)</f>
        <v/>
      </c>
      <c r="Y107" s="65" t="str">
        <f>IF(LauderNew!Y107-LauderOld!Y107=0,"",LauderNew!Y107-LauderOld!Y107)</f>
        <v/>
      </c>
      <c r="Z107" s="65" t="str">
        <f>IF(LauderNew!Z107-LauderOld!Z107=0,"",LauderNew!Z107-LauderOld!Z107)</f>
        <v/>
      </c>
      <c r="AA107" s="65" t="str">
        <f>IF(LauderNew!AA107-LauderOld!AA107=0,"",LauderNew!AA107-LauderOld!AA107)</f>
        <v/>
      </c>
      <c r="AB107" s="65" t="str">
        <f>IF(LauderNew!AB107-LauderOld!AB107=0,"",LauderNew!AB107-LauderOld!AB107)</f>
        <v/>
      </c>
      <c r="AC107" s="65" t="str">
        <f>IF(LauderNew!AC107-LauderOld!AC107=0,"",LauderNew!AC107-LauderOld!AC107)</f>
        <v/>
      </c>
      <c r="AD107" s="65" t="str">
        <f>IF(LauderNew!AD107-LauderOld!AD107=0,"",LauderNew!AD107-LauderOld!AD107)</f>
        <v/>
      </c>
      <c r="AE107" s="65" t="str">
        <f>IF(LauderNew!AE107-LauderOld!AE107=0,"",LauderNew!AE107-LauderOld!AE107)</f>
        <v/>
      </c>
      <c r="AF107" s="65" t="str">
        <f>IF(LauderNew!AF107-LauderOld!AF107=0,"",LauderNew!AF107-LauderOld!AF107)</f>
        <v/>
      </c>
      <c r="AG107" s="65" t="str">
        <f>IF(LauderNew!AG107-LauderOld!AG107=0,"",LauderNew!AG107-LauderOld!AG107)</f>
        <v/>
      </c>
      <c r="AH107" s="65" t="str">
        <f>IF(LauderNew!AH107-LauderOld!AH107=0,"",LauderNew!AH107-LauderOld!AH107)</f>
        <v/>
      </c>
      <c r="AI107" s="65" t="str">
        <f>IF(LauderNew!AI107-LauderOld!AI107=0,"",LauderNew!AI107-LauderOld!AI107)</f>
        <v/>
      </c>
      <c r="AJ107" s="65" t="str">
        <f>IF(LauderNew!AJ107-LauderOld!AJ107=0,"",LauderNew!AJ107-LauderOld!AJ107)</f>
        <v/>
      </c>
      <c r="AK107" s="65" t="str">
        <f>IF(LauderNew!AK107-LauderOld!AK107=0,"",LauderNew!AK107-LauderOld!AK107)</f>
        <v/>
      </c>
      <c r="AL107" s="65" t="str">
        <f>IF(LauderNew!AL107-LauderOld!AL107=0,"",LauderNew!AL107-LauderOld!AL107)</f>
        <v/>
      </c>
      <c r="AM107" s="65" t="str">
        <f>IF(LauderNew!AM107-LauderOld!AM107=0,"",LauderNew!AM107-LauderOld!AM107)</f>
        <v/>
      </c>
      <c r="AN107" s="65" t="str">
        <f>IF(LauderNew!AN107-LauderOld!AN107=0,"",LauderNew!AN107-LauderOld!AN107)</f>
        <v/>
      </c>
      <c r="AO107" s="65" t="str">
        <f>IF(LauderNew!AO107-LauderOld!AO107=0,"",LauderNew!AO107-LauderOld!AO107)</f>
        <v/>
      </c>
      <c r="AP107" s="65" t="str">
        <f>IF(LauderNew!AP107-LauderOld!AP107=0,"",LauderNew!AP107-LauderOld!AP107)</f>
        <v/>
      </c>
      <c r="AQ107" s="65" t="str">
        <f>IF(LauderNew!AQ107-LauderOld!AQ107=0,"",LauderNew!AQ107-LauderOld!AQ107)</f>
        <v/>
      </c>
      <c r="AR107" s="65" t="str">
        <f>IF(LauderNew!AR107-LauderOld!AR107=0,"",LauderNew!AR107-LauderOld!AR107)</f>
        <v/>
      </c>
      <c r="AS107" s="65" t="str">
        <f>IF(LauderNew!AS107-LauderOld!AS107=0,"",LauderNew!AS107-LauderOld!AS107)</f>
        <v/>
      </c>
      <c r="AT107" s="65" t="str">
        <f>IF(LauderNew!AT107-LauderOld!AT107=0,"",LauderNew!AT107-LauderOld!AT107)</f>
        <v/>
      </c>
      <c r="AU107" s="65" t="str">
        <f>IF(LauderNew!AU107-LauderOld!AU107=0,"",LauderNew!AU107-LauderOld!AU107)</f>
        <v/>
      </c>
      <c r="AV107" s="65" t="str">
        <f>IF(LauderNew!AV107-LauderOld!AV107=0,"",LauderNew!AV107-LauderOld!AV107)</f>
        <v/>
      </c>
      <c r="AW107" s="65" t="str">
        <f>IF(LauderNew!AW107-LauderOld!AW107=0,"",LauderNew!AW107-LauderOld!AW107)</f>
        <v/>
      </c>
      <c r="AX107" s="65" t="str">
        <f>IF(LauderNew!AX107-LauderOld!AX107=0,"",LauderNew!AX107-LauderOld!AX107)</f>
        <v/>
      </c>
      <c r="AY107" s="65" t="str">
        <f>IF(LauderNew!AY107-LauderOld!AY107=0,"",LauderNew!AY107-LauderOld!AY107)</f>
        <v/>
      </c>
      <c r="AZ107" s="65" t="str">
        <f>IF(LauderNew!AZ107-LauderOld!AZ107=0,"",LauderNew!AZ107-LauderOld!AZ107)</f>
        <v/>
      </c>
      <c r="BA107" s="65" t="str">
        <f>IF(LauderNew!BA107-LauderOld!BA107=0,"",LauderNew!BA107-LauderOld!BA107)</f>
        <v/>
      </c>
      <c r="BB107" s="65" t="str">
        <f>IF(LauderNew!BB107-LauderOld!BB107=0,"",LauderNew!BB107-LauderOld!BB107)</f>
        <v/>
      </c>
      <c r="BC107" s="65" t="str">
        <f>IF(LauderNew!BC107-LauderOld!BC107=0,"",LauderNew!BC107-LauderOld!BC107)</f>
        <v/>
      </c>
      <c r="BD107" s="65" t="str">
        <f>IF(LauderNew!BD107-LauderOld!BD107=0,"",LauderNew!BD107-LauderOld!BD107)</f>
        <v/>
      </c>
    </row>
    <row r="108" spans="3:56" x14ac:dyDescent="0.25">
      <c r="C108" s="106"/>
      <c r="D108" s="51" t="s">
        <v>44</v>
      </c>
      <c r="E108" s="55">
        <f t="shared" ref="E108:BD108" si="28">SUM(E98:E105)</f>
        <v>0</v>
      </c>
      <c r="F108" s="55">
        <f t="shared" si="28"/>
        <v>0</v>
      </c>
      <c r="G108" s="55">
        <f t="shared" si="28"/>
        <v>0</v>
      </c>
      <c r="H108" s="55">
        <f t="shared" si="28"/>
        <v>0</v>
      </c>
      <c r="I108" s="55">
        <f t="shared" si="28"/>
        <v>0</v>
      </c>
      <c r="J108" s="55">
        <f t="shared" si="28"/>
        <v>0</v>
      </c>
      <c r="K108" s="55">
        <f t="shared" si="28"/>
        <v>0</v>
      </c>
      <c r="L108" s="55">
        <f t="shared" si="28"/>
        <v>0</v>
      </c>
      <c r="M108" s="55">
        <f t="shared" si="28"/>
        <v>0</v>
      </c>
      <c r="N108" s="55">
        <f t="shared" si="28"/>
        <v>0</v>
      </c>
      <c r="O108" s="55">
        <f t="shared" si="28"/>
        <v>0</v>
      </c>
      <c r="P108" s="55">
        <f t="shared" si="28"/>
        <v>0</v>
      </c>
      <c r="Q108" s="55">
        <f t="shared" si="28"/>
        <v>0</v>
      </c>
      <c r="R108" s="55">
        <f t="shared" si="28"/>
        <v>0</v>
      </c>
      <c r="S108" s="55">
        <f t="shared" si="28"/>
        <v>0</v>
      </c>
      <c r="T108" s="55">
        <f t="shared" si="28"/>
        <v>0</v>
      </c>
      <c r="U108" s="55">
        <f t="shared" si="28"/>
        <v>0</v>
      </c>
      <c r="V108" s="55">
        <f t="shared" si="28"/>
        <v>0</v>
      </c>
      <c r="W108" s="55">
        <f t="shared" si="28"/>
        <v>0</v>
      </c>
      <c r="X108" s="55">
        <f t="shared" si="28"/>
        <v>0</v>
      </c>
      <c r="Y108" s="55">
        <f t="shared" si="28"/>
        <v>0</v>
      </c>
      <c r="Z108" s="55">
        <f t="shared" si="28"/>
        <v>0</v>
      </c>
      <c r="AA108" s="55">
        <f t="shared" si="28"/>
        <v>0</v>
      </c>
      <c r="AB108" s="55">
        <f t="shared" si="28"/>
        <v>0</v>
      </c>
      <c r="AC108" s="55">
        <f t="shared" si="28"/>
        <v>0</v>
      </c>
      <c r="AD108" s="55">
        <f t="shared" si="28"/>
        <v>0</v>
      </c>
      <c r="AE108" s="55">
        <f t="shared" si="28"/>
        <v>0</v>
      </c>
      <c r="AF108" s="55">
        <f t="shared" si="28"/>
        <v>0</v>
      </c>
      <c r="AG108" s="55">
        <f t="shared" si="28"/>
        <v>0</v>
      </c>
      <c r="AH108" s="55">
        <f t="shared" si="28"/>
        <v>0</v>
      </c>
      <c r="AI108" s="55">
        <f t="shared" si="28"/>
        <v>0</v>
      </c>
      <c r="AJ108" s="55">
        <f t="shared" si="28"/>
        <v>0</v>
      </c>
      <c r="AK108" s="55">
        <f t="shared" si="28"/>
        <v>0</v>
      </c>
      <c r="AL108" s="55">
        <f t="shared" si="28"/>
        <v>0</v>
      </c>
      <c r="AM108" s="55">
        <f t="shared" si="28"/>
        <v>0</v>
      </c>
      <c r="AN108" s="55">
        <f t="shared" si="28"/>
        <v>0</v>
      </c>
      <c r="AO108" s="55">
        <f t="shared" si="28"/>
        <v>0</v>
      </c>
      <c r="AP108" s="55">
        <f t="shared" si="28"/>
        <v>0</v>
      </c>
      <c r="AQ108" s="55">
        <f t="shared" si="28"/>
        <v>0</v>
      </c>
      <c r="AR108" s="55">
        <f t="shared" si="28"/>
        <v>0</v>
      </c>
      <c r="AS108" s="55">
        <f t="shared" si="28"/>
        <v>0</v>
      </c>
      <c r="AT108" s="55">
        <f t="shared" si="28"/>
        <v>0</v>
      </c>
      <c r="AU108" s="55">
        <f t="shared" si="28"/>
        <v>0</v>
      </c>
      <c r="AV108" s="55">
        <f t="shared" si="28"/>
        <v>0</v>
      </c>
      <c r="AW108" s="55">
        <f t="shared" si="28"/>
        <v>0</v>
      </c>
      <c r="AX108" s="55">
        <f t="shared" si="28"/>
        <v>0</v>
      </c>
      <c r="AY108" s="55">
        <f t="shared" si="28"/>
        <v>0</v>
      </c>
      <c r="AZ108" s="55">
        <f t="shared" si="28"/>
        <v>0</v>
      </c>
      <c r="BA108" s="55">
        <f t="shared" si="28"/>
        <v>0</v>
      </c>
      <c r="BB108" s="55">
        <f t="shared" si="28"/>
        <v>0</v>
      </c>
      <c r="BC108" s="55">
        <f t="shared" si="28"/>
        <v>0</v>
      </c>
      <c r="BD108" s="55">
        <f t="shared" si="28"/>
        <v>0</v>
      </c>
    </row>
    <row r="109" spans="3:56" x14ac:dyDescent="0.25">
      <c r="C109" s="106"/>
      <c r="D109" s="52" t="s">
        <v>45</v>
      </c>
      <c r="E109" s="56" t="str">
        <f>IFERROR(E108-E96,"")</f>
        <v/>
      </c>
      <c r="F109" s="56" t="str">
        <f t="shared" ref="F109:BD109" si="29">IFERROR(F108-F96,"")</f>
        <v/>
      </c>
      <c r="G109" s="56" t="str">
        <f t="shared" si="29"/>
        <v/>
      </c>
      <c r="H109" s="56" t="str">
        <f t="shared" si="29"/>
        <v/>
      </c>
      <c r="I109" s="56" t="str">
        <f t="shared" si="29"/>
        <v/>
      </c>
      <c r="J109" s="56" t="str">
        <f t="shared" si="29"/>
        <v/>
      </c>
      <c r="K109" s="56" t="str">
        <f t="shared" si="29"/>
        <v/>
      </c>
      <c r="L109" s="56" t="str">
        <f t="shared" si="29"/>
        <v/>
      </c>
      <c r="M109" s="56" t="str">
        <f t="shared" si="29"/>
        <v/>
      </c>
      <c r="N109" s="56" t="str">
        <f t="shared" si="29"/>
        <v/>
      </c>
      <c r="O109" s="56" t="str">
        <f t="shared" si="29"/>
        <v/>
      </c>
      <c r="P109" s="56" t="str">
        <f t="shared" si="29"/>
        <v/>
      </c>
      <c r="Q109" s="56" t="str">
        <f t="shared" si="29"/>
        <v/>
      </c>
      <c r="R109" s="56" t="str">
        <f t="shared" si="29"/>
        <v/>
      </c>
      <c r="S109" s="56" t="str">
        <f t="shared" si="29"/>
        <v/>
      </c>
      <c r="T109" s="56" t="str">
        <f t="shared" si="29"/>
        <v/>
      </c>
      <c r="U109" s="56" t="str">
        <f t="shared" si="29"/>
        <v/>
      </c>
      <c r="V109" s="56" t="str">
        <f t="shared" si="29"/>
        <v/>
      </c>
      <c r="W109" s="56" t="str">
        <f t="shared" si="29"/>
        <v/>
      </c>
      <c r="X109" s="56" t="str">
        <f t="shared" si="29"/>
        <v/>
      </c>
      <c r="Y109" s="56" t="str">
        <f t="shared" si="29"/>
        <v/>
      </c>
      <c r="Z109" s="56" t="str">
        <f t="shared" si="29"/>
        <v/>
      </c>
      <c r="AA109" s="56" t="str">
        <f t="shared" si="29"/>
        <v/>
      </c>
      <c r="AB109" s="56" t="str">
        <f t="shared" si="29"/>
        <v/>
      </c>
      <c r="AC109" s="56" t="str">
        <f t="shared" si="29"/>
        <v/>
      </c>
      <c r="AD109" s="56" t="str">
        <f t="shared" si="29"/>
        <v/>
      </c>
      <c r="AE109" s="56" t="str">
        <f t="shared" si="29"/>
        <v/>
      </c>
      <c r="AF109" s="56" t="str">
        <f t="shared" si="29"/>
        <v/>
      </c>
      <c r="AG109" s="56" t="str">
        <f t="shared" si="29"/>
        <v/>
      </c>
      <c r="AH109" s="56" t="str">
        <f t="shared" si="29"/>
        <v/>
      </c>
      <c r="AI109" s="56" t="str">
        <f t="shared" si="29"/>
        <v/>
      </c>
      <c r="AJ109" s="56" t="str">
        <f t="shared" si="29"/>
        <v/>
      </c>
      <c r="AK109" s="56" t="str">
        <f t="shared" si="29"/>
        <v/>
      </c>
      <c r="AL109" s="56" t="str">
        <f t="shared" si="29"/>
        <v/>
      </c>
      <c r="AM109" s="56" t="str">
        <f t="shared" si="29"/>
        <v/>
      </c>
      <c r="AN109" s="56" t="str">
        <f t="shared" si="29"/>
        <v/>
      </c>
      <c r="AO109" s="56" t="str">
        <f t="shared" si="29"/>
        <v/>
      </c>
      <c r="AP109" s="56" t="str">
        <f t="shared" si="29"/>
        <v/>
      </c>
      <c r="AQ109" s="56" t="str">
        <f t="shared" si="29"/>
        <v/>
      </c>
      <c r="AR109" s="56" t="str">
        <f t="shared" si="29"/>
        <v/>
      </c>
      <c r="AS109" s="56" t="str">
        <f t="shared" si="29"/>
        <v/>
      </c>
      <c r="AT109" s="56" t="str">
        <f t="shared" si="29"/>
        <v/>
      </c>
      <c r="AU109" s="56" t="str">
        <f t="shared" si="29"/>
        <v/>
      </c>
      <c r="AV109" s="56" t="str">
        <f t="shared" si="29"/>
        <v/>
      </c>
      <c r="AW109" s="56" t="str">
        <f t="shared" si="29"/>
        <v/>
      </c>
      <c r="AX109" s="56" t="str">
        <f t="shared" si="29"/>
        <v/>
      </c>
      <c r="AY109" s="56" t="str">
        <f t="shared" si="29"/>
        <v/>
      </c>
      <c r="AZ109" s="56" t="str">
        <f t="shared" si="29"/>
        <v/>
      </c>
      <c r="BA109" s="56" t="str">
        <f t="shared" si="29"/>
        <v/>
      </c>
      <c r="BB109" s="56" t="str">
        <f t="shared" si="29"/>
        <v/>
      </c>
      <c r="BC109" s="56" t="str">
        <f t="shared" si="29"/>
        <v/>
      </c>
      <c r="BD109" s="56" t="str">
        <f t="shared" si="29"/>
        <v/>
      </c>
    </row>
    <row r="110" spans="3:56" ht="13.5" customHeight="1" x14ac:dyDescent="0.25">
      <c r="C110" s="48"/>
      <c r="E110" s="42"/>
      <c r="F110" s="42"/>
      <c r="G110" s="42"/>
      <c r="H110" s="42"/>
      <c r="I110" s="42"/>
      <c r="J110" s="42"/>
      <c r="K110" s="42"/>
      <c r="L110" s="42"/>
      <c r="M110" s="42"/>
    </row>
    <row r="111" spans="3:56" x14ac:dyDescent="0.25">
      <c r="E111" s="82">
        <f t="shared" ref="E111:BD111" si="30">E2</f>
        <v>44569</v>
      </c>
      <c r="F111" s="82">
        <f t="shared" si="30"/>
        <v>44576</v>
      </c>
      <c r="G111" s="82">
        <f t="shared" si="30"/>
        <v>44583</v>
      </c>
      <c r="H111" s="82">
        <f t="shared" si="30"/>
        <v>44590</v>
      </c>
      <c r="I111" s="82">
        <f t="shared" si="30"/>
        <v>44597</v>
      </c>
      <c r="J111" s="82">
        <f t="shared" si="30"/>
        <v>44604</v>
      </c>
      <c r="K111" s="82">
        <f t="shared" si="30"/>
        <v>44611</v>
      </c>
      <c r="L111" s="82">
        <f t="shared" si="30"/>
        <v>44618</v>
      </c>
      <c r="M111" s="82">
        <f t="shared" si="30"/>
        <v>44625</v>
      </c>
      <c r="N111" s="82">
        <f t="shared" si="30"/>
        <v>44632</v>
      </c>
      <c r="O111" s="82">
        <f t="shared" si="30"/>
        <v>44639</v>
      </c>
      <c r="P111" s="82">
        <f t="shared" si="30"/>
        <v>44646</v>
      </c>
      <c r="Q111" s="82">
        <f t="shared" si="30"/>
        <v>44653</v>
      </c>
      <c r="R111" s="82">
        <f t="shared" si="30"/>
        <v>44660</v>
      </c>
      <c r="S111" s="82">
        <f t="shared" si="30"/>
        <v>44667</v>
      </c>
      <c r="T111" s="82">
        <f t="shared" si="30"/>
        <v>44674</v>
      </c>
      <c r="U111" s="82">
        <f t="shared" si="30"/>
        <v>44681</v>
      </c>
      <c r="V111" s="82">
        <f t="shared" si="30"/>
        <v>44688</v>
      </c>
      <c r="W111" s="82">
        <f t="shared" si="30"/>
        <v>44695</v>
      </c>
      <c r="X111" s="82">
        <f t="shared" si="30"/>
        <v>44702</v>
      </c>
      <c r="Y111" s="82">
        <f t="shared" si="30"/>
        <v>44709</v>
      </c>
      <c r="Z111" s="82">
        <f t="shared" si="30"/>
        <v>44716</v>
      </c>
      <c r="AA111" s="82">
        <f t="shared" si="30"/>
        <v>44723</v>
      </c>
      <c r="AB111" s="82">
        <f t="shared" si="30"/>
        <v>44730</v>
      </c>
      <c r="AC111" s="82">
        <f t="shared" si="30"/>
        <v>44737</v>
      </c>
      <c r="AD111" s="82">
        <f t="shared" si="30"/>
        <v>44744</v>
      </c>
      <c r="AE111" s="82">
        <f t="shared" si="30"/>
        <v>44751</v>
      </c>
      <c r="AF111" s="82">
        <f t="shared" si="30"/>
        <v>44758</v>
      </c>
      <c r="AG111" s="82">
        <f t="shared" si="30"/>
        <v>44765</v>
      </c>
      <c r="AH111" s="82">
        <f t="shared" si="30"/>
        <v>44772</v>
      </c>
      <c r="AI111" s="82">
        <f t="shared" si="30"/>
        <v>44779</v>
      </c>
      <c r="AJ111" s="82">
        <f t="shared" si="30"/>
        <v>44786</v>
      </c>
      <c r="AK111" s="82">
        <f t="shared" si="30"/>
        <v>44793</v>
      </c>
      <c r="AL111" s="82">
        <f t="shared" si="30"/>
        <v>44800</v>
      </c>
      <c r="AM111" s="82">
        <f t="shared" si="30"/>
        <v>44807</v>
      </c>
      <c r="AN111" s="82">
        <f t="shared" si="30"/>
        <v>44814</v>
      </c>
      <c r="AO111" s="82">
        <f t="shared" si="30"/>
        <v>44821</v>
      </c>
      <c r="AP111" s="82">
        <f t="shared" si="30"/>
        <v>44828</v>
      </c>
      <c r="AQ111" s="82">
        <f t="shared" si="30"/>
        <v>44835</v>
      </c>
      <c r="AR111" s="82">
        <f t="shared" si="30"/>
        <v>44842</v>
      </c>
      <c r="AS111" s="82">
        <f t="shared" si="30"/>
        <v>44849</v>
      </c>
      <c r="AT111" s="82">
        <f t="shared" si="30"/>
        <v>44856</v>
      </c>
      <c r="AU111" s="82">
        <f t="shared" si="30"/>
        <v>44863</v>
      </c>
      <c r="AV111" s="82">
        <f t="shared" si="30"/>
        <v>44870</v>
      </c>
      <c r="AW111" s="82">
        <f t="shared" si="30"/>
        <v>44877</v>
      </c>
      <c r="AX111" s="82">
        <f t="shared" si="30"/>
        <v>44884</v>
      </c>
      <c r="AY111" s="82">
        <f t="shared" si="30"/>
        <v>44891</v>
      </c>
      <c r="AZ111" s="82">
        <f t="shared" si="30"/>
        <v>44898</v>
      </c>
      <c r="BA111" s="82">
        <f t="shared" si="30"/>
        <v>44905</v>
      </c>
      <c r="BB111" s="82">
        <f t="shared" si="30"/>
        <v>44912</v>
      </c>
      <c r="BC111" s="82">
        <f t="shared" si="30"/>
        <v>44919</v>
      </c>
      <c r="BD111" s="82">
        <f t="shared" si="30"/>
        <v>44926</v>
      </c>
    </row>
    <row r="112" spans="3:56" x14ac:dyDescent="0.25">
      <c r="D112" s="41" t="s">
        <v>33</v>
      </c>
      <c r="E112" s="44">
        <f t="shared" ref="E112:BD112" si="31">SUM(E7,E38,E59,E79,E96)</f>
        <v>0</v>
      </c>
      <c r="F112" s="44">
        <f t="shared" si="31"/>
        <v>0</v>
      </c>
      <c r="G112" s="44">
        <f t="shared" si="31"/>
        <v>0</v>
      </c>
      <c r="H112" s="44">
        <f t="shared" si="31"/>
        <v>0</v>
      </c>
      <c r="I112" s="44">
        <f t="shared" si="31"/>
        <v>0</v>
      </c>
      <c r="J112" s="44">
        <f t="shared" si="31"/>
        <v>0</v>
      </c>
      <c r="K112" s="44">
        <f t="shared" si="31"/>
        <v>0</v>
      </c>
      <c r="L112" s="44">
        <f t="shared" si="31"/>
        <v>0</v>
      </c>
      <c r="M112" s="44">
        <f t="shared" si="31"/>
        <v>0</v>
      </c>
      <c r="N112" s="44">
        <f t="shared" si="31"/>
        <v>0</v>
      </c>
      <c r="O112" s="44">
        <f t="shared" si="31"/>
        <v>0</v>
      </c>
      <c r="P112" s="44">
        <f t="shared" si="31"/>
        <v>0</v>
      </c>
      <c r="Q112" s="44">
        <f t="shared" si="31"/>
        <v>0</v>
      </c>
      <c r="R112" s="44">
        <f t="shared" si="31"/>
        <v>0</v>
      </c>
      <c r="S112" s="44">
        <f t="shared" si="31"/>
        <v>0</v>
      </c>
      <c r="T112" s="44">
        <f t="shared" si="31"/>
        <v>0</v>
      </c>
      <c r="U112" s="44">
        <f t="shared" si="31"/>
        <v>0</v>
      </c>
      <c r="V112" s="44">
        <f t="shared" si="31"/>
        <v>0</v>
      </c>
      <c r="W112" s="44">
        <f t="shared" si="31"/>
        <v>0</v>
      </c>
      <c r="X112" s="44">
        <f t="shared" si="31"/>
        <v>0</v>
      </c>
      <c r="Y112" s="44">
        <f t="shared" si="31"/>
        <v>-2.7355125661375723</v>
      </c>
      <c r="Z112" s="44">
        <f t="shared" si="31"/>
        <v>0</v>
      </c>
      <c r="AA112" s="44">
        <f t="shared" si="31"/>
        <v>0</v>
      </c>
      <c r="AB112" s="44">
        <f t="shared" si="31"/>
        <v>0</v>
      </c>
      <c r="AC112" s="44">
        <f t="shared" si="31"/>
        <v>0</v>
      </c>
      <c r="AD112" s="44">
        <f t="shared" si="31"/>
        <v>0</v>
      </c>
      <c r="AE112" s="44">
        <f t="shared" si="31"/>
        <v>0</v>
      </c>
      <c r="AF112" s="44">
        <f t="shared" si="31"/>
        <v>0</v>
      </c>
      <c r="AG112" s="44">
        <f t="shared" si="31"/>
        <v>0</v>
      </c>
      <c r="AH112" s="44">
        <f t="shared" si="31"/>
        <v>0</v>
      </c>
      <c r="AI112" s="44">
        <f t="shared" si="31"/>
        <v>0</v>
      </c>
      <c r="AJ112" s="44">
        <f t="shared" si="31"/>
        <v>0</v>
      </c>
      <c r="AK112" s="44">
        <f t="shared" si="31"/>
        <v>0</v>
      </c>
      <c r="AL112" s="44">
        <f t="shared" si="31"/>
        <v>0</v>
      </c>
      <c r="AM112" s="44">
        <f t="shared" si="31"/>
        <v>0</v>
      </c>
      <c r="AN112" s="44">
        <f t="shared" si="31"/>
        <v>0</v>
      </c>
      <c r="AO112" s="44">
        <f t="shared" si="31"/>
        <v>0</v>
      </c>
      <c r="AP112" s="44">
        <f t="shared" si="31"/>
        <v>0</v>
      </c>
      <c r="AQ112" s="44">
        <f t="shared" si="31"/>
        <v>0</v>
      </c>
      <c r="AR112" s="44">
        <f t="shared" si="31"/>
        <v>0</v>
      </c>
      <c r="AS112" s="44">
        <f t="shared" si="31"/>
        <v>0</v>
      </c>
      <c r="AT112" s="44">
        <f t="shared" si="31"/>
        <v>0</v>
      </c>
      <c r="AU112" s="44">
        <f t="shared" si="31"/>
        <v>0</v>
      </c>
      <c r="AV112" s="44">
        <f t="shared" si="31"/>
        <v>0</v>
      </c>
      <c r="AW112" s="44">
        <f t="shared" si="31"/>
        <v>0</v>
      </c>
      <c r="AX112" s="44">
        <f t="shared" si="31"/>
        <v>0</v>
      </c>
      <c r="AY112" s="44">
        <f t="shared" si="31"/>
        <v>0</v>
      </c>
      <c r="AZ112" s="44">
        <f t="shared" si="31"/>
        <v>0</v>
      </c>
      <c r="BA112" s="44">
        <f t="shared" si="31"/>
        <v>0</v>
      </c>
      <c r="BB112" s="44">
        <f t="shared" si="31"/>
        <v>0</v>
      </c>
      <c r="BC112" s="44">
        <f t="shared" si="31"/>
        <v>0</v>
      </c>
      <c r="BD112" s="44">
        <f t="shared" si="31"/>
        <v>0</v>
      </c>
    </row>
    <row r="113" spans="3:56" x14ac:dyDescent="0.25">
      <c r="C113" s="103" t="s">
        <v>33</v>
      </c>
      <c r="D113" s="73" t="str">
        <f t="shared" ref="D113:D119" si="32">D18&amp;" VERTICAL REQ"</f>
        <v>Melbourne VERTICAL REQ</v>
      </c>
      <c r="E113" s="76">
        <f>IFERROR(E$112*SUM(E124/SUM(E$124:E$130)),0)</f>
        <v>0</v>
      </c>
      <c r="F113" s="76">
        <f t="shared" ref="F113:BD113" si="33">IFERROR(F$112*SUM(F124/SUM(F$124:F$130)),0)</f>
        <v>0</v>
      </c>
      <c r="G113" s="76">
        <f t="shared" si="33"/>
        <v>0</v>
      </c>
      <c r="H113" s="76">
        <f t="shared" si="33"/>
        <v>0</v>
      </c>
      <c r="I113" s="76">
        <f t="shared" si="33"/>
        <v>0</v>
      </c>
      <c r="J113" s="76">
        <f t="shared" si="33"/>
        <v>0</v>
      </c>
      <c r="K113" s="76">
        <f t="shared" si="33"/>
        <v>0</v>
      </c>
      <c r="L113" s="76">
        <f t="shared" si="33"/>
        <v>0</v>
      </c>
      <c r="M113" s="76">
        <f t="shared" si="33"/>
        <v>0</v>
      </c>
      <c r="N113" s="76">
        <f t="shared" si="33"/>
        <v>0</v>
      </c>
      <c r="O113" s="76">
        <f t="shared" si="33"/>
        <v>0</v>
      </c>
      <c r="P113" s="76">
        <f t="shared" si="33"/>
        <v>0</v>
      </c>
      <c r="Q113" s="76">
        <f t="shared" si="33"/>
        <v>0</v>
      </c>
      <c r="R113" s="76">
        <f t="shared" si="33"/>
        <v>0</v>
      </c>
      <c r="S113" s="76">
        <f t="shared" si="33"/>
        <v>0</v>
      </c>
      <c r="T113" s="76">
        <f t="shared" si="33"/>
        <v>0</v>
      </c>
      <c r="U113" s="76">
        <f t="shared" si="33"/>
        <v>0</v>
      </c>
      <c r="V113" s="76">
        <f t="shared" si="33"/>
        <v>0</v>
      </c>
      <c r="W113" s="76">
        <f t="shared" si="33"/>
        <v>0</v>
      </c>
      <c r="X113" s="76">
        <f t="shared" si="33"/>
        <v>0</v>
      </c>
      <c r="Y113" s="76">
        <f t="shared" si="33"/>
        <v>0</v>
      </c>
      <c r="Z113" s="76">
        <f t="shared" si="33"/>
        <v>0</v>
      </c>
      <c r="AA113" s="76">
        <f t="shared" si="33"/>
        <v>0</v>
      </c>
      <c r="AB113" s="76">
        <f t="shared" si="33"/>
        <v>0</v>
      </c>
      <c r="AC113" s="76">
        <f t="shared" si="33"/>
        <v>0</v>
      </c>
      <c r="AD113" s="76">
        <f t="shared" si="33"/>
        <v>0</v>
      </c>
      <c r="AE113" s="76">
        <f t="shared" si="33"/>
        <v>0</v>
      </c>
      <c r="AF113" s="76">
        <f t="shared" si="33"/>
        <v>0</v>
      </c>
      <c r="AG113" s="76">
        <f t="shared" si="33"/>
        <v>0</v>
      </c>
      <c r="AH113" s="76">
        <f t="shared" si="33"/>
        <v>0</v>
      </c>
      <c r="AI113" s="76">
        <f t="shared" si="33"/>
        <v>0</v>
      </c>
      <c r="AJ113" s="76">
        <f t="shared" si="33"/>
        <v>0</v>
      </c>
      <c r="AK113" s="76">
        <f t="shared" si="33"/>
        <v>0</v>
      </c>
      <c r="AL113" s="76">
        <f t="shared" si="33"/>
        <v>0</v>
      </c>
      <c r="AM113" s="76">
        <f t="shared" si="33"/>
        <v>0</v>
      </c>
      <c r="AN113" s="76">
        <f t="shared" si="33"/>
        <v>0</v>
      </c>
      <c r="AO113" s="76">
        <f t="shared" si="33"/>
        <v>0</v>
      </c>
      <c r="AP113" s="76">
        <f t="shared" si="33"/>
        <v>0</v>
      </c>
      <c r="AQ113" s="76">
        <f t="shared" si="33"/>
        <v>0</v>
      </c>
      <c r="AR113" s="76">
        <f t="shared" si="33"/>
        <v>0</v>
      </c>
      <c r="AS113" s="76">
        <f t="shared" si="33"/>
        <v>0</v>
      </c>
      <c r="AT113" s="76">
        <f t="shared" si="33"/>
        <v>0</v>
      </c>
      <c r="AU113" s="76">
        <f t="shared" si="33"/>
        <v>0</v>
      </c>
      <c r="AV113" s="76">
        <f t="shared" si="33"/>
        <v>0</v>
      </c>
      <c r="AW113" s="76">
        <f t="shared" si="33"/>
        <v>0</v>
      </c>
      <c r="AX113" s="76">
        <f t="shared" si="33"/>
        <v>0</v>
      </c>
      <c r="AY113" s="76">
        <f t="shared" si="33"/>
        <v>0</v>
      </c>
      <c r="AZ113" s="76">
        <f t="shared" si="33"/>
        <v>0</v>
      </c>
      <c r="BA113" s="76">
        <f t="shared" si="33"/>
        <v>0</v>
      </c>
      <c r="BB113" s="76">
        <f t="shared" si="33"/>
        <v>0</v>
      </c>
      <c r="BC113" s="76">
        <f t="shared" si="33"/>
        <v>0</v>
      </c>
      <c r="BD113" s="76">
        <f t="shared" si="33"/>
        <v>0</v>
      </c>
    </row>
    <row r="114" spans="3:56" x14ac:dyDescent="0.25">
      <c r="C114" s="103"/>
      <c r="D114" s="73" t="str">
        <f t="shared" si="32"/>
        <v>Virtual VERTICAL REQ</v>
      </c>
      <c r="E114" s="76">
        <f t="shared" ref="E114:BD118" si="34">IFERROR(E$112*SUM(E125/SUM(E$124:E$130)),0)</f>
        <v>0</v>
      </c>
      <c r="F114" s="76">
        <f>IFERROR(F$112*SUM(F125/SUM(F$124:F$130)),0)</f>
        <v>0</v>
      </c>
      <c r="G114" s="76">
        <f>IFERROR(G$112*SUM(G125/SUM(G$124:G$130)),0)</f>
        <v>0</v>
      </c>
      <c r="H114" s="76">
        <f>IFERROR(H$112*SUM(H125/SUM(H$124:H$130)),0)</f>
        <v>0</v>
      </c>
      <c r="I114" s="76">
        <f>IFERROR(I$112*SUM(I125/SUM(I$124:I$130)),0)</f>
        <v>0</v>
      </c>
      <c r="J114" s="76">
        <f t="shared" si="34"/>
        <v>0</v>
      </c>
      <c r="K114" s="76">
        <f t="shared" si="34"/>
        <v>0</v>
      </c>
      <c r="L114" s="76">
        <f t="shared" si="34"/>
        <v>0</v>
      </c>
      <c r="M114" s="76">
        <f t="shared" si="34"/>
        <v>0</v>
      </c>
      <c r="N114" s="76">
        <f t="shared" si="34"/>
        <v>0</v>
      </c>
      <c r="O114" s="76">
        <f t="shared" si="34"/>
        <v>0</v>
      </c>
      <c r="P114" s="76">
        <f t="shared" si="34"/>
        <v>0</v>
      </c>
      <c r="Q114" s="76">
        <f t="shared" si="34"/>
        <v>0</v>
      </c>
      <c r="R114" s="76">
        <f t="shared" si="34"/>
        <v>0</v>
      </c>
      <c r="S114" s="76">
        <f t="shared" si="34"/>
        <v>0</v>
      </c>
      <c r="T114" s="76">
        <f t="shared" si="34"/>
        <v>0</v>
      </c>
      <c r="U114" s="76">
        <f t="shared" si="34"/>
        <v>0</v>
      </c>
      <c r="V114" s="76">
        <f t="shared" si="34"/>
        <v>0</v>
      </c>
      <c r="W114" s="76">
        <f t="shared" si="34"/>
        <v>0</v>
      </c>
      <c r="X114" s="76">
        <f t="shared" si="34"/>
        <v>0</v>
      </c>
      <c r="Y114" s="76">
        <f t="shared" si="34"/>
        <v>0</v>
      </c>
      <c r="Z114" s="76">
        <f t="shared" si="34"/>
        <v>0</v>
      </c>
      <c r="AA114" s="76">
        <f t="shared" si="34"/>
        <v>0</v>
      </c>
      <c r="AB114" s="76">
        <f t="shared" si="34"/>
        <v>0</v>
      </c>
      <c r="AC114" s="76">
        <f t="shared" si="34"/>
        <v>0</v>
      </c>
      <c r="AD114" s="76">
        <f t="shared" si="34"/>
        <v>0</v>
      </c>
      <c r="AE114" s="76">
        <f t="shared" si="34"/>
        <v>0</v>
      </c>
      <c r="AF114" s="76">
        <f t="shared" si="34"/>
        <v>0</v>
      </c>
      <c r="AG114" s="76">
        <f t="shared" si="34"/>
        <v>0</v>
      </c>
      <c r="AH114" s="76">
        <f t="shared" si="34"/>
        <v>0</v>
      </c>
      <c r="AI114" s="76">
        <f t="shared" si="34"/>
        <v>0</v>
      </c>
      <c r="AJ114" s="76">
        <f t="shared" si="34"/>
        <v>0</v>
      </c>
      <c r="AK114" s="76">
        <f t="shared" si="34"/>
        <v>0</v>
      </c>
      <c r="AL114" s="76">
        <f t="shared" si="34"/>
        <v>0</v>
      </c>
      <c r="AM114" s="76">
        <f t="shared" si="34"/>
        <v>0</v>
      </c>
      <c r="AN114" s="76">
        <f t="shared" si="34"/>
        <v>0</v>
      </c>
      <c r="AO114" s="76">
        <f t="shared" si="34"/>
        <v>0</v>
      </c>
      <c r="AP114" s="76">
        <f t="shared" si="34"/>
        <v>0</v>
      </c>
      <c r="AQ114" s="76">
        <f t="shared" si="34"/>
        <v>0</v>
      </c>
      <c r="AR114" s="76">
        <f t="shared" si="34"/>
        <v>0</v>
      </c>
      <c r="AS114" s="76">
        <f t="shared" si="34"/>
        <v>0</v>
      </c>
      <c r="AT114" s="76">
        <f t="shared" si="34"/>
        <v>0</v>
      </c>
      <c r="AU114" s="76">
        <f t="shared" si="34"/>
        <v>0</v>
      </c>
      <c r="AV114" s="76">
        <f t="shared" si="34"/>
        <v>0</v>
      </c>
      <c r="AW114" s="76">
        <f t="shared" si="34"/>
        <v>0</v>
      </c>
      <c r="AX114" s="76">
        <f t="shared" si="34"/>
        <v>0</v>
      </c>
      <c r="AY114" s="76">
        <f t="shared" si="34"/>
        <v>0</v>
      </c>
      <c r="AZ114" s="76">
        <f t="shared" si="34"/>
        <v>0</v>
      </c>
      <c r="BA114" s="76">
        <f t="shared" si="34"/>
        <v>0</v>
      </c>
      <c r="BB114" s="76">
        <f t="shared" si="34"/>
        <v>0</v>
      </c>
      <c r="BC114" s="76">
        <f t="shared" si="34"/>
        <v>0</v>
      </c>
      <c r="BD114" s="76">
        <f t="shared" si="34"/>
        <v>0</v>
      </c>
    </row>
    <row r="115" spans="3:56" x14ac:dyDescent="0.25">
      <c r="C115" s="103"/>
      <c r="D115" s="73" t="str">
        <f t="shared" si="32"/>
        <v>Brunswick VERTICAL REQ</v>
      </c>
      <c r="E115" s="76">
        <f t="shared" si="34"/>
        <v>0</v>
      </c>
      <c r="F115" s="76">
        <f t="shared" si="34"/>
        <v>0</v>
      </c>
      <c r="G115" s="76">
        <f t="shared" si="34"/>
        <v>0</v>
      </c>
      <c r="H115" s="76">
        <f t="shared" si="34"/>
        <v>0</v>
      </c>
      <c r="I115" s="76">
        <f t="shared" si="34"/>
        <v>0</v>
      </c>
      <c r="J115" s="76">
        <f t="shared" si="34"/>
        <v>0</v>
      </c>
      <c r="K115" s="76">
        <f t="shared" si="34"/>
        <v>0</v>
      </c>
      <c r="L115" s="76">
        <f t="shared" si="34"/>
        <v>0</v>
      </c>
      <c r="M115" s="76">
        <f t="shared" si="34"/>
        <v>0</v>
      </c>
      <c r="N115" s="76">
        <f t="shared" si="34"/>
        <v>0</v>
      </c>
      <c r="O115" s="76">
        <f t="shared" si="34"/>
        <v>0</v>
      </c>
      <c r="P115" s="76">
        <f t="shared" si="34"/>
        <v>0</v>
      </c>
      <c r="Q115" s="76">
        <f t="shared" si="34"/>
        <v>0</v>
      </c>
      <c r="R115" s="76">
        <f t="shared" si="34"/>
        <v>0</v>
      </c>
      <c r="S115" s="76">
        <f t="shared" si="34"/>
        <v>0</v>
      </c>
      <c r="T115" s="76">
        <f t="shared" si="34"/>
        <v>0</v>
      </c>
      <c r="U115" s="76">
        <f t="shared" si="34"/>
        <v>0</v>
      </c>
      <c r="V115" s="76">
        <f t="shared" si="34"/>
        <v>0</v>
      </c>
      <c r="W115" s="76">
        <f t="shared" si="34"/>
        <v>0</v>
      </c>
      <c r="X115" s="76">
        <f t="shared" si="34"/>
        <v>0</v>
      </c>
      <c r="Y115" s="76">
        <f t="shared" si="34"/>
        <v>0</v>
      </c>
      <c r="Z115" s="76">
        <f t="shared" si="34"/>
        <v>0</v>
      </c>
      <c r="AA115" s="76">
        <f t="shared" si="34"/>
        <v>0</v>
      </c>
      <c r="AB115" s="76">
        <f t="shared" si="34"/>
        <v>0</v>
      </c>
      <c r="AC115" s="76">
        <f t="shared" si="34"/>
        <v>0</v>
      </c>
      <c r="AD115" s="76">
        <f t="shared" si="34"/>
        <v>0</v>
      </c>
      <c r="AE115" s="76">
        <f t="shared" si="34"/>
        <v>0</v>
      </c>
      <c r="AF115" s="76">
        <f t="shared" si="34"/>
        <v>0</v>
      </c>
      <c r="AG115" s="76">
        <f t="shared" si="34"/>
        <v>0</v>
      </c>
      <c r="AH115" s="76">
        <f t="shared" si="34"/>
        <v>0</v>
      </c>
      <c r="AI115" s="76">
        <f t="shared" si="34"/>
        <v>0</v>
      </c>
      <c r="AJ115" s="76">
        <f t="shared" si="34"/>
        <v>0</v>
      </c>
      <c r="AK115" s="76">
        <f t="shared" si="34"/>
        <v>0</v>
      </c>
      <c r="AL115" s="76">
        <f t="shared" si="34"/>
        <v>0</v>
      </c>
      <c r="AM115" s="76">
        <f t="shared" si="34"/>
        <v>0</v>
      </c>
      <c r="AN115" s="76">
        <f t="shared" si="34"/>
        <v>0</v>
      </c>
      <c r="AO115" s="76">
        <f t="shared" si="34"/>
        <v>0</v>
      </c>
      <c r="AP115" s="76">
        <f t="shared" si="34"/>
        <v>0</v>
      </c>
      <c r="AQ115" s="76">
        <f t="shared" si="34"/>
        <v>0</v>
      </c>
      <c r="AR115" s="76">
        <f t="shared" si="34"/>
        <v>0</v>
      </c>
      <c r="AS115" s="76">
        <f t="shared" si="34"/>
        <v>0</v>
      </c>
      <c r="AT115" s="76">
        <f t="shared" si="34"/>
        <v>0</v>
      </c>
      <c r="AU115" s="76">
        <f t="shared" si="34"/>
        <v>0</v>
      </c>
      <c r="AV115" s="76">
        <f t="shared" si="34"/>
        <v>0</v>
      </c>
      <c r="AW115" s="76">
        <f t="shared" si="34"/>
        <v>0</v>
      </c>
      <c r="AX115" s="76">
        <f t="shared" si="34"/>
        <v>0</v>
      </c>
      <c r="AY115" s="76">
        <f t="shared" si="34"/>
        <v>0</v>
      </c>
      <c r="AZ115" s="76">
        <f t="shared" si="34"/>
        <v>0</v>
      </c>
      <c r="BA115" s="76">
        <f t="shared" si="34"/>
        <v>0</v>
      </c>
      <c r="BB115" s="76">
        <f t="shared" si="34"/>
        <v>0</v>
      </c>
      <c r="BC115" s="76">
        <f t="shared" si="34"/>
        <v>0</v>
      </c>
      <c r="BD115" s="76">
        <f t="shared" si="34"/>
        <v>0</v>
      </c>
    </row>
    <row r="116" spans="3:56" x14ac:dyDescent="0.25">
      <c r="C116" s="103"/>
      <c r="D116" s="73" t="str">
        <f t="shared" si="32"/>
        <v>Melbourne North VERTICAL REQ</v>
      </c>
      <c r="E116" s="76">
        <f t="shared" si="34"/>
        <v>0</v>
      </c>
      <c r="F116" s="76">
        <f t="shared" si="34"/>
        <v>0</v>
      </c>
      <c r="G116" s="76">
        <f t="shared" si="34"/>
        <v>0</v>
      </c>
      <c r="H116" s="76">
        <f t="shared" si="34"/>
        <v>0</v>
      </c>
      <c r="I116" s="76">
        <f t="shared" si="34"/>
        <v>0</v>
      </c>
      <c r="J116" s="76">
        <f t="shared" si="34"/>
        <v>0</v>
      </c>
      <c r="K116" s="76">
        <f t="shared" si="34"/>
        <v>0</v>
      </c>
      <c r="L116" s="76">
        <f t="shared" si="34"/>
        <v>0</v>
      </c>
      <c r="M116" s="76">
        <f t="shared" si="34"/>
        <v>0</v>
      </c>
      <c r="N116" s="76">
        <f t="shared" si="34"/>
        <v>0</v>
      </c>
      <c r="O116" s="76">
        <f t="shared" si="34"/>
        <v>0</v>
      </c>
      <c r="P116" s="76">
        <f t="shared" si="34"/>
        <v>0</v>
      </c>
      <c r="Q116" s="76">
        <f t="shared" si="34"/>
        <v>0</v>
      </c>
      <c r="R116" s="76">
        <f t="shared" si="34"/>
        <v>0</v>
      </c>
      <c r="S116" s="76">
        <f t="shared" si="34"/>
        <v>0</v>
      </c>
      <c r="T116" s="76">
        <f t="shared" si="34"/>
        <v>0</v>
      </c>
      <c r="U116" s="76">
        <f t="shared" si="34"/>
        <v>0</v>
      </c>
      <c r="V116" s="76">
        <f t="shared" si="34"/>
        <v>0</v>
      </c>
      <c r="W116" s="76">
        <f t="shared" si="34"/>
        <v>0</v>
      </c>
      <c r="X116" s="76">
        <f t="shared" si="34"/>
        <v>0</v>
      </c>
      <c r="Y116" s="76">
        <f t="shared" si="34"/>
        <v>0</v>
      </c>
      <c r="Z116" s="76">
        <f t="shared" si="34"/>
        <v>0</v>
      </c>
      <c r="AA116" s="76">
        <f t="shared" si="34"/>
        <v>0</v>
      </c>
      <c r="AB116" s="76">
        <f t="shared" si="34"/>
        <v>0</v>
      </c>
      <c r="AC116" s="76">
        <f t="shared" si="34"/>
        <v>0</v>
      </c>
      <c r="AD116" s="76">
        <f t="shared" si="34"/>
        <v>0</v>
      </c>
      <c r="AE116" s="76">
        <f t="shared" si="34"/>
        <v>0</v>
      </c>
      <c r="AF116" s="76">
        <f t="shared" si="34"/>
        <v>0</v>
      </c>
      <c r="AG116" s="76">
        <f t="shared" si="34"/>
        <v>0</v>
      </c>
      <c r="AH116" s="76">
        <f t="shared" si="34"/>
        <v>0</v>
      </c>
      <c r="AI116" s="76">
        <f t="shared" si="34"/>
        <v>0</v>
      </c>
      <c r="AJ116" s="76">
        <f t="shared" si="34"/>
        <v>0</v>
      </c>
      <c r="AK116" s="76">
        <f t="shared" si="34"/>
        <v>0</v>
      </c>
      <c r="AL116" s="76">
        <f t="shared" si="34"/>
        <v>0</v>
      </c>
      <c r="AM116" s="76">
        <f t="shared" si="34"/>
        <v>0</v>
      </c>
      <c r="AN116" s="76">
        <f t="shared" si="34"/>
        <v>0</v>
      </c>
      <c r="AO116" s="76">
        <f t="shared" si="34"/>
        <v>0</v>
      </c>
      <c r="AP116" s="76">
        <f t="shared" si="34"/>
        <v>0</v>
      </c>
      <c r="AQ116" s="76">
        <f t="shared" si="34"/>
        <v>0</v>
      </c>
      <c r="AR116" s="76">
        <f t="shared" si="34"/>
        <v>0</v>
      </c>
      <c r="AS116" s="76">
        <f t="shared" si="34"/>
        <v>0</v>
      </c>
      <c r="AT116" s="76">
        <f t="shared" si="34"/>
        <v>0</v>
      </c>
      <c r="AU116" s="76">
        <f t="shared" si="34"/>
        <v>0</v>
      </c>
      <c r="AV116" s="76">
        <f t="shared" si="34"/>
        <v>0</v>
      </c>
      <c r="AW116" s="76">
        <f t="shared" si="34"/>
        <v>0</v>
      </c>
      <c r="AX116" s="76">
        <f t="shared" si="34"/>
        <v>0</v>
      </c>
      <c r="AY116" s="76">
        <f t="shared" si="34"/>
        <v>0</v>
      </c>
      <c r="AZ116" s="76">
        <f t="shared" si="34"/>
        <v>0</v>
      </c>
      <c r="BA116" s="76">
        <f t="shared" si="34"/>
        <v>0</v>
      </c>
      <c r="BB116" s="76">
        <f t="shared" si="34"/>
        <v>0</v>
      </c>
      <c r="BC116" s="76">
        <f t="shared" si="34"/>
        <v>0</v>
      </c>
      <c r="BD116" s="76">
        <f t="shared" si="34"/>
        <v>0</v>
      </c>
    </row>
    <row r="117" spans="3:56" x14ac:dyDescent="0.25">
      <c r="C117" s="103"/>
      <c r="D117" s="73" t="str">
        <f t="shared" si="32"/>
        <v>Pueblo VERTICAL REQ</v>
      </c>
      <c r="E117" s="76">
        <f t="shared" si="34"/>
        <v>0</v>
      </c>
      <c r="F117" s="76">
        <f t="shared" si="34"/>
        <v>0</v>
      </c>
      <c r="G117" s="76">
        <f t="shared" si="34"/>
        <v>0</v>
      </c>
      <c r="H117" s="76">
        <f t="shared" si="34"/>
        <v>0</v>
      </c>
      <c r="I117" s="76">
        <f t="shared" si="34"/>
        <v>0</v>
      </c>
      <c r="J117" s="76">
        <f t="shared" si="34"/>
        <v>0</v>
      </c>
      <c r="K117" s="76">
        <f t="shared" si="34"/>
        <v>0</v>
      </c>
      <c r="L117" s="76">
        <f t="shared" si="34"/>
        <v>0</v>
      </c>
      <c r="M117" s="76">
        <f t="shared" si="34"/>
        <v>0</v>
      </c>
      <c r="N117" s="76">
        <f t="shared" si="34"/>
        <v>0</v>
      </c>
      <c r="O117" s="76">
        <f t="shared" si="34"/>
        <v>0</v>
      </c>
      <c r="P117" s="76">
        <f t="shared" si="34"/>
        <v>0</v>
      </c>
      <c r="Q117" s="76">
        <f t="shared" si="34"/>
        <v>0</v>
      </c>
      <c r="R117" s="76">
        <f t="shared" si="34"/>
        <v>0</v>
      </c>
      <c r="S117" s="76">
        <f t="shared" si="34"/>
        <v>0</v>
      </c>
      <c r="T117" s="76">
        <f t="shared" si="34"/>
        <v>0</v>
      </c>
      <c r="U117" s="76">
        <f t="shared" si="34"/>
        <v>0</v>
      </c>
      <c r="V117" s="76">
        <f t="shared" si="34"/>
        <v>0</v>
      </c>
      <c r="W117" s="76">
        <f t="shared" si="34"/>
        <v>0</v>
      </c>
      <c r="X117" s="76">
        <f t="shared" si="34"/>
        <v>0</v>
      </c>
      <c r="Y117" s="76">
        <f t="shared" si="34"/>
        <v>0</v>
      </c>
      <c r="Z117" s="76">
        <f t="shared" si="34"/>
        <v>0</v>
      </c>
      <c r="AA117" s="76">
        <f t="shared" si="34"/>
        <v>0</v>
      </c>
      <c r="AB117" s="76">
        <f t="shared" si="34"/>
        <v>0</v>
      </c>
      <c r="AC117" s="76">
        <f t="shared" si="34"/>
        <v>0</v>
      </c>
      <c r="AD117" s="76">
        <f t="shared" si="34"/>
        <v>0</v>
      </c>
      <c r="AE117" s="76">
        <f t="shared" si="34"/>
        <v>0</v>
      </c>
      <c r="AF117" s="76">
        <f t="shared" si="34"/>
        <v>0</v>
      </c>
      <c r="AG117" s="76">
        <f t="shared" si="34"/>
        <v>0</v>
      </c>
      <c r="AH117" s="76">
        <f t="shared" si="34"/>
        <v>0</v>
      </c>
      <c r="AI117" s="76">
        <f t="shared" si="34"/>
        <v>0</v>
      </c>
      <c r="AJ117" s="76">
        <f t="shared" si="34"/>
        <v>0</v>
      </c>
      <c r="AK117" s="76">
        <f t="shared" si="34"/>
        <v>0</v>
      </c>
      <c r="AL117" s="76">
        <f t="shared" si="34"/>
        <v>0</v>
      </c>
      <c r="AM117" s="76">
        <f t="shared" si="34"/>
        <v>0</v>
      </c>
      <c r="AN117" s="76">
        <f t="shared" si="34"/>
        <v>0</v>
      </c>
      <c r="AO117" s="76">
        <f t="shared" si="34"/>
        <v>0</v>
      </c>
      <c r="AP117" s="76">
        <f t="shared" si="34"/>
        <v>0</v>
      </c>
      <c r="AQ117" s="76">
        <f t="shared" si="34"/>
        <v>0</v>
      </c>
      <c r="AR117" s="76">
        <f t="shared" si="34"/>
        <v>0</v>
      </c>
      <c r="AS117" s="76">
        <f t="shared" si="34"/>
        <v>0</v>
      </c>
      <c r="AT117" s="76">
        <f t="shared" si="34"/>
        <v>0</v>
      </c>
      <c r="AU117" s="76">
        <f t="shared" si="34"/>
        <v>0</v>
      </c>
      <c r="AV117" s="76">
        <f t="shared" si="34"/>
        <v>0</v>
      </c>
      <c r="AW117" s="76">
        <f t="shared" si="34"/>
        <v>0</v>
      </c>
      <c r="AX117" s="76">
        <f t="shared" si="34"/>
        <v>0</v>
      </c>
      <c r="AY117" s="76">
        <f t="shared" si="34"/>
        <v>0</v>
      </c>
      <c r="AZ117" s="76">
        <f t="shared" si="34"/>
        <v>0</v>
      </c>
      <c r="BA117" s="76">
        <f t="shared" si="34"/>
        <v>0</v>
      </c>
      <c r="BB117" s="76">
        <f t="shared" si="34"/>
        <v>0</v>
      </c>
      <c r="BC117" s="76">
        <f t="shared" si="34"/>
        <v>0</v>
      </c>
      <c r="BD117" s="76">
        <f t="shared" si="34"/>
        <v>0</v>
      </c>
    </row>
    <row r="118" spans="3:56" x14ac:dyDescent="0.25">
      <c r="C118" s="103"/>
      <c r="D118" s="73" t="str">
        <f t="shared" si="32"/>
        <v>Iloilo VERTICAL REQ</v>
      </c>
      <c r="E118" s="76">
        <f t="shared" si="34"/>
        <v>0</v>
      </c>
      <c r="F118" s="76">
        <f t="shared" si="34"/>
        <v>0</v>
      </c>
      <c r="G118" s="76">
        <f t="shared" si="34"/>
        <v>0</v>
      </c>
      <c r="H118" s="76">
        <f t="shared" si="34"/>
        <v>0</v>
      </c>
      <c r="I118" s="76">
        <f t="shared" si="34"/>
        <v>0</v>
      </c>
      <c r="J118" s="76">
        <f t="shared" si="34"/>
        <v>0</v>
      </c>
      <c r="K118" s="76">
        <f t="shared" si="34"/>
        <v>0</v>
      </c>
      <c r="L118" s="76">
        <f t="shared" si="34"/>
        <v>0</v>
      </c>
      <c r="M118" s="76">
        <f t="shared" si="34"/>
        <v>0</v>
      </c>
      <c r="N118" s="76">
        <f t="shared" si="34"/>
        <v>0</v>
      </c>
      <c r="O118" s="76">
        <f t="shared" si="34"/>
        <v>0</v>
      </c>
      <c r="P118" s="76">
        <f t="shared" si="34"/>
        <v>0</v>
      </c>
      <c r="Q118" s="76">
        <f t="shared" si="34"/>
        <v>0</v>
      </c>
      <c r="R118" s="76">
        <f t="shared" si="34"/>
        <v>0</v>
      </c>
      <c r="S118" s="76">
        <f t="shared" si="34"/>
        <v>0</v>
      </c>
      <c r="T118" s="76">
        <f t="shared" si="34"/>
        <v>0</v>
      </c>
      <c r="U118" s="76">
        <f t="shared" si="34"/>
        <v>0</v>
      </c>
      <c r="V118" s="76">
        <f t="shared" si="34"/>
        <v>0</v>
      </c>
      <c r="W118" s="76">
        <f t="shared" si="34"/>
        <v>0</v>
      </c>
      <c r="X118" s="76">
        <f t="shared" si="34"/>
        <v>0</v>
      </c>
      <c r="Y118" s="76">
        <f t="shared" si="34"/>
        <v>0</v>
      </c>
      <c r="Z118" s="76">
        <f t="shared" si="34"/>
        <v>0</v>
      </c>
      <c r="AA118" s="76">
        <f t="shared" si="34"/>
        <v>0</v>
      </c>
      <c r="AB118" s="76">
        <f t="shared" si="34"/>
        <v>0</v>
      </c>
      <c r="AC118" s="76">
        <f t="shared" si="34"/>
        <v>0</v>
      </c>
      <c r="AD118" s="76">
        <f t="shared" si="34"/>
        <v>0</v>
      </c>
      <c r="AE118" s="76">
        <f t="shared" si="34"/>
        <v>0</v>
      </c>
      <c r="AF118" s="76">
        <f t="shared" si="34"/>
        <v>0</v>
      </c>
      <c r="AG118" s="76">
        <f t="shared" si="34"/>
        <v>0</v>
      </c>
      <c r="AH118" s="76">
        <f t="shared" si="34"/>
        <v>0</v>
      </c>
      <c r="AI118" s="76">
        <f t="shared" si="34"/>
        <v>0</v>
      </c>
      <c r="AJ118" s="76">
        <f t="shared" si="34"/>
        <v>0</v>
      </c>
      <c r="AK118" s="76">
        <f t="shared" si="34"/>
        <v>0</v>
      </c>
      <c r="AL118" s="76">
        <f t="shared" si="34"/>
        <v>0</v>
      </c>
      <c r="AM118" s="76">
        <f t="shared" si="34"/>
        <v>0</v>
      </c>
      <c r="AN118" s="76">
        <f t="shared" si="34"/>
        <v>0</v>
      </c>
      <c r="AO118" s="76">
        <f t="shared" si="34"/>
        <v>0</v>
      </c>
      <c r="AP118" s="76">
        <f t="shared" si="34"/>
        <v>0</v>
      </c>
      <c r="AQ118" s="76">
        <f t="shared" si="34"/>
        <v>0</v>
      </c>
      <c r="AR118" s="76">
        <f t="shared" si="34"/>
        <v>0</v>
      </c>
      <c r="AS118" s="76">
        <f t="shared" si="34"/>
        <v>0</v>
      </c>
      <c r="AT118" s="76">
        <f t="shared" si="34"/>
        <v>0</v>
      </c>
      <c r="AU118" s="76">
        <f t="shared" si="34"/>
        <v>0</v>
      </c>
      <c r="AV118" s="76">
        <f t="shared" si="34"/>
        <v>0</v>
      </c>
      <c r="AW118" s="76">
        <f t="shared" si="34"/>
        <v>0</v>
      </c>
      <c r="AX118" s="76">
        <f t="shared" si="34"/>
        <v>0</v>
      </c>
      <c r="AY118" s="76">
        <f t="shared" si="34"/>
        <v>0</v>
      </c>
      <c r="AZ118" s="76">
        <f t="shared" si="34"/>
        <v>0</v>
      </c>
      <c r="BA118" s="76">
        <f t="shared" si="34"/>
        <v>0</v>
      </c>
      <c r="BB118" s="76">
        <f t="shared" si="34"/>
        <v>0</v>
      </c>
      <c r="BC118" s="76">
        <f t="shared" si="34"/>
        <v>0</v>
      </c>
      <c r="BD118" s="76">
        <f t="shared" ref="BD118" si="35">IFERROR(BD$112*SUM(BD129/SUM(BD$124:BD$130)),0)</f>
        <v>0</v>
      </c>
    </row>
    <row r="119" spans="3:56" x14ac:dyDescent="0.25">
      <c r="C119" s="103"/>
      <c r="D119" s="73" t="str">
        <f t="shared" si="32"/>
        <v>Belize VERTICAL REQ</v>
      </c>
      <c r="E119" s="76">
        <f t="shared" ref="E119:BD119" si="36">IFERROR(E$112*SUM(E130/SUM(E$124:E$130)),0)</f>
        <v>0</v>
      </c>
      <c r="F119" s="76">
        <f t="shared" si="36"/>
        <v>0</v>
      </c>
      <c r="G119" s="76">
        <f t="shared" si="36"/>
        <v>0</v>
      </c>
      <c r="H119" s="76">
        <f t="shared" si="36"/>
        <v>0</v>
      </c>
      <c r="I119" s="76">
        <f t="shared" si="36"/>
        <v>0</v>
      </c>
      <c r="J119" s="76">
        <f t="shared" si="36"/>
        <v>0</v>
      </c>
      <c r="K119" s="76">
        <f t="shared" si="36"/>
        <v>0</v>
      </c>
      <c r="L119" s="76">
        <f t="shared" si="36"/>
        <v>0</v>
      </c>
      <c r="M119" s="76">
        <f t="shared" si="36"/>
        <v>0</v>
      </c>
      <c r="N119" s="76">
        <f t="shared" si="36"/>
        <v>0</v>
      </c>
      <c r="O119" s="76">
        <f t="shared" si="36"/>
        <v>0</v>
      </c>
      <c r="P119" s="76">
        <f t="shared" si="36"/>
        <v>0</v>
      </c>
      <c r="Q119" s="76">
        <f t="shared" si="36"/>
        <v>0</v>
      </c>
      <c r="R119" s="76">
        <f t="shared" si="36"/>
        <v>0</v>
      </c>
      <c r="S119" s="76">
        <f t="shared" si="36"/>
        <v>0</v>
      </c>
      <c r="T119" s="76">
        <f t="shared" si="36"/>
        <v>0</v>
      </c>
      <c r="U119" s="76">
        <f t="shared" si="36"/>
        <v>0</v>
      </c>
      <c r="V119" s="76">
        <f t="shared" si="36"/>
        <v>0</v>
      </c>
      <c r="W119" s="76">
        <f t="shared" si="36"/>
        <v>0</v>
      </c>
      <c r="X119" s="76">
        <f t="shared" si="36"/>
        <v>0</v>
      </c>
      <c r="Y119" s="76">
        <f t="shared" si="36"/>
        <v>0</v>
      </c>
      <c r="Z119" s="76">
        <f t="shared" si="36"/>
        <v>0</v>
      </c>
      <c r="AA119" s="76">
        <f t="shared" si="36"/>
        <v>0</v>
      </c>
      <c r="AB119" s="76">
        <f t="shared" si="36"/>
        <v>0</v>
      </c>
      <c r="AC119" s="76">
        <f t="shared" si="36"/>
        <v>0</v>
      </c>
      <c r="AD119" s="76">
        <f t="shared" si="36"/>
        <v>0</v>
      </c>
      <c r="AE119" s="76">
        <f t="shared" si="36"/>
        <v>0</v>
      </c>
      <c r="AF119" s="76">
        <f t="shared" si="36"/>
        <v>0</v>
      </c>
      <c r="AG119" s="76">
        <f t="shared" si="36"/>
        <v>0</v>
      </c>
      <c r="AH119" s="76">
        <f t="shared" si="36"/>
        <v>0</v>
      </c>
      <c r="AI119" s="76">
        <f t="shared" si="36"/>
        <v>0</v>
      </c>
      <c r="AJ119" s="76">
        <f t="shared" si="36"/>
        <v>0</v>
      </c>
      <c r="AK119" s="76">
        <f t="shared" si="36"/>
        <v>0</v>
      </c>
      <c r="AL119" s="76">
        <f t="shared" si="36"/>
        <v>0</v>
      </c>
      <c r="AM119" s="76">
        <f t="shared" si="36"/>
        <v>0</v>
      </c>
      <c r="AN119" s="76">
        <f t="shared" si="36"/>
        <v>0</v>
      </c>
      <c r="AO119" s="76">
        <f t="shared" si="36"/>
        <v>0</v>
      </c>
      <c r="AP119" s="76">
        <f t="shared" si="36"/>
        <v>0</v>
      </c>
      <c r="AQ119" s="76">
        <f t="shared" si="36"/>
        <v>0</v>
      </c>
      <c r="AR119" s="76">
        <f t="shared" si="36"/>
        <v>0</v>
      </c>
      <c r="AS119" s="76">
        <f t="shared" si="36"/>
        <v>0</v>
      </c>
      <c r="AT119" s="76">
        <f t="shared" si="36"/>
        <v>0</v>
      </c>
      <c r="AU119" s="76">
        <f t="shared" si="36"/>
        <v>0</v>
      </c>
      <c r="AV119" s="76">
        <f t="shared" si="36"/>
        <v>0</v>
      </c>
      <c r="AW119" s="76">
        <f t="shared" si="36"/>
        <v>0</v>
      </c>
      <c r="AX119" s="76">
        <f t="shared" si="36"/>
        <v>0</v>
      </c>
      <c r="AY119" s="76">
        <f t="shared" si="36"/>
        <v>0</v>
      </c>
      <c r="AZ119" s="76">
        <f t="shared" si="36"/>
        <v>0</v>
      </c>
      <c r="BA119" s="76">
        <f t="shared" si="36"/>
        <v>0</v>
      </c>
      <c r="BB119" s="76">
        <f t="shared" si="36"/>
        <v>0</v>
      </c>
      <c r="BC119" s="76">
        <f t="shared" si="36"/>
        <v>0</v>
      </c>
      <c r="BD119" s="76">
        <f t="shared" si="36"/>
        <v>0</v>
      </c>
    </row>
    <row r="124" spans="3:56" x14ac:dyDescent="0.25">
      <c r="C124" s="103" t="s">
        <v>53</v>
      </c>
      <c r="D124" s="74" t="s">
        <v>34</v>
      </c>
      <c r="E124" s="44">
        <f>SUM(E18,E40,E61,E81,E98)</f>
        <v>0</v>
      </c>
      <c r="F124" s="44">
        <f t="shared" ref="F124:BD124" si="37">SUM(F18,F40,F61,F81,F98)</f>
        <v>0</v>
      </c>
      <c r="G124" s="44">
        <f t="shared" si="37"/>
        <v>0</v>
      </c>
      <c r="H124" s="44">
        <f t="shared" si="37"/>
        <v>0</v>
      </c>
      <c r="I124" s="44">
        <f t="shared" si="37"/>
        <v>0</v>
      </c>
      <c r="J124" s="44">
        <f t="shared" si="37"/>
        <v>0</v>
      </c>
      <c r="K124" s="44">
        <f t="shared" si="37"/>
        <v>0</v>
      </c>
      <c r="L124" s="44">
        <f t="shared" si="37"/>
        <v>0</v>
      </c>
      <c r="M124" s="44">
        <f t="shared" si="37"/>
        <v>0</v>
      </c>
      <c r="N124" s="44">
        <f t="shared" si="37"/>
        <v>0</v>
      </c>
      <c r="O124" s="44">
        <f t="shared" si="37"/>
        <v>0</v>
      </c>
      <c r="P124" s="44">
        <f t="shared" si="37"/>
        <v>0</v>
      </c>
      <c r="Q124" s="44">
        <f t="shared" si="37"/>
        <v>0</v>
      </c>
      <c r="R124" s="44">
        <f t="shared" si="37"/>
        <v>0</v>
      </c>
      <c r="S124" s="44">
        <f t="shared" si="37"/>
        <v>0</v>
      </c>
      <c r="T124" s="44">
        <f t="shared" si="37"/>
        <v>0</v>
      </c>
      <c r="U124" s="44">
        <f t="shared" si="37"/>
        <v>0</v>
      </c>
      <c r="V124" s="44">
        <f t="shared" si="37"/>
        <v>0</v>
      </c>
      <c r="W124" s="44">
        <f t="shared" si="37"/>
        <v>0</v>
      </c>
      <c r="X124" s="44">
        <f t="shared" si="37"/>
        <v>0</v>
      </c>
      <c r="Y124" s="44">
        <f t="shared" si="37"/>
        <v>0</v>
      </c>
      <c r="Z124" s="44">
        <f t="shared" si="37"/>
        <v>0</v>
      </c>
      <c r="AA124" s="44">
        <f t="shared" si="37"/>
        <v>0</v>
      </c>
      <c r="AB124" s="44">
        <f t="shared" si="37"/>
        <v>0</v>
      </c>
      <c r="AC124" s="44">
        <f t="shared" si="37"/>
        <v>0</v>
      </c>
      <c r="AD124" s="44">
        <f t="shared" si="37"/>
        <v>0</v>
      </c>
      <c r="AE124" s="44">
        <f t="shared" si="37"/>
        <v>0</v>
      </c>
      <c r="AF124" s="44">
        <f t="shared" si="37"/>
        <v>0</v>
      </c>
      <c r="AG124" s="44">
        <f t="shared" si="37"/>
        <v>0</v>
      </c>
      <c r="AH124" s="44">
        <f t="shared" si="37"/>
        <v>0</v>
      </c>
      <c r="AI124" s="44">
        <f t="shared" si="37"/>
        <v>0</v>
      </c>
      <c r="AJ124" s="44">
        <f t="shared" si="37"/>
        <v>0</v>
      </c>
      <c r="AK124" s="44">
        <f t="shared" si="37"/>
        <v>0</v>
      </c>
      <c r="AL124" s="44">
        <f t="shared" si="37"/>
        <v>0</v>
      </c>
      <c r="AM124" s="44">
        <f t="shared" si="37"/>
        <v>0</v>
      </c>
      <c r="AN124" s="44">
        <f t="shared" si="37"/>
        <v>0</v>
      </c>
      <c r="AO124" s="44">
        <f t="shared" si="37"/>
        <v>0</v>
      </c>
      <c r="AP124" s="44">
        <f t="shared" si="37"/>
        <v>0</v>
      </c>
      <c r="AQ124" s="44">
        <f t="shared" si="37"/>
        <v>0</v>
      </c>
      <c r="AR124" s="44">
        <f t="shared" si="37"/>
        <v>0</v>
      </c>
      <c r="AS124" s="44">
        <f t="shared" si="37"/>
        <v>0</v>
      </c>
      <c r="AT124" s="44">
        <f t="shared" si="37"/>
        <v>0</v>
      </c>
      <c r="AU124" s="44">
        <f t="shared" si="37"/>
        <v>0</v>
      </c>
      <c r="AV124" s="44">
        <f t="shared" si="37"/>
        <v>0</v>
      </c>
      <c r="AW124" s="44">
        <f t="shared" si="37"/>
        <v>0</v>
      </c>
      <c r="AX124" s="44">
        <f t="shared" si="37"/>
        <v>0</v>
      </c>
      <c r="AY124" s="44">
        <f t="shared" si="37"/>
        <v>0</v>
      </c>
      <c r="AZ124" s="44">
        <f t="shared" si="37"/>
        <v>0</v>
      </c>
      <c r="BA124" s="44">
        <f t="shared" si="37"/>
        <v>0</v>
      </c>
      <c r="BB124" s="44">
        <f t="shared" si="37"/>
        <v>0</v>
      </c>
      <c r="BC124" s="44">
        <f t="shared" si="37"/>
        <v>0</v>
      </c>
      <c r="BD124" s="44">
        <f t="shared" si="37"/>
        <v>0</v>
      </c>
    </row>
    <row r="125" spans="3:56" x14ac:dyDescent="0.25">
      <c r="C125" s="103"/>
      <c r="D125" s="74" t="s">
        <v>35</v>
      </c>
      <c r="E125" s="44">
        <f t="shared" ref="E125:BD129" si="38">SUM(E19,E41,E62,E82,E99)</f>
        <v>0</v>
      </c>
      <c r="F125" s="44">
        <f t="shared" si="38"/>
        <v>0</v>
      </c>
      <c r="G125" s="44">
        <f t="shared" si="38"/>
        <v>0</v>
      </c>
      <c r="H125" s="44">
        <f t="shared" si="38"/>
        <v>0</v>
      </c>
      <c r="I125" s="44">
        <f t="shared" si="38"/>
        <v>0</v>
      </c>
      <c r="J125" s="44">
        <f t="shared" si="38"/>
        <v>0</v>
      </c>
      <c r="K125" s="44">
        <f t="shared" si="38"/>
        <v>0</v>
      </c>
      <c r="L125" s="44">
        <f t="shared" si="38"/>
        <v>0</v>
      </c>
      <c r="M125" s="44">
        <f t="shared" si="38"/>
        <v>0</v>
      </c>
      <c r="N125" s="44">
        <f t="shared" si="38"/>
        <v>0</v>
      </c>
      <c r="O125" s="44">
        <f t="shared" si="38"/>
        <v>0</v>
      </c>
      <c r="P125" s="44">
        <f t="shared" si="38"/>
        <v>0</v>
      </c>
      <c r="Q125" s="44">
        <f t="shared" si="38"/>
        <v>0</v>
      </c>
      <c r="R125" s="44">
        <f t="shared" si="38"/>
        <v>0</v>
      </c>
      <c r="S125" s="44">
        <f t="shared" si="38"/>
        <v>0</v>
      </c>
      <c r="T125" s="44">
        <f t="shared" si="38"/>
        <v>0</v>
      </c>
      <c r="U125" s="44">
        <f t="shared" si="38"/>
        <v>0</v>
      </c>
      <c r="V125" s="44">
        <f t="shared" si="38"/>
        <v>0</v>
      </c>
      <c r="W125" s="44">
        <f t="shared" si="38"/>
        <v>0</v>
      </c>
      <c r="X125" s="44">
        <f t="shared" si="38"/>
        <v>0</v>
      </c>
      <c r="Y125" s="44">
        <f t="shared" si="38"/>
        <v>0</v>
      </c>
      <c r="Z125" s="44">
        <f t="shared" si="38"/>
        <v>0</v>
      </c>
      <c r="AA125" s="44">
        <f t="shared" si="38"/>
        <v>0</v>
      </c>
      <c r="AB125" s="44">
        <f t="shared" si="38"/>
        <v>0</v>
      </c>
      <c r="AC125" s="44">
        <f t="shared" si="38"/>
        <v>0</v>
      </c>
      <c r="AD125" s="44">
        <f t="shared" si="38"/>
        <v>0</v>
      </c>
      <c r="AE125" s="44">
        <f t="shared" si="38"/>
        <v>0</v>
      </c>
      <c r="AF125" s="44">
        <f t="shared" si="38"/>
        <v>0</v>
      </c>
      <c r="AG125" s="44">
        <f t="shared" si="38"/>
        <v>0</v>
      </c>
      <c r="AH125" s="44">
        <f t="shared" si="38"/>
        <v>0</v>
      </c>
      <c r="AI125" s="44">
        <f t="shared" si="38"/>
        <v>0</v>
      </c>
      <c r="AJ125" s="44">
        <f t="shared" si="38"/>
        <v>0</v>
      </c>
      <c r="AK125" s="44">
        <f t="shared" si="38"/>
        <v>0</v>
      </c>
      <c r="AL125" s="44">
        <f t="shared" si="38"/>
        <v>0</v>
      </c>
      <c r="AM125" s="44">
        <f t="shared" si="38"/>
        <v>0</v>
      </c>
      <c r="AN125" s="44">
        <f t="shared" si="38"/>
        <v>0</v>
      </c>
      <c r="AO125" s="44">
        <f t="shared" si="38"/>
        <v>0</v>
      </c>
      <c r="AP125" s="44">
        <f t="shared" si="38"/>
        <v>0</v>
      </c>
      <c r="AQ125" s="44">
        <f t="shared" si="38"/>
        <v>0</v>
      </c>
      <c r="AR125" s="44">
        <f t="shared" si="38"/>
        <v>0</v>
      </c>
      <c r="AS125" s="44">
        <f t="shared" si="38"/>
        <v>0</v>
      </c>
      <c r="AT125" s="44">
        <f t="shared" si="38"/>
        <v>0</v>
      </c>
      <c r="AU125" s="44">
        <f t="shared" si="38"/>
        <v>0</v>
      </c>
      <c r="AV125" s="44">
        <f t="shared" si="38"/>
        <v>0</v>
      </c>
      <c r="AW125" s="44">
        <f t="shared" si="38"/>
        <v>0</v>
      </c>
      <c r="AX125" s="44">
        <f t="shared" si="38"/>
        <v>0</v>
      </c>
      <c r="AY125" s="44">
        <f t="shared" si="38"/>
        <v>0</v>
      </c>
      <c r="AZ125" s="44">
        <f t="shared" si="38"/>
        <v>0</v>
      </c>
      <c r="BA125" s="44">
        <f t="shared" si="38"/>
        <v>0</v>
      </c>
      <c r="BB125" s="44">
        <f t="shared" si="38"/>
        <v>0</v>
      </c>
      <c r="BC125" s="44">
        <f t="shared" si="38"/>
        <v>0</v>
      </c>
      <c r="BD125" s="44">
        <f t="shared" si="38"/>
        <v>0</v>
      </c>
    </row>
    <row r="126" spans="3:56" x14ac:dyDescent="0.25">
      <c r="C126" s="103"/>
      <c r="D126" s="74" t="s">
        <v>36</v>
      </c>
      <c r="E126" s="44">
        <f t="shared" si="38"/>
        <v>0</v>
      </c>
      <c r="F126" s="44">
        <f t="shared" si="38"/>
        <v>0</v>
      </c>
      <c r="G126" s="44">
        <f t="shared" si="38"/>
        <v>0</v>
      </c>
      <c r="H126" s="44">
        <f t="shared" si="38"/>
        <v>0</v>
      </c>
      <c r="I126" s="44">
        <f t="shared" si="38"/>
        <v>0</v>
      </c>
      <c r="J126" s="44">
        <f t="shared" si="38"/>
        <v>0</v>
      </c>
      <c r="K126" s="44">
        <f t="shared" si="38"/>
        <v>0</v>
      </c>
      <c r="L126" s="44">
        <f t="shared" si="38"/>
        <v>0</v>
      </c>
      <c r="M126" s="44">
        <f t="shared" si="38"/>
        <v>0</v>
      </c>
      <c r="N126" s="44">
        <f t="shared" si="38"/>
        <v>0</v>
      </c>
      <c r="O126" s="44">
        <f t="shared" si="38"/>
        <v>0</v>
      </c>
      <c r="P126" s="44">
        <f t="shared" si="38"/>
        <v>0</v>
      </c>
      <c r="Q126" s="44">
        <f t="shared" si="38"/>
        <v>0</v>
      </c>
      <c r="R126" s="44">
        <f t="shared" si="38"/>
        <v>0</v>
      </c>
      <c r="S126" s="44">
        <f t="shared" si="38"/>
        <v>0</v>
      </c>
      <c r="T126" s="44">
        <f t="shared" si="38"/>
        <v>0</v>
      </c>
      <c r="U126" s="44">
        <f t="shared" si="38"/>
        <v>0</v>
      </c>
      <c r="V126" s="44">
        <f t="shared" si="38"/>
        <v>0</v>
      </c>
      <c r="W126" s="44">
        <f t="shared" si="38"/>
        <v>0</v>
      </c>
      <c r="X126" s="44">
        <f t="shared" si="38"/>
        <v>0</v>
      </c>
      <c r="Y126" s="44">
        <f t="shared" si="38"/>
        <v>0</v>
      </c>
      <c r="Z126" s="44">
        <f t="shared" si="38"/>
        <v>0</v>
      </c>
      <c r="AA126" s="44">
        <f t="shared" si="38"/>
        <v>0</v>
      </c>
      <c r="AB126" s="44">
        <f t="shared" si="38"/>
        <v>0</v>
      </c>
      <c r="AC126" s="44">
        <f t="shared" si="38"/>
        <v>0</v>
      </c>
      <c r="AD126" s="44">
        <f t="shared" si="38"/>
        <v>0</v>
      </c>
      <c r="AE126" s="44">
        <f t="shared" si="38"/>
        <v>0</v>
      </c>
      <c r="AF126" s="44">
        <f t="shared" si="38"/>
        <v>0</v>
      </c>
      <c r="AG126" s="44">
        <f t="shared" si="38"/>
        <v>0</v>
      </c>
      <c r="AH126" s="44">
        <f t="shared" si="38"/>
        <v>0</v>
      </c>
      <c r="AI126" s="44">
        <f t="shared" si="38"/>
        <v>0</v>
      </c>
      <c r="AJ126" s="44">
        <f t="shared" si="38"/>
        <v>0</v>
      </c>
      <c r="AK126" s="44">
        <f t="shared" si="38"/>
        <v>0</v>
      </c>
      <c r="AL126" s="44">
        <f t="shared" si="38"/>
        <v>0</v>
      </c>
      <c r="AM126" s="44">
        <f t="shared" si="38"/>
        <v>0</v>
      </c>
      <c r="AN126" s="44">
        <f t="shared" si="38"/>
        <v>0</v>
      </c>
      <c r="AO126" s="44">
        <f t="shared" si="38"/>
        <v>0</v>
      </c>
      <c r="AP126" s="44">
        <f t="shared" si="38"/>
        <v>0</v>
      </c>
      <c r="AQ126" s="44">
        <f t="shared" si="38"/>
        <v>0</v>
      </c>
      <c r="AR126" s="44">
        <f t="shared" si="38"/>
        <v>0</v>
      </c>
      <c r="AS126" s="44">
        <f t="shared" si="38"/>
        <v>0</v>
      </c>
      <c r="AT126" s="44">
        <f t="shared" si="38"/>
        <v>0</v>
      </c>
      <c r="AU126" s="44">
        <f t="shared" si="38"/>
        <v>0</v>
      </c>
      <c r="AV126" s="44">
        <f t="shared" si="38"/>
        <v>0</v>
      </c>
      <c r="AW126" s="44">
        <f t="shared" si="38"/>
        <v>0</v>
      </c>
      <c r="AX126" s="44">
        <f t="shared" si="38"/>
        <v>0</v>
      </c>
      <c r="AY126" s="44">
        <f t="shared" si="38"/>
        <v>0</v>
      </c>
      <c r="AZ126" s="44">
        <f t="shared" si="38"/>
        <v>0</v>
      </c>
      <c r="BA126" s="44">
        <f t="shared" si="38"/>
        <v>0</v>
      </c>
      <c r="BB126" s="44">
        <f t="shared" si="38"/>
        <v>0</v>
      </c>
      <c r="BC126" s="44">
        <f t="shared" si="38"/>
        <v>0</v>
      </c>
      <c r="BD126" s="44">
        <f t="shared" si="38"/>
        <v>0</v>
      </c>
    </row>
    <row r="127" spans="3:56" x14ac:dyDescent="0.25">
      <c r="C127" s="103"/>
      <c r="D127" s="74" t="s">
        <v>37</v>
      </c>
      <c r="E127" s="44">
        <f t="shared" si="38"/>
        <v>0</v>
      </c>
      <c r="F127" s="44">
        <f t="shared" si="38"/>
        <v>0</v>
      </c>
      <c r="G127" s="44">
        <f t="shared" si="38"/>
        <v>0</v>
      </c>
      <c r="H127" s="44">
        <f t="shared" si="38"/>
        <v>0</v>
      </c>
      <c r="I127" s="44">
        <f t="shared" si="38"/>
        <v>0</v>
      </c>
      <c r="J127" s="44">
        <f t="shared" si="38"/>
        <v>0</v>
      </c>
      <c r="K127" s="44">
        <f t="shared" si="38"/>
        <v>0</v>
      </c>
      <c r="L127" s="44">
        <f t="shared" si="38"/>
        <v>0</v>
      </c>
      <c r="M127" s="44">
        <f t="shared" si="38"/>
        <v>0</v>
      </c>
      <c r="N127" s="44">
        <f t="shared" si="38"/>
        <v>0</v>
      </c>
      <c r="O127" s="44">
        <f t="shared" si="38"/>
        <v>0</v>
      </c>
      <c r="P127" s="44">
        <f t="shared" si="38"/>
        <v>0</v>
      </c>
      <c r="Q127" s="44">
        <f t="shared" si="38"/>
        <v>0</v>
      </c>
      <c r="R127" s="44">
        <f t="shared" si="38"/>
        <v>0</v>
      </c>
      <c r="S127" s="44">
        <f t="shared" si="38"/>
        <v>0</v>
      </c>
      <c r="T127" s="44">
        <f t="shared" si="38"/>
        <v>0</v>
      </c>
      <c r="U127" s="44">
        <f t="shared" si="38"/>
        <v>0</v>
      </c>
      <c r="V127" s="44">
        <f t="shared" si="38"/>
        <v>0</v>
      </c>
      <c r="W127" s="44">
        <f t="shared" si="38"/>
        <v>0</v>
      </c>
      <c r="X127" s="44">
        <f t="shared" si="38"/>
        <v>0</v>
      </c>
      <c r="Y127" s="44">
        <f t="shared" si="38"/>
        <v>0</v>
      </c>
      <c r="Z127" s="44">
        <f t="shared" si="38"/>
        <v>0</v>
      </c>
      <c r="AA127" s="44">
        <f t="shared" si="38"/>
        <v>0</v>
      </c>
      <c r="AB127" s="44">
        <f t="shared" si="38"/>
        <v>0</v>
      </c>
      <c r="AC127" s="44">
        <f t="shared" si="38"/>
        <v>0</v>
      </c>
      <c r="AD127" s="44">
        <f t="shared" si="38"/>
        <v>0</v>
      </c>
      <c r="AE127" s="44">
        <f t="shared" si="38"/>
        <v>0</v>
      </c>
      <c r="AF127" s="44">
        <f t="shared" si="38"/>
        <v>0</v>
      </c>
      <c r="AG127" s="44">
        <f t="shared" si="38"/>
        <v>0</v>
      </c>
      <c r="AH127" s="44">
        <f t="shared" si="38"/>
        <v>0</v>
      </c>
      <c r="AI127" s="44">
        <f t="shared" si="38"/>
        <v>0</v>
      </c>
      <c r="AJ127" s="44">
        <f t="shared" si="38"/>
        <v>0</v>
      </c>
      <c r="AK127" s="44">
        <f t="shared" si="38"/>
        <v>0</v>
      </c>
      <c r="AL127" s="44">
        <f t="shared" si="38"/>
        <v>0</v>
      </c>
      <c r="AM127" s="44">
        <f t="shared" si="38"/>
        <v>0</v>
      </c>
      <c r="AN127" s="44">
        <f t="shared" si="38"/>
        <v>0</v>
      </c>
      <c r="AO127" s="44">
        <f t="shared" si="38"/>
        <v>0</v>
      </c>
      <c r="AP127" s="44">
        <f t="shared" si="38"/>
        <v>0</v>
      </c>
      <c r="AQ127" s="44">
        <f t="shared" si="38"/>
        <v>0</v>
      </c>
      <c r="AR127" s="44">
        <f t="shared" si="38"/>
        <v>0</v>
      </c>
      <c r="AS127" s="44">
        <f t="shared" si="38"/>
        <v>0</v>
      </c>
      <c r="AT127" s="44">
        <f t="shared" si="38"/>
        <v>0</v>
      </c>
      <c r="AU127" s="44">
        <f t="shared" si="38"/>
        <v>0</v>
      </c>
      <c r="AV127" s="44">
        <f t="shared" si="38"/>
        <v>0</v>
      </c>
      <c r="AW127" s="44">
        <f t="shared" si="38"/>
        <v>0</v>
      </c>
      <c r="AX127" s="44">
        <f t="shared" si="38"/>
        <v>0</v>
      </c>
      <c r="AY127" s="44">
        <f t="shared" si="38"/>
        <v>0</v>
      </c>
      <c r="AZ127" s="44">
        <f t="shared" si="38"/>
        <v>0</v>
      </c>
      <c r="BA127" s="44">
        <f t="shared" si="38"/>
        <v>0</v>
      </c>
      <c r="BB127" s="44">
        <f t="shared" si="38"/>
        <v>0</v>
      </c>
      <c r="BC127" s="44">
        <f t="shared" si="38"/>
        <v>0</v>
      </c>
      <c r="BD127" s="44">
        <f t="shared" si="38"/>
        <v>0</v>
      </c>
    </row>
    <row r="128" spans="3:56" x14ac:dyDescent="0.25">
      <c r="C128" s="103"/>
      <c r="D128" s="74" t="s">
        <v>38</v>
      </c>
      <c r="E128" s="44">
        <f t="shared" si="38"/>
        <v>0</v>
      </c>
      <c r="F128" s="44">
        <f t="shared" si="38"/>
        <v>0</v>
      </c>
      <c r="G128" s="44">
        <f t="shared" si="38"/>
        <v>0</v>
      </c>
      <c r="H128" s="44">
        <f t="shared" si="38"/>
        <v>0</v>
      </c>
      <c r="I128" s="44">
        <f t="shared" si="38"/>
        <v>0</v>
      </c>
      <c r="J128" s="44">
        <f t="shared" si="38"/>
        <v>0</v>
      </c>
      <c r="K128" s="44">
        <f t="shared" si="38"/>
        <v>0</v>
      </c>
      <c r="L128" s="44">
        <f t="shared" si="38"/>
        <v>0</v>
      </c>
      <c r="M128" s="44">
        <f t="shared" si="38"/>
        <v>0</v>
      </c>
      <c r="N128" s="44">
        <f t="shared" si="38"/>
        <v>0</v>
      </c>
      <c r="O128" s="44">
        <f t="shared" si="38"/>
        <v>0</v>
      </c>
      <c r="P128" s="44">
        <f t="shared" si="38"/>
        <v>0</v>
      </c>
      <c r="Q128" s="44">
        <f t="shared" si="38"/>
        <v>0</v>
      </c>
      <c r="R128" s="44">
        <f t="shared" si="38"/>
        <v>0</v>
      </c>
      <c r="S128" s="44">
        <f t="shared" si="38"/>
        <v>0</v>
      </c>
      <c r="T128" s="44">
        <f t="shared" si="38"/>
        <v>0</v>
      </c>
      <c r="U128" s="44">
        <f t="shared" si="38"/>
        <v>0</v>
      </c>
      <c r="V128" s="44">
        <f t="shared" si="38"/>
        <v>0</v>
      </c>
      <c r="W128" s="44">
        <f t="shared" si="38"/>
        <v>0</v>
      </c>
      <c r="X128" s="44">
        <f t="shared" si="38"/>
        <v>0</v>
      </c>
      <c r="Y128" s="44">
        <f t="shared" si="38"/>
        <v>0</v>
      </c>
      <c r="Z128" s="44">
        <f t="shared" si="38"/>
        <v>0</v>
      </c>
      <c r="AA128" s="44">
        <f t="shared" si="38"/>
        <v>0</v>
      </c>
      <c r="AB128" s="44">
        <f t="shared" si="38"/>
        <v>0</v>
      </c>
      <c r="AC128" s="44">
        <f t="shared" si="38"/>
        <v>0</v>
      </c>
      <c r="AD128" s="44">
        <f t="shared" si="38"/>
        <v>0</v>
      </c>
      <c r="AE128" s="44">
        <f t="shared" si="38"/>
        <v>0</v>
      </c>
      <c r="AF128" s="44">
        <f t="shared" si="38"/>
        <v>0</v>
      </c>
      <c r="AG128" s="44">
        <f t="shared" si="38"/>
        <v>0</v>
      </c>
      <c r="AH128" s="44">
        <f t="shared" si="38"/>
        <v>0</v>
      </c>
      <c r="AI128" s="44">
        <f t="shared" si="38"/>
        <v>0</v>
      </c>
      <c r="AJ128" s="44">
        <f t="shared" si="38"/>
        <v>0</v>
      </c>
      <c r="AK128" s="44">
        <f t="shared" si="38"/>
        <v>0</v>
      </c>
      <c r="AL128" s="44">
        <f t="shared" si="38"/>
        <v>0</v>
      </c>
      <c r="AM128" s="44">
        <f t="shared" si="38"/>
        <v>0</v>
      </c>
      <c r="AN128" s="44">
        <f t="shared" si="38"/>
        <v>0</v>
      </c>
      <c r="AO128" s="44">
        <f t="shared" si="38"/>
        <v>0</v>
      </c>
      <c r="AP128" s="44">
        <f t="shared" si="38"/>
        <v>0</v>
      </c>
      <c r="AQ128" s="44">
        <f t="shared" si="38"/>
        <v>0</v>
      </c>
      <c r="AR128" s="44">
        <f t="shared" si="38"/>
        <v>0</v>
      </c>
      <c r="AS128" s="44">
        <f t="shared" si="38"/>
        <v>0</v>
      </c>
      <c r="AT128" s="44">
        <f t="shared" si="38"/>
        <v>0</v>
      </c>
      <c r="AU128" s="44">
        <f t="shared" si="38"/>
        <v>0</v>
      </c>
      <c r="AV128" s="44">
        <f t="shared" si="38"/>
        <v>0</v>
      </c>
      <c r="AW128" s="44">
        <f t="shared" si="38"/>
        <v>0</v>
      </c>
      <c r="AX128" s="44">
        <f t="shared" si="38"/>
        <v>0</v>
      </c>
      <c r="AY128" s="44">
        <f t="shared" si="38"/>
        <v>0</v>
      </c>
      <c r="AZ128" s="44">
        <f t="shared" si="38"/>
        <v>0</v>
      </c>
      <c r="BA128" s="44">
        <f t="shared" si="38"/>
        <v>0</v>
      </c>
      <c r="BB128" s="44">
        <f t="shared" si="38"/>
        <v>0</v>
      </c>
      <c r="BC128" s="44">
        <f t="shared" si="38"/>
        <v>0</v>
      </c>
      <c r="BD128" s="44">
        <f t="shared" si="38"/>
        <v>0</v>
      </c>
    </row>
    <row r="129" spans="3:56" x14ac:dyDescent="0.25">
      <c r="C129" s="103"/>
      <c r="D129" s="74" t="s">
        <v>39</v>
      </c>
      <c r="E129" s="44">
        <f t="shared" si="38"/>
        <v>0</v>
      </c>
      <c r="F129" s="44">
        <f t="shared" si="38"/>
        <v>0</v>
      </c>
      <c r="G129" s="44">
        <f t="shared" si="38"/>
        <v>0</v>
      </c>
      <c r="H129" s="44">
        <f t="shared" si="38"/>
        <v>0</v>
      </c>
      <c r="I129" s="44">
        <f t="shared" si="38"/>
        <v>0</v>
      </c>
      <c r="J129" s="44">
        <f t="shared" si="38"/>
        <v>0</v>
      </c>
      <c r="K129" s="44">
        <f t="shared" si="38"/>
        <v>0</v>
      </c>
      <c r="L129" s="44">
        <f t="shared" si="38"/>
        <v>0</v>
      </c>
      <c r="M129" s="44">
        <f t="shared" si="38"/>
        <v>0</v>
      </c>
      <c r="N129" s="44">
        <f t="shared" si="38"/>
        <v>0</v>
      </c>
      <c r="O129" s="44">
        <f t="shared" si="38"/>
        <v>0</v>
      </c>
      <c r="P129" s="44">
        <f t="shared" si="38"/>
        <v>0</v>
      </c>
      <c r="Q129" s="44">
        <f t="shared" si="38"/>
        <v>0</v>
      </c>
      <c r="R129" s="44">
        <f t="shared" si="38"/>
        <v>0</v>
      </c>
      <c r="S129" s="44">
        <f t="shared" si="38"/>
        <v>0</v>
      </c>
      <c r="T129" s="44">
        <f t="shared" si="38"/>
        <v>0</v>
      </c>
      <c r="U129" s="44">
        <f t="shared" si="38"/>
        <v>0</v>
      </c>
      <c r="V129" s="44">
        <f t="shared" si="38"/>
        <v>0</v>
      </c>
      <c r="W129" s="44">
        <f t="shared" si="38"/>
        <v>0</v>
      </c>
      <c r="X129" s="44">
        <f t="shared" si="38"/>
        <v>0</v>
      </c>
      <c r="Y129" s="44">
        <f t="shared" si="38"/>
        <v>0</v>
      </c>
      <c r="Z129" s="44">
        <f t="shared" si="38"/>
        <v>0</v>
      </c>
      <c r="AA129" s="44">
        <f t="shared" si="38"/>
        <v>0</v>
      </c>
      <c r="AB129" s="44">
        <f t="shared" si="38"/>
        <v>0</v>
      </c>
      <c r="AC129" s="44">
        <f t="shared" si="38"/>
        <v>0</v>
      </c>
      <c r="AD129" s="44">
        <f t="shared" si="38"/>
        <v>0</v>
      </c>
      <c r="AE129" s="44">
        <f t="shared" si="38"/>
        <v>0</v>
      </c>
      <c r="AF129" s="44">
        <f t="shared" si="38"/>
        <v>0</v>
      </c>
      <c r="AG129" s="44">
        <f t="shared" si="38"/>
        <v>0</v>
      </c>
      <c r="AH129" s="44">
        <f t="shared" si="38"/>
        <v>0</v>
      </c>
      <c r="AI129" s="44">
        <f t="shared" si="38"/>
        <v>0</v>
      </c>
      <c r="AJ129" s="44">
        <f t="shared" si="38"/>
        <v>0</v>
      </c>
      <c r="AK129" s="44">
        <f t="shared" si="38"/>
        <v>0</v>
      </c>
      <c r="AL129" s="44">
        <f t="shared" si="38"/>
        <v>0</v>
      </c>
      <c r="AM129" s="44">
        <f t="shared" si="38"/>
        <v>0</v>
      </c>
      <c r="AN129" s="44">
        <f t="shared" si="38"/>
        <v>0</v>
      </c>
      <c r="AO129" s="44">
        <f t="shared" si="38"/>
        <v>0</v>
      </c>
      <c r="AP129" s="44">
        <f t="shared" si="38"/>
        <v>0</v>
      </c>
      <c r="AQ129" s="44">
        <f t="shared" si="38"/>
        <v>0</v>
      </c>
      <c r="AR129" s="44">
        <f t="shared" si="38"/>
        <v>0</v>
      </c>
      <c r="AS129" s="44">
        <f t="shared" si="38"/>
        <v>0</v>
      </c>
      <c r="AT129" s="44">
        <f t="shared" si="38"/>
        <v>0</v>
      </c>
      <c r="AU129" s="44">
        <f t="shared" si="38"/>
        <v>0</v>
      </c>
      <c r="AV129" s="44">
        <f t="shared" si="38"/>
        <v>0</v>
      </c>
      <c r="AW129" s="44">
        <f t="shared" si="38"/>
        <v>0</v>
      </c>
      <c r="AX129" s="44">
        <f t="shared" si="38"/>
        <v>0</v>
      </c>
      <c r="AY129" s="44">
        <f t="shared" si="38"/>
        <v>0</v>
      </c>
      <c r="AZ129" s="44">
        <f t="shared" ref="AZ129:BD129" si="39">SUM(AZ23,AZ45,AZ66,AZ86,AZ103)</f>
        <v>0</v>
      </c>
      <c r="BA129" s="44">
        <f t="shared" si="39"/>
        <v>0</v>
      </c>
      <c r="BB129" s="44">
        <f t="shared" si="39"/>
        <v>0</v>
      </c>
      <c r="BC129" s="44">
        <f t="shared" si="39"/>
        <v>0</v>
      </c>
      <c r="BD129" s="44">
        <f t="shared" si="39"/>
        <v>0</v>
      </c>
    </row>
    <row r="130" spans="3:56" x14ac:dyDescent="0.25">
      <c r="C130" s="103"/>
      <c r="D130" s="74" t="s">
        <v>40</v>
      </c>
      <c r="E130" s="44">
        <f t="shared" ref="E130:BD131" si="40">SUM(E24,E46,E67,E87,E104)</f>
        <v>0</v>
      </c>
      <c r="F130" s="44">
        <f t="shared" si="40"/>
        <v>0</v>
      </c>
      <c r="G130" s="44">
        <f t="shared" si="40"/>
        <v>0</v>
      </c>
      <c r="H130" s="44">
        <f t="shared" si="40"/>
        <v>0</v>
      </c>
      <c r="I130" s="44">
        <f t="shared" si="40"/>
        <v>0</v>
      </c>
      <c r="J130" s="44">
        <f t="shared" si="40"/>
        <v>0</v>
      </c>
      <c r="K130" s="44">
        <f t="shared" si="40"/>
        <v>0</v>
      </c>
      <c r="L130" s="44">
        <f t="shared" si="40"/>
        <v>0</v>
      </c>
      <c r="M130" s="44">
        <f t="shared" si="40"/>
        <v>0</v>
      </c>
      <c r="N130" s="44">
        <f t="shared" si="40"/>
        <v>0</v>
      </c>
      <c r="O130" s="44">
        <f t="shared" si="40"/>
        <v>0</v>
      </c>
      <c r="P130" s="44">
        <f t="shared" si="40"/>
        <v>0</v>
      </c>
      <c r="Q130" s="44">
        <f t="shared" si="40"/>
        <v>0</v>
      </c>
      <c r="R130" s="44">
        <f t="shared" si="40"/>
        <v>0</v>
      </c>
      <c r="S130" s="44">
        <f t="shared" si="40"/>
        <v>0</v>
      </c>
      <c r="T130" s="44">
        <f t="shared" si="40"/>
        <v>0</v>
      </c>
      <c r="U130" s="44">
        <f t="shared" si="40"/>
        <v>0</v>
      </c>
      <c r="V130" s="44">
        <f t="shared" si="40"/>
        <v>0</v>
      </c>
      <c r="W130" s="44">
        <f t="shared" si="40"/>
        <v>0</v>
      </c>
      <c r="X130" s="44">
        <f t="shared" si="40"/>
        <v>0</v>
      </c>
      <c r="Y130" s="44">
        <f t="shared" si="40"/>
        <v>0</v>
      </c>
      <c r="Z130" s="44">
        <f t="shared" si="40"/>
        <v>0</v>
      </c>
      <c r="AA130" s="44">
        <f t="shared" si="40"/>
        <v>0</v>
      </c>
      <c r="AB130" s="44">
        <f t="shared" si="40"/>
        <v>0</v>
      </c>
      <c r="AC130" s="44">
        <f t="shared" si="40"/>
        <v>0</v>
      </c>
      <c r="AD130" s="44">
        <f t="shared" si="40"/>
        <v>0</v>
      </c>
      <c r="AE130" s="44">
        <f t="shared" si="40"/>
        <v>0</v>
      </c>
      <c r="AF130" s="44">
        <f t="shared" si="40"/>
        <v>0</v>
      </c>
      <c r="AG130" s="44">
        <f t="shared" si="40"/>
        <v>0</v>
      </c>
      <c r="AH130" s="44">
        <f t="shared" si="40"/>
        <v>0</v>
      </c>
      <c r="AI130" s="44">
        <f t="shared" si="40"/>
        <v>0</v>
      </c>
      <c r="AJ130" s="44">
        <f t="shared" si="40"/>
        <v>0</v>
      </c>
      <c r="AK130" s="44">
        <f t="shared" si="40"/>
        <v>0</v>
      </c>
      <c r="AL130" s="44">
        <f t="shared" si="40"/>
        <v>0</v>
      </c>
      <c r="AM130" s="44">
        <f t="shared" si="40"/>
        <v>0</v>
      </c>
      <c r="AN130" s="44">
        <f t="shared" si="40"/>
        <v>0</v>
      </c>
      <c r="AO130" s="44">
        <f t="shared" si="40"/>
        <v>0</v>
      </c>
      <c r="AP130" s="44">
        <f t="shared" si="40"/>
        <v>0</v>
      </c>
      <c r="AQ130" s="44">
        <f t="shared" si="40"/>
        <v>0</v>
      </c>
      <c r="AR130" s="44">
        <f t="shared" si="40"/>
        <v>0</v>
      </c>
      <c r="AS130" s="44">
        <f t="shared" si="40"/>
        <v>0</v>
      </c>
      <c r="AT130" s="44">
        <f t="shared" si="40"/>
        <v>0</v>
      </c>
      <c r="AU130" s="44">
        <f t="shared" si="40"/>
        <v>0</v>
      </c>
      <c r="AV130" s="44">
        <f t="shared" si="40"/>
        <v>0</v>
      </c>
      <c r="AW130" s="44">
        <f t="shared" si="40"/>
        <v>0</v>
      </c>
      <c r="AX130" s="44">
        <f t="shared" si="40"/>
        <v>0</v>
      </c>
      <c r="AY130" s="44">
        <f t="shared" si="40"/>
        <v>0</v>
      </c>
      <c r="AZ130" s="44">
        <f t="shared" si="40"/>
        <v>0</v>
      </c>
      <c r="BA130" s="44">
        <f t="shared" si="40"/>
        <v>0</v>
      </c>
      <c r="BB130" s="44">
        <f t="shared" si="40"/>
        <v>0</v>
      </c>
      <c r="BC130" s="44">
        <f t="shared" si="40"/>
        <v>0</v>
      </c>
      <c r="BD130" s="44">
        <f t="shared" si="40"/>
        <v>0</v>
      </c>
    </row>
    <row r="131" spans="3:56" x14ac:dyDescent="0.25">
      <c r="D131" s="50" t="s">
        <v>41</v>
      </c>
      <c r="E131" s="44">
        <f t="shared" si="40"/>
        <v>0</v>
      </c>
      <c r="F131" s="44">
        <f t="shared" si="40"/>
        <v>0</v>
      </c>
      <c r="G131" s="44">
        <f t="shared" si="40"/>
        <v>0</v>
      </c>
      <c r="H131" s="44">
        <f t="shared" si="40"/>
        <v>0</v>
      </c>
      <c r="I131" s="44">
        <f t="shared" si="40"/>
        <v>0</v>
      </c>
      <c r="J131" s="44">
        <f t="shared" si="40"/>
        <v>0</v>
      </c>
      <c r="K131" s="44">
        <f t="shared" si="40"/>
        <v>0</v>
      </c>
      <c r="L131" s="44">
        <f t="shared" si="40"/>
        <v>0</v>
      </c>
      <c r="M131" s="44">
        <f t="shared" si="40"/>
        <v>0</v>
      </c>
      <c r="N131" s="44">
        <f t="shared" si="40"/>
        <v>0</v>
      </c>
      <c r="O131" s="44">
        <f t="shared" si="40"/>
        <v>0</v>
      </c>
      <c r="P131" s="44">
        <f t="shared" si="40"/>
        <v>0</v>
      </c>
      <c r="Q131" s="44">
        <f t="shared" si="40"/>
        <v>0</v>
      </c>
      <c r="R131" s="44">
        <f t="shared" si="40"/>
        <v>0</v>
      </c>
      <c r="S131" s="44">
        <f t="shared" si="40"/>
        <v>0</v>
      </c>
      <c r="T131" s="44">
        <f t="shared" si="40"/>
        <v>0</v>
      </c>
      <c r="U131" s="44">
        <f t="shared" si="40"/>
        <v>0</v>
      </c>
      <c r="V131" s="44">
        <f t="shared" si="40"/>
        <v>0</v>
      </c>
      <c r="W131" s="44">
        <f t="shared" si="40"/>
        <v>0</v>
      </c>
      <c r="X131" s="44">
        <f t="shared" si="40"/>
        <v>0</v>
      </c>
      <c r="Y131" s="44">
        <f t="shared" si="40"/>
        <v>0</v>
      </c>
      <c r="Z131" s="44">
        <f t="shared" si="40"/>
        <v>0</v>
      </c>
      <c r="AA131" s="44">
        <f t="shared" si="40"/>
        <v>0</v>
      </c>
      <c r="AB131" s="44">
        <f t="shared" si="40"/>
        <v>0</v>
      </c>
      <c r="AC131" s="44">
        <f t="shared" si="40"/>
        <v>0</v>
      </c>
      <c r="AD131" s="44">
        <f t="shared" si="40"/>
        <v>0</v>
      </c>
      <c r="AE131" s="44">
        <f t="shared" si="40"/>
        <v>0</v>
      </c>
      <c r="AF131" s="44">
        <f t="shared" si="40"/>
        <v>0</v>
      </c>
      <c r="AG131" s="44">
        <f t="shared" si="40"/>
        <v>0</v>
      </c>
      <c r="AH131" s="44">
        <f t="shared" si="40"/>
        <v>0</v>
      </c>
      <c r="AI131" s="44">
        <f t="shared" si="40"/>
        <v>0</v>
      </c>
      <c r="AJ131" s="44">
        <f t="shared" si="40"/>
        <v>0</v>
      </c>
      <c r="AK131" s="44">
        <f t="shared" si="40"/>
        <v>0</v>
      </c>
      <c r="AL131" s="44">
        <f t="shared" si="40"/>
        <v>0</v>
      </c>
      <c r="AM131" s="44">
        <f t="shared" si="40"/>
        <v>0</v>
      </c>
      <c r="AN131" s="44">
        <f t="shared" si="40"/>
        <v>0</v>
      </c>
      <c r="AO131" s="44">
        <f t="shared" si="40"/>
        <v>0</v>
      </c>
      <c r="AP131" s="44">
        <f t="shared" si="40"/>
        <v>0</v>
      </c>
      <c r="AQ131" s="44">
        <f t="shared" si="40"/>
        <v>0</v>
      </c>
      <c r="AR131" s="44">
        <f t="shared" si="40"/>
        <v>0</v>
      </c>
      <c r="AS131" s="44">
        <f t="shared" si="40"/>
        <v>0</v>
      </c>
      <c r="AT131" s="44">
        <f t="shared" si="40"/>
        <v>0</v>
      </c>
      <c r="AU131" s="44">
        <f t="shared" si="40"/>
        <v>0</v>
      </c>
      <c r="AV131" s="44">
        <f t="shared" si="40"/>
        <v>0</v>
      </c>
      <c r="AW131" s="44">
        <f t="shared" si="40"/>
        <v>0</v>
      </c>
      <c r="AX131" s="44">
        <f t="shared" si="40"/>
        <v>0</v>
      </c>
      <c r="AY131" s="44">
        <f t="shared" si="40"/>
        <v>0</v>
      </c>
      <c r="AZ131" s="44">
        <f t="shared" si="40"/>
        <v>0</v>
      </c>
      <c r="BA131" s="44">
        <f t="shared" si="40"/>
        <v>0</v>
      </c>
      <c r="BB131" s="44">
        <f t="shared" si="40"/>
        <v>0</v>
      </c>
      <c r="BC131" s="44">
        <f t="shared" si="40"/>
        <v>0</v>
      </c>
      <c r="BD131" s="44">
        <f t="shared" si="40"/>
        <v>0</v>
      </c>
    </row>
    <row r="132" spans="3:56" x14ac:dyDescent="0.25">
      <c r="D132" s="50" t="s">
        <v>42</v>
      </c>
      <c r="E132" s="62" t="str">
        <f>IF(LauderNew!E132-LauderOld!E132=0,"",LauderNew!E132-LauderOld!E132)</f>
        <v/>
      </c>
      <c r="F132" s="62" t="str">
        <f>IF(LauderNew!F132-LauderOld!F132=0,"",LauderNew!F132-LauderOld!F132)</f>
        <v/>
      </c>
      <c r="G132" s="62" t="str">
        <f>IF(LauderNew!G132-LauderOld!G132=0,"",LauderNew!G132-LauderOld!G132)</f>
        <v/>
      </c>
      <c r="H132" s="62" t="str">
        <f>IF(LauderNew!H132-LauderOld!H132=0,"",LauderNew!H132-LauderOld!H132)</f>
        <v/>
      </c>
      <c r="I132" s="62" t="str">
        <f>IF(LauderNew!I132-LauderOld!I132=0,"",LauderNew!I132-LauderOld!I132)</f>
        <v/>
      </c>
      <c r="J132" s="62" t="str">
        <f>IF(LauderNew!J132-LauderOld!J132=0,"",LauderNew!J132-LauderOld!J132)</f>
        <v/>
      </c>
      <c r="K132" s="62" t="str">
        <f>IF(LauderNew!K132-LauderOld!K132=0,"",LauderNew!K132-LauderOld!K132)</f>
        <v/>
      </c>
      <c r="L132" s="62" t="str">
        <f>IF(LauderNew!L132-LauderOld!L132=0,"",LauderNew!L132-LauderOld!L132)</f>
        <v/>
      </c>
      <c r="M132" s="71" t="str">
        <f>IF(LauderNew!M132-LauderOld!M132=0,"",LauderNew!M132-LauderOld!M132)</f>
        <v/>
      </c>
      <c r="N132" s="71" t="str">
        <f>IF(LauderNew!N132-LauderOld!N132=0,"",LauderNew!N132-LauderOld!N132)</f>
        <v/>
      </c>
      <c r="O132" s="71" t="str">
        <f>IF(LauderNew!O132-LauderOld!O132=0,"",LauderNew!O132-LauderOld!O132)</f>
        <v/>
      </c>
      <c r="P132" s="71" t="str">
        <f>IF(LauderNew!P132-LauderOld!P132=0,"",LauderNew!P132-LauderOld!P132)</f>
        <v/>
      </c>
      <c r="Q132" s="71" t="str">
        <f>IF(LauderNew!Q132-LauderOld!Q132=0,"",LauderNew!Q132-LauderOld!Q132)</f>
        <v/>
      </c>
      <c r="R132" s="71" t="str">
        <f>IF(LauderNew!R132-LauderOld!R132=0,"",LauderNew!R132-LauderOld!R132)</f>
        <v/>
      </c>
      <c r="S132" s="71" t="str">
        <f>IF(LauderNew!S132-LauderOld!S132=0,"",LauderNew!S132-LauderOld!S132)</f>
        <v/>
      </c>
      <c r="T132" s="71" t="str">
        <f>IF(LauderNew!T132-LauderOld!T132=0,"",LauderNew!T132-LauderOld!T132)</f>
        <v/>
      </c>
      <c r="U132" s="71" t="str">
        <f>IF(LauderNew!U132-LauderOld!U132=0,"",LauderNew!U132-LauderOld!U132)</f>
        <v/>
      </c>
      <c r="V132" s="71" t="str">
        <f>IF(LauderNew!V132-LauderOld!V132=0,"",LauderNew!V132-LauderOld!V132)</f>
        <v/>
      </c>
      <c r="W132" s="71" t="str">
        <f>IF(LauderNew!W132-LauderOld!W132=0,"",LauderNew!W132-LauderOld!W132)</f>
        <v/>
      </c>
      <c r="X132" s="71" t="str">
        <f>IF(LauderNew!X132-LauderOld!X132=0,"",LauderNew!X132-LauderOld!X132)</f>
        <v/>
      </c>
      <c r="Y132" s="71" t="str">
        <f>IF(LauderNew!Y132-LauderOld!Y132=0,"",LauderNew!Y132-LauderOld!Y132)</f>
        <v/>
      </c>
      <c r="Z132" s="71" t="str">
        <f>IF(LauderNew!Z132-LauderOld!Z132=0,"",LauderNew!Z132-LauderOld!Z132)</f>
        <v/>
      </c>
      <c r="AA132" s="71" t="str">
        <f>IF(LauderNew!AA132-LauderOld!AA132=0,"",LauderNew!AA132-LauderOld!AA132)</f>
        <v/>
      </c>
      <c r="AB132" s="71" t="str">
        <f>IF(LauderNew!AB132-LauderOld!AB132=0,"",LauderNew!AB132-LauderOld!AB132)</f>
        <v/>
      </c>
      <c r="AC132" s="71" t="str">
        <f>IF(LauderNew!AC132-LauderOld!AC132=0,"",LauderNew!AC132-LauderOld!AC132)</f>
        <v/>
      </c>
      <c r="AD132" s="71" t="str">
        <f>IF(LauderNew!AD132-LauderOld!AD132=0,"",LauderNew!AD132-LauderOld!AD132)</f>
        <v/>
      </c>
      <c r="AE132" s="71" t="str">
        <f>IF(LauderNew!AE132-LauderOld!AE132=0,"",LauderNew!AE132-LauderOld!AE132)</f>
        <v/>
      </c>
      <c r="AF132" s="71" t="str">
        <f>IF(LauderNew!AF132-LauderOld!AF132=0,"",LauderNew!AF132-LauderOld!AF132)</f>
        <v/>
      </c>
      <c r="AG132" s="71" t="str">
        <f>IF(LauderNew!AG132-LauderOld!AG132=0,"",LauderNew!AG132-LauderOld!AG132)</f>
        <v/>
      </c>
      <c r="AH132" s="71" t="str">
        <f>IF(LauderNew!AH132-LauderOld!AH132=0,"",LauderNew!AH132-LauderOld!AH132)</f>
        <v/>
      </c>
      <c r="AI132" s="71" t="str">
        <f>IF(LauderNew!AI132-LauderOld!AI132=0,"",LauderNew!AI132-LauderOld!AI132)</f>
        <v/>
      </c>
      <c r="AJ132" s="71" t="str">
        <f>IF(LauderNew!AJ132-LauderOld!AJ132=0,"",LauderNew!AJ132-LauderOld!AJ132)</f>
        <v/>
      </c>
      <c r="AK132" s="71" t="str">
        <f>IF(LauderNew!AK132-LauderOld!AK132=0,"",LauderNew!AK132-LauderOld!AK132)</f>
        <v/>
      </c>
      <c r="AL132" s="71" t="str">
        <f>IF(LauderNew!AL132-LauderOld!AL132=0,"",LauderNew!AL132-LauderOld!AL132)</f>
        <v/>
      </c>
      <c r="AM132" s="71" t="str">
        <f>IF(LauderNew!AM132-LauderOld!AM132=0,"",LauderNew!AM132-LauderOld!AM132)</f>
        <v/>
      </c>
      <c r="AN132" s="71" t="str">
        <f>IF(LauderNew!AN132-LauderOld!AN132=0,"",LauderNew!AN132-LauderOld!AN132)</f>
        <v/>
      </c>
      <c r="AO132" s="71" t="str">
        <f>IF(LauderNew!AO132-LauderOld!AO132=0,"",LauderNew!AO132-LauderOld!AO132)</f>
        <v/>
      </c>
      <c r="AP132" s="71" t="str">
        <f>IF(LauderNew!AP132-LauderOld!AP132=0,"",LauderNew!AP132-LauderOld!AP132)</f>
        <v/>
      </c>
      <c r="AQ132" s="71" t="str">
        <f>IF(LauderNew!AQ132-LauderOld!AQ132=0,"",LauderNew!AQ132-LauderOld!AQ132)</f>
        <v/>
      </c>
      <c r="AR132" s="71" t="str">
        <f>IF(LauderNew!AR132-LauderOld!AR132=0,"",LauderNew!AR132-LauderOld!AR132)</f>
        <v/>
      </c>
      <c r="AS132" s="71" t="str">
        <f>IF(LauderNew!AS132-LauderOld!AS132=0,"",LauderNew!AS132-LauderOld!AS132)</f>
        <v/>
      </c>
      <c r="AT132" s="71" t="str">
        <f>IF(LauderNew!AT132-LauderOld!AT132=0,"",LauderNew!AT132-LauderOld!AT132)</f>
        <v/>
      </c>
      <c r="AU132" s="71" t="str">
        <f>IF(LauderNew!AU132-LauderOld!AU132=0,"",LauderNew!AU132-LauderOld!AU132)</f>
        <v/>
      </c>
      <c r="AV132" s="71" t="str">
        <f>IF(LauderNew!AV132-LauderOld!AV132=0,"",LauderNew!AV132-LauderOld!AV132)</f>
        <v/>
      </c>
      <c r="AW132" s="71" t="str">
        <f>IF(LauderNew!AW132-LauderOld!AW132=0,"",LauderNew!AW132-LauderOld!AW132)</f>
        <v/>
      </c>
      <c r="AX132" s="71" t="str">
        <f>IF(LauderNew!AX132-LauderOld!AX132=0,"",LauderNew!AX132-LauderOld!AX132)</f>
        <v/>
      </c>
      <c r="AY132" s="71" t="str">
        <f>IF(LauderNew!AY132-LauderOld!AY132=0,"",LauderNew!AY132-LauderOld!AY132)</f>
        <v/>
      </c>
      <c r="AZ132" s="71" t="str">
        <f>IF(LauderNew!AZ132-LauderOld!AZ132=0,"",LauderNew!AZ132-LauderOld!AZ132)</f>
        <v/>
      </c>
      <c r="BA132" s="71" t="str">
        <f>IF(LauderNew!BA132-LauderOld!BA132=0,"",LauderNew!BA132-LauderOld!BA132)</f>
        <v/>
      </c>
      <c r="BB132" s="71" t="str">
        <f>IF(LauderNew!BB132-LauderOld!BB132=0,"",LauderNew!BB132-LauderOld!BB132)</f>
        <v/>
      </c>
      <c r="BC132" s="71" t="str">
        <f>IF(LauderNew!BC132-LauderOld!BC132=0,"",LauderNew!BC132-LauderOld!BC132)</f>
        <v/>
      </c>
      <c r="BD132" s="71" t="str">
        <f>IF(LauderNew!BD132-LauderOld!BD132=0,"",LauderNew!BD132-LauderOld!BD132)</f>
        <v/>
      </c>
    </row>
    <row r="133" spans="3:56" x14ac:dyDescent="0.25">
      <c r="D133" s="50" t="s">
        <v>43</v>
      </c>
      <c r="E133" s="63" t="str">
        <f>IF(LauderNew!E133-LauderOld!E133=0,"",LauderNew!E133-LauderOld!E133)</f>
        <v/>
      </c>
      <c r="F133" s="63" t="str">
        <f>IF(LauderNew!F133-LauderOld!F133=0,"",LauderNew!F133-LauderOld!F133)</f>
        <v/>
      </c>
      <c r="G133" s="63" t="str">
        <f>IF(LauderNew!G133-LauderOld!G133=0,"",LauderNew!G133-LauderOld!G133)</f>
        <v/>
      </c>
      <c r="H133" s="63" t="str">
        <f>IF(LauderNew!H133-LauderOld!H133=0,"",LauderNew!H133-LauderOld!H133)</f>
        <v/>
      </c>
      <c r="I133" s="63" t="str">
        <f>IF(LauderNew!I133-LauderOld!I133=0,"",LauderNew!I133-LauderOld!I133)</f>
        <v/>
      </c>
      <c r="J133" s="63" t="str">
        <f>IF(LauderNew!J133-LauderOld!J133=0,"",LauderNew!J133-LauderOld!J133)</f>
        <v/>
      </c>
      <c r="K133" s="63" t="str">
        <f>IF(LauderNew!K133-LauderOld!K133=0,"",LauderNew!K133-LauderOld!K133)</f>
        <v/>
      </c>
      <c r="L133" s="63" t="str">
        <f>IF(LauderNew!L133-LauderOld!L133=0,"",LauderNew!L133-LauderOld!L133)</f>
        <v/>
      </c>
      <c r="M133" s="63" t="str">
        <f>IF(LauderNew!M133-LauderOld!M133=0,"",LauderNew!M133-LauderOld!M133)</f>
        <v/>
      </c>
      <c r="N133" s="63" t="str">
        <f>IF(LauderNew!N133-LauderOld!N133=0,"",LauderNew!N133-LauderOld!N133)</f>
        <v/>
      </c>
      <c r="O133" s="63" t="str">
        <f>IF(LauderNew!O133-LauderOld!O133=0,"",LauderNew!O133-LauderOld!O133)</f>
        <v/>
      </c>
      <c r="P133" s="63" t="str">
        <f>IF(LauderNew!P133-LauderOld!P133=0,"",LauderNew!P133-LauderOld!P133)</f>
        <v/>
      </c>
      <c r="Q133" s="63" t="str">
        <f>IF(LauderNew!Q133-LauderOld!Q133=0,"",LauderNew!Q133-LauderOld!Q133)</f>
        <v/>
      </c>
      <c r="R133" s="63" t="str">
        <f>IF(LauderNew!R133-LauderOld!R133=0,"",LauderNew!R133-LauderOld!R133)</f>
        <v/>
      </c>
      <c r="S133" s="63" t="str">
        <f>IF(LauderNew!S133-LauderOld!S133=0,"",LauderNew!S133-LauderOld!S133)</f>
        <v/>
      </c>
      <c r="T133" s="63" t="str">
        <f>IF(LauderNew!T133-LauderOld!T133=0,"",LauderNew!T133-LauderOld!T133)</f>
        <v/>
      </c>
      <c r="U133" s="63" t="str">
        <f>IF(LauderNew!U133-LauderOld!U133=0,"",LauderNew!U133-LauderOld!U133)</f>
        <v/>
      </c>
      <c r="V133" s="63" t="str">
        <f>IF(LauderNew!V133-LauderOld!V133=0,"",LauderNew!V133-LauderOld!V133)</f>
        <v/>
      </c>
      <c r="W133" s="63" t="str">
        <f>IF(LauderNew!W133-LauderOld!W133=0,"",LauderNew!W133-LauderOld!W133)</f>
        <v/>
      </c>
      <c r="X133" s="63" t="str">
        <f>IF(LauderNew!X133-LauderOld!X133=0,"",LauderNew!X133-LauderOld!X133)</f>
        <v/>
      </c>
      <c r="Y133" s="63" t="str">
        <f>IF(LauderNew!Y133-LauderOld!Y133=0,"",LauderNew!Y133-LauderOld!Y133)</f>
        <v/>
      </c>
      <c r="Z133" s="63" t="str">
        <f>IF(LauderNew!Z133-LauderOld!Z133=0,"",LauderNew!Z133-LauderOld!Z133)</f>
        <v/>
      </c>
      <c r="AA133" s="63" t="str">
        <f>IF(LauderNew!AA133-LauderOld!AA133=0,"",LauderNew!AA133-LauderOld!AA133)</f>
        <v/>
      </c>
      <c r="AB133" s="63" t="str">
        <f>IF(LauderNew!AB133-LauderOld!AB133=0,"",LauderNew!AB133-LauderOld!AB133)</f>
        <v/>
      </c>
      <c r="AC133" s="63" t="str">
        <f>IF(LauderNew!AC133-LauderOld!AC133=0,"",LauderNew!AC133-LauderOld!AC133)</f>
        <v/>
      </c>
      <c r="AD133" s="63" t="str">
        <f>IF(LauderNew!AD133-LauderOld!AD133=0,"",LauderNew!AD133-LauderOld!AD133)</f>
        <v/>
      </c>
      <c r="AE133" s="63" t="str">
        <f>IF(LauderNew!AE133-LauderOld!AE133=0,"",LauderNew!AE133-LauderOld!AE133)</f>
        <v/>
      </c>
      <c r="AF133" s="63" t="str">
        <f>IF(LauderNew!AF133-LauderOld!AF133=0,"",LauderNew!AF133-LauderOld!AF133)</f>
        <v/>
      </c>
      <c r="AG133" s="63" t="str">
        <f>IF(LauderNew!AG133-LauderOld!AG133=0,"",LauderNew!AG133-LauderOld!AG133)</f>
        <v/>
      </c>
      <c r="AH133" s="63" t="str">
        <f>IF(LauderNew!AH133-LauderOld!AH133=0,"",LauderNew!AH133-LauderOld!AH133)</f>
        <v/>
      </c>
      <c r="AI133" s="63" t="str">
        <f>IF(LauderNew!AI133-LauderOld!AI133=0,"",LauderNew!AI133-LauderOld!AI133)</f>
        <v/>
      </c>
      <c r="AJ133" s="63" t="str">
        <f>IF(LauderNew!AJ133-LauderOld!AJ133=0,"",LauderNew!AJ133-LauderOld!AJ133)</f>
        <v/>
      </c>
      <c r="AK133" s="63" t="str">
        <f>IF(LauderNew!AK133-LauderOld!AK133=0,"",LauderNew!AK133-LauderOld!AK133)</f>
        <v/>
      </c>
      <c r="AL133" s="63" t="str">
        <f>IF(LauderNew!AL133-LauderOld!AL133=0,"",LauderNew!AL133-LauderOld!AL133)</f>
        <v/>
      </c>
      <c r="AM133" s="63" t="str">
        <f>IF(LauderNew!AM133-LauderOld!AM133=0,"",LauderNew!AM133-LauderOld!AM133)</f>
        <v/>
      </c>
      <c r="AN133" s="63" t="str">
        <f>IF(LauderNew!AN133-LauderOld!AN133=0,"",LauderNew!AN133-LauderOld!AN133)</f>
        <v/>
      </c>
      <c r="AO133" s="63" t="str">
        <f>IF(LauderNew!AO133-LauderOld!AO133=0,"",LauderNew!AO133-LauderOld!AO133)</f>
        <v/>
      </c>
      <c r="AP133" s="63" t="str">
        <f>IF(LauderNew!AP133-LauderOld!AP133=0,"",LauderNew!AP133-LauderOld!AP133)</f>
        <v/>
      </c>
      <c r="AQ133" s="63" t="str">
        <f>IF(LauderNew!AQ133-LauderOld!AQ133=0,"",LauderNew!AQ133-LauderOld!AQ133)</f>
        <v/>
      </c>
      <c r="AR133" s="63" t="str">
        <f>IF(LauderNew!AR133-LauderOld!AR133=0,"",LauderNew!AR133-LauderOld!AR133)</f>
        <v/>
      </c>
      <c r="AS133" s="63" t="str">
        <f>IF(LauderNew!AS133-LauderOld!AS133=0,"",LauderNew!AS133-LauderOld!AS133)</f>
        <v/>
      </c>
      <c r="AT133" s="63" t="str">
        <f>IF(LauderNew!AT133-LauderOld!AT133=0,"",LauderNew!AT133-LauderOld!AT133)</f>
        <v/>
      </c>
      <c r="AU133" s="63" t="str">
        <f>IF(LauderNew!AU133-LauderOld!AU133=0,"",LauderNew!AU133-LauderOld!AU133)</f>
        <v/>
      </c>
      <c r="AV133" s="63" t="str">
        <f>IF(LauderNew!AV133-LauderOld!AV133=0,"",LauderNew!AV133-LauderOld!AV133)</f>
        <v/>
      </c>
      <c r="AW133" s="63" t="str">
        <f>IF(LauderNew!AW133-LauderOld!AW133=0,"",LauderNew!AW133-LauderOld!AW133)</f>
        <v/>
      </c>
      <c r="AX133" s="63" t="str">
        <f>IF(LauderNew!AX133-LauderOld!AX133=0,"",LauderNew!AX133-LauderOld!AX133)</f>
        <v/>
      </c>
      <c r="AY133" s="63" t="str">
        <f>IF(LauderNew!AY133-LauderOld!AY133=0,"",LauderNew!AY133-LauderOld!AY133)</f>
        <v/>
      </c>
      <c r="AZ133" s="63" t="str">
        <f>IF(LauderNew!AZ133-LauderOld!AZ133=0,"",LauderNew!AZ133-LauderOld!AZ133)</f>
        <v/>
      </c>
      <c r="BA133" s="63" t="str">
        <f>IF(LauderNew!BA133-LauderOld!BA133=0,"",LauderNew!BA133-LauderOld!BA133)</f>
        <v/>
      </c>
      <c r="BB133" s="63" t="str">
        <f>IF(LauderNew!BB133-LauderOld!BB133=0,"",LauderNew!BB133-LauderOld!BB133)</f>
        <v/>
      </c>
      <c r="BC133" s="63" t="str">
        <f>IF(LauderNew!BC133-LauderOld!BC133=0,"",LauderNew!BC133-LauderOld!BC133)</f>
        <v/>
      </c>
      <c r="BD133" s="63" t="str">
        <f>IF(LauderNew!BD133-LauderOld!BD133=0,"",LauderNew!BD133-LauderOld!BD133)</f>
        <v/>
      </c>
    </row>
    <row r="134" spans="3:56" x14ac:dyDescent="0.25">
      <c r="D134" s="51" t="s">
        <v>44</v>
      </c>
      <c r="E134" s="61">
        <f t="shared" ref="E134:L134" si="41">SUM(E124:E131)</f>
        <v>0</v>
      </c>
      <c r="F134" s="61">
        <f t="shared" si="41"/>
        <v>0</v>
      </c>
      <c r="G134" s="61">
        <f t="shared" si="41"/>
        <v>0</v>
      </c>
      <c r="H134" s="61">
        <f t="shared" si="41"/>
        <v>0</v>
      </c>
      <c r="I134" s="61">
        <f t="shared" si="41"/>
        <v>0</v>
      </c>
      <c r="J134" s="61">
        <f t="shared" si="41"/>
        <v>0</v>
      </c>
      <c r="K134" s="61">
        <f t="shared" si="41"/>
        <v>0</v>
      </c>
      <c r="L134" s="61">
        <f t="shared" si="41"/>
        <v>0</v>
      </c>
      <c r="M134" s="61">
        <f t="shared" ref="M134:BD134" si="42">SUM(M124:M131)</f>
        <v>0</v>
      </c>
      <c r="N134" s="61">
        <f t="shared" si="42"/>
        <v>0</v>
      </c>
      <c r="O134" s="61">
        <f t="shared" si="42"/>
        <v>0</v>
      </c>
      <c r="P134" s="61">
        <f t="shared" si="42"/>
        <v>0</v>
      </c>
      <c r="Q134" s="61">
        <f t="shared" si="42"/>
        <v>0</v>
      </c>
      <c r="R134" s="61">
        <f t="shared" si="42"/>
        <v>0</v>
      </c>
      <c r="S134" s="61">
        <f t="shared" si="42"/>
        <v>0</v>
      </c>
      <c r="T134" s="61">
        <f t="shared" si="42"/>
        <v>0</v>
      </c>
      <c r="U134" s="61">
        <f t="shared" si="42"/>
        <v>0</v>
      </c>
      <c r="V134" s="61">
        <f t="shared" si="42"/>
        <v>0</v>
      </c>
      <c r="W134" s="61">
        <f t="shared" si="42"/>
        <v>0</v>
      </c>
      <c r="X134" s="61">
        <f t="shared" si="42"/>
        <v>0</v>
      </c>
      <c r="Y134" s="61">
        <f t="shared" si="42"/>
        <v>0</v>
      </c>
      <c r="Z134" s="61">
        <f t="shared" si="42"/>
        <v>0</v>
      </c>
      <c r="AA134" s="61">
        <f t="shared" si="42"/>
        <v>0</v>
      </c>
      <c r="AB134" s="61">
        <f t="shared" si="42"/>
        <v>0</v>
      </c>
      <c r="AC134" s="61">
        <f t="shared" si="42"/>
        <v>0</v>
      </c>
      <c r="AD134" s="61">
        <f t="shared" si="42"/>
        <v>0</v>
      </c>
      <c r="AE134" s="61">
        <f t="shared" si="42"/>
        <v>0</v>
      </c>
      <c r="AF134" s="61">
        <f t="shared" si="42"/>
        <v>0</v>
      </c>
      <c r="AG134" s="61">
        <f t="shared" si="42"/>
        <v>0</v>
      </c>
      <c r="AH134" s="61">
        <f t="shared" si="42"/>
        <v>0</v>
      </c>
      <c r="AI134" s="61">
        <f t="shared" si="42"/>
        <v>0</v>
      </c>
      <c r="AJ134" s="61">
        <f t="shared" si="42"/>
        <v>0</v>
      </c>
      <c r="AK134" s="61">
        <f t="shared" si="42"/>
        <v>0</v>
      </c>
      <c r="AL134" s="61">
        <f t="shared" si="42"/>
        <v>0</v>
      </c>
      <c r="AM134" s="61">
        <f t="shared" si="42"/>
        <v>0</v>
      </c>
      <c r="AN134" s="61">
        <f t="shared" si="42"/>
        <v>0</v>
      </c>
      <c r="AO134" s="61">
        <f t="shared" si="42"/>
        <v>0</v>
      </c>
      <c r="AP134" s="61">
        <f t="shared" si="42"/>
        <v>0</v>
      </c>
      <c r="AQ134" s="61">
        <f t="shared" si="42"/>
        <v>0</v>
      </c>
      <c r="AR134" s="61">
        <f t="shared" si="42"/>
        <v>0</v>
      </c>
      <c r="AS134" s="61">
        <f t="shared" si="42"/>
        <v>0</v>
      </c>
      <c r="AT134" s="61">
        <f t="shared" si="42"/>
        <v>0</v>
      </c>
      <c r="AU134" s="61">
        <f t="shared" si="42"/>
        <v>0</v>
      </c>
      <c r="AV134" s="61">
        <f t="shared" si="42"/>
        <v>0</v>
      </c>
      <c r="AW134" s="61">
        <f t="shared" si="42"/>
        <v>0</v>
      </c>
      <c r="AX134" s="61">
        <f t="shared" si="42"/>
        <v>0</v>
      </c>
      <c r="AY134" s="61">
        <f t="shared" si="42"/>
        <v>0</v>
      </c>
      <c r="AZ134" s="61">
        <f t="shared" si="42"/>
        <v>0</v>
      </c>
      <c r="BA134" s="61">
        <f t="shared" si="42"/>
        <v>0</v>
      </c>
      <c r="BB134" s="61">
        <f t="shared" si="42"/>
        <v>0</v>
      </c>
      <c r="BC134" s="61">
        <f t="shared" si="42"/>
        <v>0</v>
      </c>
      <c r="BD134" s="61">
        <f t="shared" si="42"/>
        <v>0</v>
      </c>
    </row>
    <row r="135" spans="3:56" x14ac:dyDescent="0.25">
      <c r="D135" s="52" t="s">
        <v>45</v>
      </c>
      <c r="E135" s="56">
        <f t="shared" ref="E135:BD135" si="43">E134-E112</f>
        <v>0</v>
      </c>
      <c r="F135" s="56">
        <f t="shared" si="43"/>
        <v>0</v>
      </c>
      <c r="G135" s="56">
        <f t="shared" si="43"/>
        <v>0</v>
      </c>
      <c r="H135" s="56">
        <f t="shared" si="43"/>
        <v>0</v>
      </c>
      <c r="I135" s="56">
        <f t="shared" si="43"/>
        <v>0</v>
      </c>
      <c r="J135" s="56">
        <f t="shared" si="43"/>
        <v>0</v>
      </c>
      <c r="K135" s="56">
        <f t="shared" si="43"/>
        <v>0</v>
      </c>
      <c r="L135" s="56">
        <f t="shared" si="43"/>
        <v>0</v>
      </c>
      <c r="M135" s="56">
        <f t="shared" si="43"/>
        <v>0</v>
      </c>
      <c r="N135" s="56">
        <f t="shared" si="43"/>
        <v>0</v>
      </c>
      <c r="O135" s="56">
        <f t="shared" si="43"/>
        <v>0</v>
      </c>
      <c r="P135" s="56">
        <f t="shared" si="43"/>
        <v>0</v>
      </c>
      <c r="Q135" s="56">
        <f t="shared" si="43"/>
        <v>0</v>
      </c>
      <c r="R135" s="56">
        <f t="shared" si="43"/>
        <v>0</v>
      </c>
      <c r="S135" s="56">
        <f t="shared" si="43"/>
        <v>0</v>
      </c>
      <c r="T135" s="56">
        <f t="shared" si="43"/>
        <v>0</v>
      </c>
      <c r="U135" s="56">
        <f t="shared" si="43"/>
        <v>0</v>
      </c>
      <c r="V135" s="56">
        <f t="shared" si="43"/>
        <v>0</v>
      </c>
      <c r="W135" s="56">
        <f t="shared" si="43"/>
        <v>0</v>
      </c>
      <c r="X135" s="56">
        <f t="shared" si="43"/>
        <v>0</v>
      </c>
      <c r="Y135" s="56">
        <f t="shared" si="43"/>
        <v>2.7355125661375723</v>
      </c>
      <c r="Z135" s="56">
        <f t="shared" si="43"/>
        <v>0</v>
      </c>
      <c r="AA135" s="56">
        <f t="shared" si="43"/>
        <v>0</v>
      </c>
      <c r="AB135" s="56">
        <f t="shared" si="43"/>
        <v>0</v>
      </c>
      <c r="AC135" s="56">
        <f t="shared" si="43"/>
        <v>0</v>
      </c>
      <c r="AD135" s="56">
        <f t="shared" si="43"/>
        <v>0</v>
      </c>
      <c r="AE135" s="56">
        <f t="shared" si="43"/>
        <v>0</v>
      </c>
      <c r="AF135" s="56">
        <f t="shared" si="43"/>
        <v>0</v>
      </c>
      <c r="AG135" s="56">
        <f t="shared" si="43"/>
        <v>0</v>
      </c>
      <c r="AH135" s="56">
        <f t="shared" si="43"/>
        <v>0</v>
      </c>
      <c r="AI135" s="56">
        <f t="shared" si="43"/>
        <v>0</v>
      </c>
      <c r="AJ135" s="56">
        <f t="shared" si="43"/>
        <v>0</v>
      </c>
      <c r="AK135" s="56">
        <f t="shared" si="43"/>
        <v>0</v>
      </c>
      <c r="AL135" s="56">
        <f t="shared" si="43"/>
        <v>0</v>
      </c>
      <c r="AM135" s="56">
        <f t="shared" si="43"/>
        <v>0</v>
      </c>
      <c r="AN135" s="56">
        <f t="shared" si="43"/>
        <v>0</v>
      </c>
      <c r="AO135" s="56">
        <f t="shared" si="43"/>
        <v>0</v>
      </c>
      <c r="AP135" s="56">
        <f t="shared" si="43"/>
        <v>0</v>
      </c>
      <c r="AQ135" s="56">
        <f t="shared" si="43"/>
        <v>0</v>
      </c>
      <c r="AR135" s="56">
        <f t="shared" si="43"/>
        <v>0</v>
      </c>
      <c r="AS135" s="56">
        <f t="shared" si="43"/>
        <v>0</v>
      </c>
      <c r="AT135" s="56">
        <f t="shared" si="43"/>
        <v>0</v>
      </c>
      <c r="AU135" s="56">
        <f t="shared" si="43"/>
        <v>0</v>
      </c>
      <c r="AV135" s="56">
        <f t="shared" si="43"/>
        <v>0</v>
      </c>
      <c r="AW135" s="56">
        <f t="shared" si="43"/>
        <v>0</v>
      </c>
      <c r="AX135" s="56">
        <f t="shared" si="43"/>
        <v>0</v>
      </c>
      <c r="AY135" s="56">
        <f t="shared" si="43"/>
        <v>0</v>
      </c>
      <c r="AZ135" s="56">
        <f t="shared" si="43"/>
        <v>0</v>
      </c>
      <c r="BA135" s="56">
        <f t="shared" si="43"/>
        <v>0</v>
      </c>
      <c r="BB135" s="56">
        <f t="shared" si="43"/>
        <v>0</v>
      </c>
      <c r="BC135" s="56">
        <f t="shared" si="43"/>
        <v>0</v>
      </c>
      <c r="BD135" s="56">
        <f t="shared" si="43"/>
        <v>0</v>
      </c>
    </row>
  </sheetData>
  <mergeCells count="7">
    <mergeCell ref="C124:C130"/>
    <mergeCell ref="C3:C7"/>
    <mergeCell ref="C34:C51"/>
    <mergeCell ref="C54:C72"/>
    <mergeCell ref="C75:C92"/>
    <mergeCell ref="C95:C109"/>
    <mergeCell ref="C113:C119"/>
  </mergeCells>
  <conditionalFormatting sqref="E95:BD95 E25:BD25 E92:BD93 E97:BD104">
    <cfRule type="expression" dxfId="207" priority="101">
      <formula>IF(E$3=TODAY()-WEEKDAY(TODAY())+7,TRUE,FALSE)</formula>
    </cfRule>
  </conditionalFormatting>
  <conditionalFormatting sqref="E28:L28">
    <cfRule type="expression" dxfId="206" priority="100">
      <formula>IF(E$3=TODAY()-WEEKDAY(TODAY())+7,TRUE,FALSE)</formula>
    </cfRule>
  </conditionalFormatting>
  <conditionalFormatting sqref="E9:M9">
    <cfRule type="expression" dxfId="205" priority="99">
      <formula>IF(E$3=TODAY()-WEEKDAY(TODAY())+7,TRUE,FALSE)</formula>
    </cfRule>
  </conditionalFormatting>
  <conditionalFormatting sqref="E50:L50">
    <cfRule type="expression" dxfId="204" priority="97">
      <formula>IF(E$3=TODAY()-WEEKDAY(TODAY())+7,TRUE,FALSE)</formula>
    </cfRule>
  </conditionalFormatting>
  <conditionalFormatting sqref="E47:BD47">
    <cfRule type="expression" dxfId="203" priority="98">
      <formula>IF(E$3=TODAY()-WEEKDAY(TODAY())+7,TRUE,FALSE)</formula>
    </cfRule>
  </conditionalFormatting>
  <conditionalFormatting sqref="E68:BD68">
    <cfRule type="expression" dxfId="202" priority="96">
      <formula>IF(E$3=TODAY()-WEEKDAY(TODAY())+7,TRUE,FALSE)</formula>
    </cfRule>
  </conditionalFormatting>
  <conditionalFormatting sqref="E71:L71">
    <cfRule type="expression" dxfId="201" priority="95">
      <formula>IF(E$3=TODAY()-WEEKDAY(TODAY())+7,TRUE,FALSE)</formula>
    </cfRule>
  </conditionalFormatting>
  <conditionalFormatting sqref="E88:BD88">
    <cfRule type="expression" dxfId="200" priority="94">
      <formula>IF(E$3=TODAY()-WEEKDAY(TODAY())+7,TRUE,FALSE)</formula>
    </cfRule>
  </conditionalFormatting>
  <conditionalFormatting sqref="E91:L91">
    <cfRule type="expression" dxfId="199" priority="93">
      <formula>IF(E$3=TODAY()-WEEKDAY(TODAY())+7,TRUE,FALSE)</formula>
    </cfRule>
  </conditionalFormatting>
  <conditionalFormatting sqref="E132:L132">
    <cfRule type="expression" dxfId="198" priority="92">
      <formula>IF(E$3=TODAY()-WEEKDAY(TODAY())+7,TRUE,FALSE)</formula>
    </cfRule>
  </conditionalFormatting>
  <conditionalFormatting sqref="E133:L133">
    <cfRule type="expression" dxfId="197" priority="91">
      <formula>IF(E$3=TODAY()-WEEKDAY(TODAY())+7,TRUE,FALSE)</formula>
    </cfRule>
  </conditionalFormatting>
  <conditionalFormatting sqref="E134:L134">
    <cfRule type="expression" dxfId="196" priority="90">
      <formula>IF(E$3=TODAY()-WEEKDAY(TODAY())+7,TRUE,FALSE)</formula>
    </cfRule>
  </conditionalFormatting>
  <conditionalFormatting sqref="E135:L135">
    <cfRule type="expression" dxfId="195" priority="89">
      <formula>IF(E$3=TODAY()-WEEKDAY(TODAY())+7,TRUE,FALSE)</formula>
    </cfRule>
  </conditionalFormatting>
  <conditionalFormatting sqref="E72:BD72">
    <cfRule type="expression" dxfId="194" priority="88">
      <formula>IF(E$3=TODAY()-WEEKDAY(TODAY())+7,TRUE,FALSE)</formula>
    </cfRule>
  </conditionalFormatting>
  <conditionalFormatting sqref="E51:BD51">
    <cfRule type="expression" dxfId="193" priority="87">
      <formula>IF(E$3=TODAY()-WEEKDAY(TODAY())+7,TRUE,FALSE)</formula>
    </cfRule>
  </conditionalFormatting>
  <conditionalFormatting sqref="E29:BD29">
    <cfRule type="expression" dxfId="192" priority="86">
      <formula>IF(E$3=TODAY()-WEEKDAY(TODAY())+7,TRUE,FALSE)</formula>
    </cfRule>
  </conditionalFormatting>
  <conditionalFormatting sqref="E30:BD30">
    <cfRule type="expression" dxfId="191" priority="85">
      <formula>IF(E$3=TODAY()-WEEKDAY(TODAY())+7,TRUE,FALSE)</formula>
    </cfRule>
  </conditionalFormatting>
  <conditionalFormatting sqref="E18:BD24">
    <cfRule type="cellIs" dxfId="190" priority="83" operator="lessThan">
      <formula>0</formula>
    </cfRule>
  </conditionalFormatting>
  <conditionalFormatting sqref="E18:BD24">
    <cfRule type="expression" dxfId="189" priority="84">
      <formula>IF(E$3=TODAY()-WEEKDAY(TODAY())+7,TRUE,FALSE)</formula>
    </cfRule>
  </conditionalFormatting>
  <conditionalFormatting sqref="M25:BD25">
    <cfRule type="expression" dxfId="188" priority="82">
      <formula>IF(M$3=TODAY()-WEEKDAY(TODAY())+7,TRUE,FALSE)</formula>
    </cfRule>
  </conditionalFormatting>
  <conditionalFormatting sqref="E26:BD26">
    <cfRule type="expression" dxfId="187" priority="81">
      <formula>IF(E$3=TODAY()-WEEKDAY(TODAY())+7,TRUE,FALSE)</formula>
    </cfRule>
  </conditionalFormatting>
  <conditionalFormatting sqref="M28:BD28">
    <cfRule type="expression" dxfId="186" priority="80">
      <formula>IF(M$3=TODAY()-WEEKDAY(TODAY())+7,TRUE,FALSE)</formula>
    </cfRule>
  </conditionalFormatting>
  <conditionalFormatting sqref="M29:BD29">
    <cfRule type="expression" dxfId="185" priority="79">
      <formula>IF(M$3=TODAY()-WEEKDAY(TODAY())+7,TRUE,FALSE)</formula>
    </cfRule>
  </conditionalFormatting>
  <conditionalFormatting sqref="E40:BD46">
    <cfRule type="cellIs" dxfId="184" priority="77" operator="lessThan">
      <formula>0</formula>
    </cfRule>
  </conditionalFormatting>
  <conditionalFormatting sqref="E40:BD46">
    <cfRule type="expression" dxfId="183" priority="78">
      <formula>IF(E$3=TODAY()-WEEKDAY(TODAY())+7,TRUE,FALSE)</formula>
    </cfRule>
  </conditionalFormatting>
  <conditionalFormatting sqref="M47:BD47">
    <cfRule type="expression" dxfId="182" priority="76">
      <formula>IF(M$3=TODAY()-WEEKDAY(TODAY())+7,TRUE,FALSE)</formula>
    </cfRule>
  </conditionalFormatting>
  <conditionalFormatting sqref="M51:BD51">
    <cfRule type="expression" dxfId="181" priority="74">
      <formula>IF(M$3=TODAY()-WEEKDAY(TODAY())+7,TRUE,FALSE)</formula>
    </cfRule>
  </conditionalFormatting>
  <conditionalFormatting sqref="M50:BD50">
    <cfRule type="expression" dxfId="180" priority="75">
      <formula>IF(M$3=TODAY()-WEEKDAY(TODAY())+7,TRUE,FALSE)</formula>
    </cfRule>
  </conditionalFormatting>
  <conditionalFormatting sqref="E58:BD58">
    <cfRule type="expression" dxfId="179" priority="73">
      <formula>IF(E$3=TODAY()-WEEKDAY(TODAY())+7,TRUE,FALSE)</formula>
    </cfRule>
  </conditionalFormatting>
  <conditionalFormatting sqref="E61:BD67">
    <cfRule type="cellIs" dxfId="178" priority="71" operator="lessThan">
      <formula>0</formula>
    </cfRule>
  </conditionalFormatting>
  <conditionalFormatting sqref="E61:BD67">
    <cfRule type="expression" dxfId="177" priority="72">
      <formula>IF(E$3=TODAY()-WEEKDAY(TODAY())+7,TRUE,FALSE)</formula>
    </cfRule>
  </conditionalFormatting>
  <conditionalFormatting sqref="M68:BD68">
    <cfRule type="expression" dxfId="176" priority="70">
      <formula>IF(M$3=TODAY()-WEEKDAY(TODAY())+7,TRUE,FALSE)</formula>
    </cfRule>
  </conditionalFormatting>
  <conditionalFormatting sqref="M72:BD72">
    <cfRule type="expression" dxfId="175" priority="68">
      <formula>IF(M$3=TODAY()-WEEKDAY(TODAY())+7,TRUE,FALSE)</formula>
    </cfRule>
  </conditionalFormatting>
  <conditionalFormatting sqref="M71:BD71">
    <cfRule type="expression" dxfId="174" priority="69">
      <formula>IF(M$3=TODAY()-WEEKDAY(TODAY())+7,TRUE,FALSE)</formula>
    </cfRule>
  </conditionalFormatting>
  <conditionalFormatting sqref="E81:BD87">
    <cfRule type="cellIs" dxfId="173" priority="66" operator="lessThan">
      <formula>0</formula>
    </cfRule>
  </conditionalFormatting>
  <conditionalFormatting sqref="E81:BD87">
    <cfRule type="expression" dxfId="172" priority="67">
      <formula>IF(E$3=TODAY()-WEEKDAY(TODAY())+7,TRUE,FALSE)</formula>
    </cfRule>
  </conditionalFormatting>
  <conditionalFormatting sqref="M91:BD91">
    <cfRule type="expression" dxfId="171" priority="65">
      <formula>IF(M$3=TODAY()-WEEKDAY(TODAY())+7,TRUE,FALSE)</formula>
    </cfRule>
  </conditionalFormatting>
  <conditionalFormatting sqref="M132:BD132">
    <cfRule type="expression" dxfId="170" priority="64">
      <formula>IF(M$3=TODAY()-WEEKDAY(TODAY())+7,TRUE,FALSE)</formula>
    </cfRule>
  </conditionalFormatting>
  <conditionalFormatting sqref="M133:BD133">
    <cfRule type="expression" dxfId="169" priority="63">
      <formula>IF(M$3=TODAY()-WEEKDAY(TODAY())+7,TRUE,FALSE)</formula>
    </cfRule>
  </conditionalFormatting>
  <conditionalFormatting sqref="M134:BD134">
    <cfRule type="expression" dxfId="168" priority="62">
      <formula>IF(M$3=TODAY()-WEEKDAY(TODAY())+7,TRUE,FALSE)</formula>
    </cfRule>
  </conditionalFormatting>
  <conditionalFormatting sqref="M135:BD135">
    <cfRule type="expression" dxfId="167" priority="61">
      <formula>IF(M$3=TODAY()-WEEKDAY(TODAY())+7,TRUE,FALSE)</formula>
    </cfRule>
  </conditionalFormatting>
  <conditionalFormatting sqref="F3:BD3">
    <cfRule type="expression" dxfId="166" priority="60">
      <formula>IF(F$3=TODAY()-WEEKDAY(TODAY())+7,TRUE,FALSE)</formula>
    </cfRule>
  </conditionalFormatting>
  <conditionalFormatting sqref="E4:BD4">
    <cfRule type="expression" dxfId="165" priority="59">
      <formula>IF(E$3=TODAY()-WEEKDAY(TODAY())+7,TRUE,FALSE)</formula>
    </cfRule>
  </conditionalFormatting>
  <conditionalFormatting sqref="E5:BD5">
    <cfRule type="expression" dxfId="164" priority="58">
      <formula>IF(E$3=TODAY()-WEEKDAY(TODAY())+7,TRUE,FALSE)</formula>
    </cfRule>
  </conditionalFormatting>
  <conditionalFormatting sqref="E6:BD6">
    <cfRule type="expression" dxfId="163" priority="57">
      <formula>IF(E$3=TODAY()-WEEKDAY(TODAY())+7,TRUE,FALSE)</formula>
    </cfRule>
  </conditionalFormatting>
  <conditionalFormatting sqref="E34:BD34">
    <cfRule type="expression" dxfId="162" priority="56">
      <formula>IF(E$3=TODAY()-WEEKDAY(TODAY())+7,TRUE,FALSE)</formula>
    </cfRule>
  </conditionalFormatting>
  <conditionalFormatting sqref="E35:BD35">
    <cfRule type="expression" dxfId="161" priority="55">
      <formula>IF(E$3=TODAY()-WEEKDAY(TODAY())+7,TRUE,FALSE)</formula>
    </cfRule>
  </conditionalFormatting>
  <conditionalFormatting sqref="E36:BD36">
    <cfRule type="expression" dxfId="160" priority="54">
      <formula>IF(E$3=TODAY()-WEEKDAY(TODAY())+7,TRUE,FALSE)</formula>
    </cfRule>
  </conditionalFormatting>
  <conditionalFormatting sqref="E37:BD37">
    <cfRule type="expression" dxfId="159" priority="53">
      <formula>IF(E$3=TODAY()-WEEKDAY(TODAY())+7,TRUE,FALSE)</formula>
    </cfRule>
  </conditionalFormatting>
  <conditionalFormatting sqref="E54:BD54">
    <cfRule type="expression" dxfId="158" priority="52">
      <formula>IF(E$3=TODAY()-WEEKDAY(TODAY())+7,TRUE,FALSE)</formula>
    </cfRule>
  </conditionalFormatting>
  <conditionalFormatting sqref="E55:BD55">
    <cfRule type="expression" dxfId="157" priority="51">
      <formula>IF(E$3=TODAY()-WEEKDAY(TODAY())+7,TRUE,FALSE)</formula>
    </cfRule>
  </conditionalFormatting>
  <conditionalFormatting sqref="E56:BD56">
    <cfRule type="expression" dxfId="156" priority="50">
      <formula>IF(E$3=TODAY()-WEEKDAY(TODAY())+7,TRUE,FALSE)</formula>
    </cfRule>
  </conditionalFormatting>
  <conditionalFormatting sqref="E57:BD57">
    <cfRule type="expression" dxfId="155" priority="49">
      <formula>IF(E$3=TODAY()-WEEKDAY(TODAY())+7,TRUE,FALSE)</formula>
    </cfRule>
  </conditionalFormatting>
  <conditionalFormatting sqref="E75:BD75">
    <cfRule type="expression" dxfId="154" priority="48">
      <formula>IF(E$3=TODAY()-WEEKDAY(TODAY())+7,TRUE,FALSE)</formula>
    </cfRule>
  </conditionalFormatting>
  <conditionalFormatting sqref="E76:BD76">
    <cfRule type="expression" dxfId="153" priority="47">
      <formula>IF(E$3=TODAY()-WEEKDAY(TODAY())+7,TRUE,FALSE)</formula>
    </cfRule>
  </conditionalFormatting>
  <conditionalFormatting sqref="E77:BD77">
    <cfRule type="expression" dxfId="152" priority="46">
      <formula>IF(E$3=TODAY()-WEEKDAY(TODAY())+7,TRUE,FALSE)</formula>
    </cfRule>
  </conditionalFormatting>
  <conditionalFormatting sqref="E78:BD78">
    <cfRule type="expression" dxfId="151" priority="45">
      <formula>IF(E$3=TODAY()-WEEKDAY(TODAY())+7,TRUE,FALSE)</formula>
    </cfRule>
  </conditionalFormatting>
  <conditionalFormatting sqref="E48:BD48">
    <cfRule type="expression" dxfId="150" priority="44">
      <formula>IF(E$3=TODAY()-WEEKDAY(TODAY())+7,TRUE,FALSE)</formula>
    </cfRule>
  </conditionalFormatting>
  <conditionalFormatting sqref="E69:BD69">
    <cfRule type="expression" dxfId="149" priority="43">
      <formula>IF(E$3=TODAY()-WEEKDAY(TODAY())+7,TRUE,FALSE)</formula>
    </cfRule>
  </conditionalFormatting>
  <conditionalFormatting sqref="E89:BD89">
    <cfRule type="expression" dxfId="148" priority="42">
      <formula>IF(E$3=TODAY()-WEEKDAY(TODAY())+7,TRUE,FALSE)</formula>
    </cfRule>
  </conditionalFormatting>
  <conditionalFormatting sqref="E113:BD119">
    <cfRule type="expression" dxfId="147" priority="41">
      <formula>IF(E$3=TODAY()-WEEKDAY(TODAY())+7,TRUE,FALSE)</formula>
    </cfRule>
  </conditionalFormatting>
  <conditionalFormatting sqref="F113">
    <cfRule type="expression" dxfId="146" priority="40">
      <formula>IF(F$3=TODAY()-WEEKDAY(TODAY())+7,TRUE,FALSE)</formula>
    </cfRule>
  </conditionalFormatting>
  <conditionalFormatting sqref="F2:BD2">
    <cfRule type="expression" dxfId="145" priority="38">
      <formula>IF(F$3=TODAY()-WEEKDAY(TODAY())+7,TRUE,FALSE)</formula>
    </cfRule>
  </conditionalFormatting>
  <conditionalFormatting sqref="E2">
    <cfRule type="expression" dxfId="144" priority="39">
      <formula>IF(E$3=TODAY()-WEEKDAY(TODAY())+7,TRUE,FALSE)</formula>
    </cfRule>
  </conditionalFormatting>
  <conditionalFormatting sqref="F111:BD111">
    <cfRule type="expression" dxfId="143" priority="30">
      <formula>IF(F$3=TODAY()-WEEKDAY(TODAY())+7,TRUE,FALSE)</formula>
    </cfRule>
  </conditionalFormatting>
  <conditionalFormatting sqref="E33">
    <cfRule type="expression" dxfId="142" priority="37">
      <formula>IF(E$3=TODAY()-WEEKDAY(TODAY())+7,TRUE,FALSE)</formula>
    </cfRule>
  </conditionalFormatting>
  <conditionalFormatting sqref="F33:BD33">
    <cfRule type="expression" dxfId="141" priority="36">
      <formula>IF(F$3=TODAY()-WEEKDAY(TODAY())+7,TRUE,FALSE)</formula>
    </cfRule>
  </conditionalFormatting>
  <conditionalFormatting sqref="E53">
    <cfRule type="expression" dxfId="140" priority="35">
      <formula>IF(E$3=TODAY()-WEEKDAY(TODAY())+7,TRUE,FALSE)</formula>
    </cfRule>
  </conditionalFormatting>
  <conditionalFormatting sqref="F53:BD53">
    <cfRule type="expression" dxfId="139" priority="34">
      <formula>IF(F$3=TODAY()-WEEKDAY(TODAY())+7,TRUE,FALSE)</formula>
    </cfRule>
  </conditionalFormatting>
  <conditionalFormatting sqref="E74">
    <cfRule type="expression" dxfId="138" priority="33">
      <formula>IF(E$3=TODAY()-WEEKDAY(TODAY())+7,TRUE,FALSE)</formula>
    </cfRule>
  </conditionalFormatting>
  <conditionalFormatting sqref="F74:BD74">
    <cfRule type="expression" dxfId="137" priority="32">
      <formula>IF(F$3=TODAY()-WEEKDAY(TODAY())+7,TRUE,FALSE)</formula>
    </cfRule>
  </conditionalFormatting>
  <conditionalFormatting sqref="E111">
    <cfRule type="expression" dxfId="136" priority="31">
      <formula>IF(E$3=TODAY()-WEEKDAY(TODAY())+7,TRUE,FALSE)</formula>
    </cfRule>
  </conditionalFormatting>
  <conditionalFormatting sqref="E10:BD16">
    <cfRule type="expression" dxfId="135" priority="29">
      <formula>IF(E$3=TODAY()-WEEKDAY(TODAY())+7,TRUE,FALSE)</formula>
    </cfRule>
  </conditionalFormatting>
  <conditionalFormatting sqref="E94:BD94">
    <cfRule type="expression" dxfId="134" priority="28">
      <formula>IF(E$3=TODAY()-WEEKDAY(TODAY())+7,TRUE,FALSE)</formula>
    </cfRule>
  </conditionalFormatting>
  <conditionalFormatting sqref="F94:BD94">
    <cfRule type="expression" dxfId="133" priority="27">
      <formula>IF(F$3=TODAY()-WEEKDAY(TODAY())+7,TRUE,FALSE)</formula>
    </cfRule>
  </conditionalFormatting>
  <conditionalFormatting sqref="E106:BD106">
    <cfRule type="expression" dxfId="132" priority="26">
      <formula>IF(E$3=TODAY()-WEEKDAY(TODAY())+7,TRUE,FALSE)</formula>
    </cfRule>
  </conditionalFormatting>
  <conditionalFormatting sqref="E105:BD105">
    <cfRule type="expression" dxfId="131" priority="25">
      <formula>IF(E$3=TODAY()-WEEKDAY(TODAY())+7,TRUE,FALSE)</formula>
    </cfRule>
  </conditionalFormatting>
  <conditionalFormatting sqref="E108:BD108">
    <cfRule type="expression" dxfId="130" priority="24">
      <formula>IF(E$3=TODAY()-WEEKDAY(TODAY())+7,TRUE,FALSE)</formula>
    </cfRule>
  </conditionalFormatting>
  <conditionalFormatting sqref="E109:BD109">
    <cfRule type="expression" dxfId="129" priority="23">
      <formula>IF(E$3=TODAY()-WEEKDAY(TODAY())+7,TRUE,FALSE)</formula>
    </cfRule>
  </conditionalFormatting>
  <conditionalFormatting sqref="M109:BD109">
    <cfRule type="expression" dxfId="128" priority="22">
      <formula>IF(M$3=TODAY()-WEEKDAY(TODAY())+7,TRUE,FALSE)</formula>
    </cfRule>
  </conditionalFormatting>
  <conditionalFormatting sqref="E27:BD27">
    <cfRule type="cellIs" dxfId="127" priority="20" operator="greaterThan">
      <formula>0</formula>
    </cfRule>
    <cfRule type="cellIs" dxfId="126" priority="21" operator="lessThan">
      <formula>0</formula>
    </cfRule>
  </conditionalFormatting>
  <conditionalFormatting sqref="E49:BD49">
    <cfRule type="cellIs" dxfId="125" priority="18" operator="greaterThan">
      <formula>0</formula>
    </cfRule>
    <cfRule type="cellIs" dxfId="124" priority="19" operator="lessThan">
      <formula>0</formula>
    </cfRule>
  </conditionalFormatting>
  <conditionalFormatting sqref="E70:BD70">
    <cfRule type="cellIs" dxfId="123" priority="16" operator="greaterThan">
      <formula>0</formula>
    </cfRule>
    <cfRule type="cellIs" dxfId="122" priority="17" operator="lessThan">
      <formula>0</formula>
    </cfRule>
  </conditionalFormatting>
  <conditionalFormatting sqref="E90:BD90">
    <cfRule type="cellIs" dxfId="121" priority="14" operator="greaterThan">
      <formula>0</formula>
    </cfRule>
    <cfRule type="cellIs" dxfId="120" priority="15" operator="lessThan">
      <formula>0</formula>
    </cfRule>
  </conditionalFormatting>
  <conditionalFormatting sqref="E107:BD107">
    <cfRule type="cellIs" dxfId="119" priority="12" operator="greaterThan">
      <formula>0</formula>
    </cfRule>
    <cfRule type="cellIs" dxfId="118" priority="13" operator="lessThan">
      <formula>0</formula>
    </cfRule>
  </conditionalFormatting>
  <conditionalFormatting sqref="E3:BD6">
    <cfRule type="expression" dxfId="117" priority="11">
      <formula>IF(E$3=TODAY()-WEEKDAY(TODAY())+7,TRUE,FALSE)</formula>
    </cfRule>
  </conditionalFormatting>
  <conditionalFormatting sqref="E7:BD7">
    <cfRule type="cellIs" dxfId="116" priority="9" operator="lessThan">
      <formula>0</formula>
    </cfRule>
    <cfRule type="cellIs" dxfId="115" priority="10" operator="greaterThan">
      <formula>0</formula>
    </cfRule>
  </conditionalFormatting>
  <conditionalFormatting sqref="E38:BD38">
    <cfRule type="cellIs" dxfId="114" priority="7" operator="lessThan">
      <formula>0</formula>
    </cfRule>
    <cfRule type="cellIs" dxfId="113" priority="8" operator="greaterThan">
      <formula>0</formula>
    </cfRule>
  </conditionalFormatting>
  <conditionalFormatting sqref="E59:BD59">
    <cfRule type="cellIs" dxfId="112" priority="5" operator="lessThan">
      <formula>0</formula>
    </cfRule>
    <cfRule type="cellIs" dxfId="111" priority="6" operator="greaterThan">
      <formula>0</formula>
    </cfRule>
  </conditionalFormatting>
  <conditionalFormatting sqref="E79:BD79">
    <cfRule type="cellIs" dxfId="110" priority="3" operator="lessThan">
      <formula>0</formula>
    </cfRule>
    <cfRule type="cellIs" dxfId="109" priority="4" operator="greaterThan">
      <formula>0</formula>
    </cfRule>
  </conditionalFormatting>
  <conditionalFormatting sqref="E96:BD96">
    <cfRule type="cellIs" dxfId="108" priority="1" operator="lessThan">
      <formula>0</formula>
    </cfRule>
    <cfRule type="cellIs" dxfId="107" priority="2" operator="greaterThan">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C6022-3042-4405-83E4-19C4C339EB44}">
  <sheetPr codeName="Sheet7"/>
  <dimension ref="A2:BD135"/>
  <sheetViews>
    <sheetView showGridLines="0" zoomScaleNormal="100" workbookViewId="0">
      <pane xSplit="4" ySplit="2" topLeftCell="H72" activePane="bottomRight" state="frozen"/>
      <selection pane="topRight" activeCell="E1" sqref="E1"/>
      <selection pane="bottomLeft" activeCell="A3" sqref="A3"/>
      <selection pane="bottomRight" activeCell="C75" sqref="C75:C92"/>
    </sheetView>
  </sheetViews>
  <sheetFormatPr defaultRowHeight="15" x14ac:dyDescent="0.25"/>
  <cols>
    <col min="2" max="2" width="2.5703125" customWidth="1"/>
    <col min="3" max="3" width="26.7109375" style="41" customWidth="1"/>
    <col min="4" max="4" width="23.7109375" style="41" bestFit="1" customWidth="1"/>
    <col min="5" max="7" width="8.7109375" style="43" hidden="1" customWidth="1"/>
    <col min="8" max="22" width="8.7109375" style="41" hidden="1" customWidth="1"/>
    <col min="23" max="56" width="8.7109375" style="41" bestFit="1" customWidth="1"/>
    <col min="57" max="16384" width="9.140625" style="41"/>
  </cols>
  <sheetData>
    <row r="2" spans="3:56" ht="26.25" x14ac:dyDescent="0.4">
      <c r="D2" s="47" t="s">
        <v>32</v>
      </c>
      <c r="E2" s="82">
        <v>44569</v>
      </c>
      <c r="F2" s="82">
        <f>E2+7</f>
        <v>44576</v>
      </c>
      <c r="G2" s="82">
        <f t="shared" ref="G2:BD2" si="0">F2+7</f>
        <v>44583</v>
      </c>
      <c r="H2" s="82">
        <f t="shared" si="0"/>
        <v>44590</v>
      </c>
      <c r="I2" s="82">
        <f t="shared" si="0"/>
        <v>44597</v>
      </c>
      <c r="J2" s="82">
        <f t="shared" si="0"/>
        <v>44604</v>
      </c>
      <c r="K2" s="82">
        <f t="shared" si="0"/>
        <v>44611</v>
      </c>
      <c r="L2" s="82">
        <f t="shared" si="0"/>
        <v>44618</v>
      </c>
      <c r="M2" s="82">
        <f t="shared" si="0"/>
        <v>44625</v>
      </c>
      <c r="N2" s="82">
        <f t="shared" si="0"/>
        <v>44632</v>
      </c>
      <c r="O2" s="82">
        <f t="shared" si="0"/>
        <v>44639</v>
      </c>
      <c r="P2" s="82">
        <f t="shared" si="0"/>
        <v>44646</v>
      </c>
      <c r="Q2" s="82">
        <f t="shared" si="0"/>
        <v>44653</v>
      </c>
      <c r="R2" s="82">
        <f t="shared" si="0"/>
        <v>44660</v>
      </c>
      <c r="S2" s="82">
        <f t="shared" si="0"/>
        <v>44667</v>
      </c>
      <c r="T2" s="82">
        <f t="shared" si="0"/>
        <v>44674</v>
      </c>
      <c r="U2" s="82">
        <f t="shared" si="0"/>
        <v>44681</v>
      </c>
      <c r="V2" s="82">
        <f t="shared" si="0"/>
        <v>44688</v>
      </c>
      <c r="W2" s="82">
        <f t="shared" si="0"/>
        <v>44695</v>
      </c>
      <c r="X2" s="82">
        <f t="shared" si="0"/>
        <v>44702</v>
      </c>
      <c r="Y2" s="82">
        <f t="shared" si="0"/>
        <v>44709</v>
      </c>
      <c r="Z2" s="82">
        <f t="shared" si="0"/>
        <v>44716</v>
      </c>
      <c r="AA2" s="82">
        <f t="shared" si="0"/>
        <v>44723</v>
      </c>
      <c r="AB2" s="82">
        <f t="shared" si="0"/>
        <v>44730</v>
      </c>
      <c r="AC2" s="82">
        <f t="shared" si="0"/>
        <v>44737</v>
      </c>
      <c r="AD2" s="82">
        <f t="shared" si="0"/>
        <v>44744</v>
      </c>
      <c r="AE2" s="82">
        <f t="shared" si="0"/>
        <v>44751</v>
      </c>
      <c r="AF2" s="82">
        <f t="shared" si="0"/>
        <v>44758</v>
      </c>
      <c r="AG2" s="82">
        <f t="shared" si="0"/>
        <v>44765</v>
      </c>
      <c r="AH2" s="82">
        <f t="shared" si="0"/>
        <v>44772</v>
      </c>
      <c r="AI2" s="82">
        <f t="shared" si="0"/>
        <v>44779</v>
      </c>
      <c r="AJ2" s="82">
        <f t="shared" si="0"/>
        <v>44786</v>
      </c>
      <c r="AK2" s="82">
        <f t="shared" si="0"/>
        <v>44793</v>
      </c>
      <c r="AL2" s="82">
        <f t="shared" si="0"/>
        <v>44800</v>
      </c>
      <c r="AM2" s="82">
        <f t="shared" si="0"/>
        <v>44807</v>
      </c>
      <c r="AN2" s="82">
        <f t="shared" si="0"/>
        <v>44814</v>
      </c>
      <c r="AO2" s="82">
        <f t="shared" si="0"/>
        <v>44821</v>
      </c>
      <c r="AP2" s="82">
        <f t="shared" si="0"/>
        <v>44828</v>
      </c>
      <c r="AQ2" s="82">
        <f t="shared" si="0"/>
        <v>44835</v>
      </c>
      <c r="AR2" s="82">
        <f t="shared" si="0"/>
        <v>44842</v>
      </c>
      <c r="AS2" s="82">
        <f t="shared" si="0"/>
        <v>44849</v>
      </c>
      <c r="AT2" s="82">
        <f t="shared" si="0"/>
        <v>44856</v>
      </c>
      <c r="AU2" s="82">
        <f t="shared" si="0"/>
        <v>44863</v>
      </c>
      <c r="AV2" s="82">
        <f t="shared" si="0"/>
        <v>44870</v>
      </c>
      <c r="AW2" s="82">
        <f t="shared" si="0"/>
        <v>44877</v>
      </c>
      <c r="AX2" s="82">
        <f t="shared" si="0"/>
        <v>44884</v>
      </c>
      <c r="AY2" s="82">
        <f t="shared" si="0"/>
        <v>44891</v>
      </c>
      <c r="AZ2" s="82">
        <f t="shared" si="0"/>
        <v>44898</v>
      </c>
      <c r="BA2" s="82">
        <f t="shared" si="0"/>
        <v>44905</v>
      </c>
      <c r="BB2" s="82">
        <f t="shared" si="0"/>
        <v>44912</v>
      </c>
      <c r="BC2" s="82">
        <f t="shared" si="0"/>
        <v>44919</v>
      </c>
      <c r="BD2" s="82">
        <f t="shared" si="0"/>
        <v>44926</v>
      </c>
    </row>
    <row r="3" spans="3:56" x14ac:dyDescent="0.25">
      <c r="C3" s="104" t="s">
        <v>18</v>
      </c>
      <c r="D3" s="41" t="s">
        <v>21</v>
      </c>
      <c r="E3" s="70">
        <v>7310</v>
      </c>
      <c r="F3" s="70">
        <v>5584</v>
      </c>
      <c r="G3" s="70">
        <v>4598</v>
      </c>
      <c r="H3" s="70">
        <v>4360</v>
      </c>
      <c r="I3" s="70">
        <v>4229</v>
      </c>
      <c r="J3" s="70">
        <v>3755</v>
      </c>
      <c r="K3" s="70">
        <v>3235</v>
      </c>
      <c r="L3" s="70">
        <v>3166.2400000000002</v>
      </c>
      <c r="M3" s="70">
        <v>3253.8</v>
      </c>
      <c r="N3" s="70">
        <v>3889.6</v>
      </c>
      <c r="O3" s="70">
        <v>4336.2</v>
      </c>
      <c r="P3" s="70">
        <v>4198.92</v>
      </c>
      <c r="Q3" s="70">
        <v>3257.32</v>
      </c>
      <c r="R3" s="70">
        <v>3394.2919999999999</v>
      </c>
      <c r="S3" s="70">
        <v>3553.1319999999996</v>
      </c>
      <c r="T3" s="70">
        <v>3417.04</v>
      </c>
      <c r="U3" s="70">
        <v>3696</v>
      </c>
      <c r="V3" s="70">
        <v>4117.5200000000004</v>
      </c>
      <c r="W3" s="70">
        <v>4049.76</v>
      </c>
      <c r="X3" s="70">
        <v>3975.4</v>
      </c>
      <c r="Y3" s="70">
        <v>3583.36</v>
      </c>
      <c r="Z3" s="70">
        <v>3338.72</v>
      </c>
      <c r="AA3" s="70">
        <v>4136.4399999999996</v>
      </c>
      <c r="AB3" s="70">
        <v>3903.2400000000002</v>
      </c>
      <c r="AC3" s="70">
        <v>3689.84</v>
      </c>
      <c r="AD3" s="70">
        <v>3180.32</v>
      </c>
      <c r="AE3" s="70">
        <v>2773.32</v>
      </c>
      <c r="AF3" s="70">
        <v>3103.76</v>
      </c>
      <c r="AG3" s="70">
        <v>2788.28</v>
      </c>
      <c r="AH3" s="70">
        <v>3319.36</v>
      </c>
      <c r="AI3" s="70">
        <v>3427.16</v>
      </c>
      <c r="AJ3" s="70">
        <v>3854.4</v>
      </c>
      <c r="AK3" s="70">
        <v>4026.44</v>
      </c>
      <c r="AL3" s="70">
        <v>3982</v>
      </c>
      <c r="AM3" s="70">
        <v>3626.6467842673364</v>
      </c>
      <c r="AN3" s="70">
        <v>3208.2930192466015</v>
      </c>
      <c r="AO3" s="70">
        <v>3266.3232283980296</v>
      </c>
      <c r="AP3" s="70">
        <v>3423.1475609185236</v>
      </c>
      <c r="AQ3" s="70">
        <v>3724.3523920040138</v>
      </c>
      <c r="AR3" s="70">
        <v>3467.763681949923</v>
      </c>
      <c r="AS3" s="70">
        <v>3661.5329981831833</v>
      </c>
      <c r="AT3" s="70">
        <v>3774.5962434909238</v>
      </c>
      <c r="AU3" s="70">
        <v>4001.2253856921138</v>
      </c>
      <c r="AV3" s="70">
        <v>4628.8696646771714</v>
      </c>
      <c r="AW3" s="70">
        <v>4949.0113552308258</v>
      </c>
      <c r="AX3" s="70">
        <v>4853.2550540907441</v>
      </c>
      <c r="AY3" s="70">
        <v>11556.745080079259</v>
      </c>
      <c r="AZ3" s="70">
        <v>16132.632101882715</v>
      </c>
      <c r="BA3" s="70">
        <v>14006.211439865983</v>
      </c>
      <c r="BB3" s="70">
        <v>11644.025167529051</v>
      </c>
      <c r="BC3" s="70">
        <v>6561.9700220661753</v>
      </c>
      <c r="BD3" s="70">
        <v>5904.1603765476184</v>
      </c>
    </row>
    <row r="4" spans="3:56" x14ac:dyDescent="0.25">
      <c r="C4" s="104"/>
      <c r="D4" s="41" t="s">
        <v>22</v>
      </c>
      <c r="E4" s="70">
        <v>620</v>
      </c>
      <c r="F4" s="70">
        <v>620</v>
      </c>
      <c r="G4" s="70">
        <v>620</v>
      </c>
      <c r="H4" s="70">
        <v>600</v>
      </c>
      <c r="I4" s="70">
        <v>600</v>
      </c>
      <c r="J4" s="70">
        <v>600</v>
      </c>
      <c r="K4" s="70">
        <v>585</v>
      </c>
      <c r="L4" s="70">
        <v>585</v>
      </c>
      <c r="M4" s="70">
        <v>585</v>
      </c>
      <c r="N4" s="70">
        <v>585</v>
      </c>
      <c r="O4" s="70">
        <v>585</v>
      </c>
      <c r="P4" s="70">
        <v>585</v>
      </c>
      <c r="Q4" s="70">
        <v>575</v>
      </c>
      <c r="R4" s="70">
        <v>575</v>
      </c>
      <c r="S4" s="70">
        <v>575</v>
      </c>
      <c r="T4" s="70">
        <v>570</v>
      </c>
      <c r="U4" s="70">
        <v>570</v>
      </c>
      <c r="V4" s="70">
        <v>570</v>
      </c>
      <c r="W4" s="70">
        <v>575</v>
      </c>
      <c r="X4" s="70">
        <v>575</v>
      </c>
      <c r="Y4" s="70">
        <v>575</v>
      </c>
      <c r="Z4" s="70">
        <v>560</v>
      </c>
      <c r="AA4" s="70">
        <v>560</v>
      </c>
      <c r="AB4" s="70">
        <v>560</v>
      </c>
      <c r="AC4" s="70">
        <v>560</v>
      </c>
      <c r="AD4" s="70">
        <v>560</v>
      </c>
      <c r="AE4" s="70">
        <v>560</v>
      </c>
      <c r="AF4" s="70">
        <v>560</v>
      </c>
      <c r="AG4" s="70">
        <v>560</v>
      </c>
      <c r="AH4" s="70">
        <v>585</v>
      </c>
      <c r="AI4" s="70">
        <v>585</v>
      </c>
      <c r="AJ4" s="70">
        <v>585</v>
      </c>
      <c r="AK4" s="70">
        <v>570</v>
      </c>
      <c r="AL4" s="70">
        <v>570</v>
      </c>
      <c r="AM4" s="70">
        <v>560</v>
      </c>
      <c r="AN4" s="70">
        <v>560</v>
      </c>
      <c r="AO4" s="70">
        <v>560</v>
      </c>
      <c r="AP4" s="70">
        <v>565</v>
      </c>
      <c r="AQ4" s="70">
        <v>565</v>
      </c>
      <c r="AR4" s="70">
        <v>565</v>
      </c>
      <c r="AS4" s="70">
        <v>565</v>
      </c>
      <c r="AT4" s="70">
        <v>565</v>
      </c>
      <c r="AU4" s="70">
        <v>585</v>
      </c>
      <c r="AV4" s="70">
        <v>605</v>
      </c>
      <c r="AW4" s="70">
        <v>605</v>
      </c>
      <c r="AX4" s="70">
        <v>605</v>
      </c>
      <c r="AY4" s="70">
        <v>605</v>
      </c>
      <c r="AZ4" s="70">
        <v>595</v>
      </c>
      <c r="BA4" s="70">
        <v>580</v>
      </c>
      <c r="BB4" s="70">
        <v>580</v>
      </c>
      <c r="BC4" s="70">
        <v>570</v>
      </c>
      <c r="BD4" s="70">
        <v>570</v>
      </c>
    </row>
    <row r="5" spans="3:56" x14ac:dyDescent="0.25">
      <c r="C5" s="104"/>
      <c r="D5" s="41" t="s">
        <v>30</v>
      </c>
      <c r="E5" s="68">
        <v>0.76382845640182495</v>
      </c>
      <c r="F5" s="68">
        <v>0.73306530714035034</v>
      </c>
      <c r="G5" s="68">
        <v>0.7095942497253418</v>
      </c>
      <c r="H5" s="68">
        <v>0.70140761137008667</v>
      </c>
      <c r="I5" s="68">
        <v>0.69543033838272095</v>
      </c>
      <c r="J5" s="68">
        <v>0.68068152666091919</v>
      </c>
      <c r="K5" s="68">
        <v>0.65633469820022583</v>
      </c>
      <c r="L5" s="68">
        <v>0.65316677093505859</v>
      </c>
      <c r="M5" s="68">
        <v>0.65733087062835693</v>
      </c>
      <c r="N5" s="68">
        <v>0.68308496475219727</v>
      </c>
      <c r="O5" s="68">
        <v>0.6957668662071228</v>
      </c>
      <c r="P5" s="68">
        <v>0.69175106287002563</v>
      </c>
      <c r="Q5" s="68">
        <v>0.65495955944061279</v>
      </c>
      <c r="R5" s="68">
        <v>0.66249483823776245</v>
      </c>
      <c r="S5" s="68">
        <v>0.67240256071090698</v>
      </c>
      <c r="T5" s="68">
        <v>0.66217225790023804</v>
      </c>
      <c r="U5" s="68">
        <v>0.67276650667190552</v>
      </c>
      <c r="V5" s="68">
        <v>0.69087022542953491</v>
      </c>
      <c r="W5" s="68">
        <v>0.68872976303100586</v>
      </c>
      <c r="X5" s="68">
        <v>0.68432432413101196</v>
      </c>
      <c r="Y5" s="68">
        <v>0.6721729040145874</v>
      </c>
      <c r="Z5" s="68">
        <v>0.65511399507522583</v>
      </c>
      <c r="AA5" s="68">
        <v>0.68777942657470703</v>
      </c>
      <c r="AB5" s="68">
        <v>0.6765826940536499</v>
      </c>
      <c r="AC5" s="68">
        <v>0.67269492149353027</v>
      </c>
      <c r="AD5" s="68">
        <v>0.65061664581298828</v>
      </c>
      <c r="AE5" s="68">
        <v>0.62855720520019531</v>
      </c>
      <c r="AF5" s="68">
        <v>0.65049028396606445</v>
      </c>
      <c r="AG5" s="68">
        <v>0.62935119867324829</v>
      </c>
      <c r="AH5" s="68">
        <v>0.66118454933166504</v>
      </c>
      <c r="AI5" s="68">
        <v>0.66860741376876831</v>
      </c>
      <c r="AJ5" s="68">
        <v>0.681194007396698</v>
      </c>
      <c r="AK5" s="68">
        <v>0.6853528618812561</v>
      </c>
      <c r="AL5" s="68">
        <v>0.68291258811950684</v>
      </c>
      <c r="AM5" s="68">
        <v>0.67253422737121582</v>
      </c>
      <c r="AN5" s="68">
        <v>0.65103763341903687</v>
      </c>
      <c r="AO5" s="68">
        <v>0.65245586633682251</v>
      </c>
      <c r="AP5" s="68">
        <v>0.66083896160125732</v>
      </c>
      <c r="AQ5" s="68">
        <v>0.67287707328796387</v>
      </c>
      <c r="AR5" s="68">
        <v>0.66357666254043579</v>
      </c>
      <c r="AS5" s="68">
        <v>0.67250311374664307</v>
      </c>
      <c r="AT5" s="68">
        <v>0.67373031377792358</v>
      </c>
      <c r="AU5" s="68">
        <v>0.63983703851699825</v>
      </c>
      <c r="AV5" s="68">
        <v>0.65767486095428462</v>
      </c>
      <c r="AW5" s="68">
        <v>0.62006994485855105</v>
      </c>
      <c r="AX5" s="68">
        <v>0.61545207500457766</v>
      </c>
      <c r="AY5" s="68">
        <v>0.87117749452590942</v>
      </c>
      <c r="AZ5" s="68">
        <v>0.89657610654830933</v>
      </c>
      <c r="BA5" s="68">
        <v>0.88539963960647583</v>
      </c>
      <c r="BB5" s="68">
        <v>0.86924111843109131</v>
      </c>
      <c r="BC5" s="68">
        <v>0.74419158697128296</v>
      </c>
      <c r="BD5" s="68">
        <v>0.73314005136489868</v>
      </c>
    </row>
    <row r="6" spans="3:56" x14ac:dyDescent="0.25">
      <c r="C6" s="104"/>
      <c r="D6" s="41" t="s">
        <v>31</v>
      </c>
      <c r="E6" s="68">
        <v>0.39</v>
      </c>
      <c r="F6" s="68">
        <v>0.39</v>
      </c>
      <c r="G6" s="68">
        <v>0.38</v>
      </c>
      <c r="H6" s="68">
        <v>0.38</v>
      </c>
      <c r="I6" s="68">
        <v>0.37</v>
      </c>
      <c r="J6" s="68">
        <v>0.37</v>
      </c>
      <c r="K6" s="68">
        <v>0.37</v>
      </c>
      <c r="L6" s="68">
        <v>0.37</v>
      </c>
      <c r="M6" s="68">
        <v>0.37</v>
      </c>
      <c r="N6" s="68">
        <v>0.36</v>
      </c>
      <c r="O6" s="68">
        <v>0.36</v>
      </c>
      <c r="P6" s="68">
        <v>0.36</v>
      </c>
      <c r="Q6" s="68">
        <v>0.36</v>
      </c>
      <c r="R6" s="68">
        <v>0.36</v>
      </c>
      <c r="S6" s="68">
        <v>0.39249999999999996</v>
      </c>
      <c r="T6" s="68">
        <v>0.39249999999999996</v>
      </c>
      <c r="U6" s="68">
        <v>0.41249999999999998</v>
      </c>
      <c r="V6" s="68">
        <v>0.39249999999999996</v>
      </c>
      <c r="W6" s="68">
        <v>0.38</v>
      </c>
      <c r="X6" s="68">
        <v>0.4</v>
      </c>
      <c r="Y6" s="68">
        <v>0.4</v>
      </c>
      <c r="Z6" s="68">
        <v>0.38</v>
      </c>
      <c r="AA6" s="68">
        <v>0.37</v>
      </c>
      <c r="AB6" s="68">
        <v>0.37</v>
      </c>
      <c r="AC6" s="68">
        <v>0.37</v>
      </c>
      <c r="AD6" s="68">
        <v>0.35000000000000003</v>
      </c>
      <c r="AE6" s="68">
        <v>0.38000000000000006</v>
      </c>
      <c r="AF6" s="68">
        <v>0.38000000000000006</v>
      </c>
      <c r="AG6" s="68">
        <v>0.37000000000000005</v>
      </c>
      <c r="AH6" s="68">
        <v>0.37000000000000005</v>
      </c>
      <c r="AI6" s="68">
        <v>0.36000000000000004</v>
      </c>
      <c r="AJ6" s="68">
        <v>0.36000000000000004</v>
      </c>
      <c r="AK6" s="68">
        <v>0.36000000000000004</v>
      </c>
      <c r="AL6" s="68">
        <v>0.36000000000000004</v>
      </c>
      <c r="AM6" s="68">
        <v>0.36000000000000004</v>
      </c>
      <c r="AN6" s="68">
        <v>0.35000000000000003</v>
      </c>
      <c r="AO6" s="68">
        <v>0.35000000000000003</v>
      </c>
      <c r="AP6" s="68">
        <v>0.35000000000000003</v>
      </c>
      <c r="AQ6" s="68">
        <v>0.35000000000000003</v>
      </c>
      <c r="AR6" s="68">
        <v>0.46</v>
      </c>
      <c r="AS6" s="68">
        <v>0.46</v>
      </c>
      <c r="AT6" s="68">
        <v>0.45000000000000007</v>
      </c>
      <c r="AU6" s="68">
        <v>0.45000000000000007</v>
      </c>
      <c r="AV6" s="68">
        <v>0.44000000000000006</v>
      </c>
      <c r="AW6" s="68">
        <v>0.44000000000000006</v>
      </c>
      <c r="AX6" s="68">
        <v>0.44000000000000006</v>
      </c>
      <c r="AY6" s="68">
        <v>0.44000000000000006</v>
      </c>
      <c r="AZ6" s="68">
        <v>0.43000000000000005</v>
      </c>
      <c r="BA6" s="68">
        <v>0.43000000000000005</v>
      </c>
      <c r="BB6" s="68">
        <v>0.43000000000000005</v>
      </c>
      <c r="BC6" s="68">
        <v>0.43000000000000005</v>
      </c>
      <c r="BD6" s="68">
        <v>0.43000000000000005</v>
      </c>
    </row>
    <row r="7" spans="3:56" x14ac:dyDescent="0.25">
      <c r="C7" s="104"/>
      <c r="D7" s="41" t="s">
        <v>33</v>
      </c>
      <c r="E7" s="83">
        <f>(E3*E4)/3600/40/E5/(1-E6)</f>
        <v>67.549308167649286</v>
      </c>
      <c r="F7" s="83">
        <f t="shared" ref="F7:BD7" si="1">(F3*F4)/3600/40/F5/(1-F6)</f>
        <v>53.765303948939078</v>
      </c>
      <c r="G7" s="83">
        <f t="shared" si="1"/>
        <v>44.998329070330982</v>
      </c>
      <c r="H7" s="83">
        <f t="shared" si="1"/>
        <v>41.774675372544472</v>
      </c>
      <c r="I7" s="83">
        <f t="shared" si="1"/>
        <v>40.219091943302637</v>
      </c>
      <c r="J7" s="83">
        <f t="shared" si="1"/>
        <v>36.484986167440745</v>
      </c>
      <c r="K7" s="83">
        <f t="shared" si="1"/>
        <v>31.783501826991937</v>
      </c>
      <c r="L7" s="83">
        <f t="shared" si="1"/>
        <v>31.25881954005926</v>
      </c>
      <c r="M7" s="83">
        <f t="shared" si="1"/>
        <v>31.919762444806882</v>
      </c>
      <c r="N7" s="84">
        <f t="shared" si="1"/>
        <v>36.144616005355545</v>
      </c>
      <c r="O7" s="83">
        <f t="shared" si="1"/>
        <v>39.56024405315123</v>
      </c>
      <c r="P7" s="83">
        <f t="shared" si="1"/>
        <v>38.530191295503563</v>
      </c>
      <c r="Q7" s="83">
        <f t="shared" si="1"/>
        <v>31.029252910408065</v>
      </c>
      <c r="R7" s="83">
        <f t="shared" si="1"/>
        <v>31.966278606766128</v>
      </c>
      <c r="S7" s="83">
        <f t="shared" si="1"/>
        <v>34.732900611812198</v>
      </c>
      <c r="T7" s="83">
        <f t="shared" si="1"/>
        <v>33.623673685430667</v>
      </c>
      <c r="U7" s="83">
        <f t="shared" si="1"/>
        <v>37.014517537090661</v>
      </c>
      <c r="V7" s="83">
        <f t="shared" si="1"/>
        <v>38.833391614936211</v>
      </c>
      <c r="W7" s="83">
        <f t="shared" si="1"/>
        <v>37.869894777205658</v>
      </c>
      <c r="X7" s="83">
        <f t="shared" si="1"/>
        <v>38.660988890302171</v>
      </c>
      <c r="Y7" s="83">
        <f t="shared" si="1"/>
        <v>35.478360478623301</v>
      </c>
      <c r="Z7" s="83">
        <f t="shared" si="1"/>
        <v>31.966638282991678</v>
      </c>
      <c r="AA7" s="83">
        <f t="shared" si="1"/>
        <v>37.124664187872604</v>
      </c>
      <c r="AB7" s="83">
        <f t="shared" si="1"/>
        <v>35.611425308143524</v>
      </c>
      <c r="AC7" s="83">
        <f t="shared" si="1"/>
        <v>33.859018993167545</v>
      </c>
      <c r="AD7" s="83">
        <f t="shared" si="1"/>
        <v>29.245417678761321</v>
      </c>
      <c r="AE7" s="83">
        <f t="shared" si="1"/>
        <v>27.675088600003566</v>
      </c>
      <c r="AF7" s="83">
        <f t="shared" si="1"/>
        <v>29.928238981738211</v>
      </c>
      <c r="AG7" s="83">
        <f t="shared" si="1"/>
        <v>27.348172172478325</v>
      </c>
      <c r="AH7" s="83">
        <f t="shared" si="1"/>
        <v>32.373114580852295</v>
      </c>
      <c r="AI7" s="83">
        <f t="shared" si="1"/>
        <v>32.53693145746896</v>
      </c>
      <c r="AJ7" s="83">
        <f t="shared" si="1"/>
        <v>35.916942874325414</v>
      </c>
      <c r="AK7" s="83">
        <f t="shared" si="1"/>
        <v>36.336190252141051</v>
      </c>
      <c r="AL7" s="83">
        <f t="shared" si="1"/>
        <v>36.063554306636227</v>
      </c>
      <c r="AM7" s="83">
        <f t="shared" si="1"/>
        <v>32.766980960930397</v>
      </c>
      <c r="AN7" s="83">
        <f t="shared" si="1"/>
        <v>29.483572860389916</v>
      </c>
      <c r="AO7" s="83">
        <f t="shared" si="1"/>
        <v>29.951611738898798</v>
      </c>
      <c r="AP7" s="83">
        <f t="shared" si="1"/>
        <v>31.268178285298614</v>
      </c>
      <c r="AQ7" s="83">
        <f t="shared" si="1"/>
        <v>33.410858460384368</v>
      </c>
      <c r="AR7" s="83">
        <f t="shared" si="1"/>
        <v>37.970873325116507</v>
      </c>
      <c r="AS7" s="83">
        <f t="shared" si="1"/>
        <v>39.560415909599087</v>
      </c>
      <c r="AT7" s="83">
        <f t="shared" si="1"/>
        <v>39.967564193918079</v>
      </c>
      <c r="AU7" s="83">
        <f t="shared" si="1"/>
        <v>46.190676548316354</v>
      </c>
      <c r="AV7" s="83">
        <f t="shared" si="1"/>
        <v>52.804212048181626</v>
      </c>
      <c r="AW7" s="83">
        <f t="shared" si="1"/>
        <v>59.880114825464574</v>
      </c>
      <c r="AX7" s="83">
        <f t="shared" si="1"/>
        <v>59.162120378425641</v>
      </c>
      <c r="AY7" s="83">
        <f t="shared" si="1"/>
        <v>99.525356437244824</v>
      </c>
      <c r="AZ7" s="83">
        <f t="shared" si="1"/>
        <v>130.43606457003395</v>
      </c>
      <c r="BA7" s="83">
        <f t="shared" si="1"/>
        <v>111.78202765148245</v>
      </c>
      <c r="BB7" s="83">
        <f t="shared" si="1"/>
        <v>94.65717071087451</v>
      </c>
      <c r="BC7" s="83">
        <f t="shared" si="1"/>
        <v>61.233205349453762</v>
      </c>
      <c r="BD7" s="83">
        <f t="shared" si="1"/>
        <v>55.925349665036975</v>
      </c>
    </row>
    <row r="8" spans="3:56" x14ac:dyDescent="0.25">
      <c r="C8" s="48"/>
      <c r="E8" s="42"/>
      <c r="F8" s="42"/>
      <c r="G8" s="42"/>
      <c r="H8" s="42"/>
      <c r="I8" s="42"/>
      <c r="J8" s="42"/>
      <c r="K8" s="42"/>
      <c r="L8" s="42"/>
      <c r="M8" s="42"/>
    </row>
    <row r="9" spans="3:56" x14ac:dyDescent="0.25">
      <c r="C9" s="48"/>
      <c r="D9" s="80" t="s">
        <v>50</v>
      </c>
      <c r="E9" s="81"/>
      <c r="F9" s="81"/>
      <c r="G9" s="81"/>
      <c r="H9" s="81"/>
      <c r="I9" s="81"/>
      <c r="J9" s="81"/>
      <c r="K9" s="81"/>
      <c r="L9" s="81"/>
      <c r="M9" s="81"/>
    </row>
    <row r="10" spans="3:56" x14ac:dyDescent="0.25">
      <c r="C10" s="48"/>
      <c r="D10" s="57" t="s">
        <v>34</v>
      </c>
      <c r="E10" s="64"/>
      <c r="F10" s="64"/>
      <c r="G10" s="64"/>
      <c r="H10" s="64">
        <v>9</v>
      </c>
      <c r="I10" s="64"/>
      <c r="J10" s="64"/>
      <c r="K10" s="64"/>
      <c r="L10" s="64"/>
      <c r="M10" s="64"/>
      <c r="N10" s="64"/>
      <c r="O10" s="64"/>
      <c r="P10" s="64"/>
      <c r="Q10" s="64"/>
      <c r="R10" s="64"/>
      <c r="S10" s="64"/>
      <c r="T10" s="64">
        <v>6</v>
      </c>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row>
    <row r="11" spans="3:56" x14ac:dyDescent="0.25">
      <c r="C11" s="48"/>
      <c r="D11" s="57" t="s">
        <v>35</v>
      </c>
      <c r="E11" s="64"/>
      <c r="F11" s="64"/>
      <c r="G11" s="64"/>
      <c r="H11" s="64"/>
      <c r="I11" s="64"/>
      <c r="J11" s="64"/>
      <c r="K11" s="64">
        <v>1</v>
      </c>
      <c r="L11" s="64"/>
      <c r="M11" s="64"/>
      <c r="N11" s="64"/>
      <c r="O11" s="64"/>
      <c r="P11" s="64"/>
      <c r="Q11" s="64"/>
      <c r="R11" s="64"/>
      <c r="S11" s="64">
        <v>3</v>
      </c>
      <c r="T11" s="64">
        <v>-4</v>
      </c>
      <c r="U11" s="64"/>
      <c r="V11" s="64"/>
      <c r="W11" s="64"/>
      <c r="X11" s="64"/>
      <c r="Y11" s="64"/>
      <c r="Z11" s="64"/>
      <c r="AA11" s="64"/>
      <c r="AB11" s="64"/>
      <c r="AC11" s="64"/>
      <c r="AD11" s="64"/>
      <c r="AE11" s="64"/>
      <c r="AF11" s="64"/>
      <c r="AG11" s="64"/>
      <c r="AH11" s="64"/>
      <c r="AI11" s="64">
        <v>-2</v>
      </c>
      <c r="AJ11" s="64"/>
      <c r="AK11" s="64"/>
      <c r="AL11" s="64"/>
      <c r="AM11" s="64"/>
      <c r="AN11" s="64"/>
      <c r="AO11" s="64"/>
      <c r="AP11" s="64"/>
      <c r="AQ11" s="64"/>
      <c r="AR11" s="64"/>
      <c r="AS11" s="64">
        <v>-5</v>
      </c>
      <c r="AT11" s="64"/>
      <c r="AU11" s="64">
        <v>-15</v>
      </c>
      <c r="AV11" s="64"/>
      <c r="AW11" s="64"/>
      <c r="AX11" s="64">
        <v>14</v>
      </c>
      <c r="AY11" s="64"/>
      <c r="AZ11" s="64"/>
      <c r="BA11" s="64"/>
      <c r="BB11" s="64"/>
      <c r="BC11" s="64"/>
      <c r="BD11" s="64"/>
    </row>
    <row r="12" spans="3:56" x14ac:dyDescent="0.25">
      <c r="C12" s="48"/>
      <c r="D12" s="57" t="s">
        <v>36</v>
      </c>
      <c r="E12" s="64"/>
      <c r="F12" s="64"/>
      <c r="G12" s="64"/>
      <c r="H12" s="64"/>
      <c r="I12" s="64"/>
      <c r="J12" s="64"/>
      <c r="K12" s="64"/>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row>
    <row r="13" spans="3:56" x14ac:dyDescent="0.25">
      <c r="C13" s="48"/>
      <c r="D13" s="57" t="s">
        <v>37</v>
      </c>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row>
    <row r="14" spans="3:56" x14ac:dyDescent="0.25">
      <c r="C14" s="48"/>
      <c r="D14" s="57" t="s">
        <v>38</v>
      </c>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row>
    <row r="15" spans="3:56" x14ac:dyDescent="0.25">
      <c r="C15" s="48"/>
      <c r="D15" s="57" t="s">
        <v>39</v>
      </c>
      <c r="E15" s="64">
        <v>1</v>
      </c>
      <c r="F15" s="64">
        <v>5</v>
      </c>
      <c r="G15" s="64"/>
      <c r="H15" s="64">
        <v>0</v>
      </c>
      <c r="I15" s="64">
        <v>0</v>
      </c>
      <c r="J15" s="64">
        <v>0</v>
      </c>
      <c r="K15" s="64">
        <v>0</v>
      </c>
      <c r="L15" s="64">
        <v>0</v>
      </c>
      <c r="M15" s="64">
        <v>0</v>
      </c>
      <c r="N15" s="64">
        <v>-5</v>
      </c>
      <c r="O15" s="64">
        <v>0</v>
      </c>
      <c r="P15" s="64">
        <v>0</v>
      </c>
      <c r="Q15" s="64">
        <v>1</v>
      </c>
      <c r="R15" s="64">
        <v>0</v>
      </c>
      <c r="S15" s="64">
        <v>-2</v>
      </c>
      <c r="T15" s="64">
        <v>0</v>
      </c>
      <c r="U15" s="64">
        <v>-2</v>
      </c>
      <c r="V15" s="64">
        <v>0</v>
      </c>
      <c r="W15" s="64">
        <v>0</v>
      </c>
      <c r="X15" s="64">
        <v>-5</v>
      </c>
      <c r="Y15" s="64">
        <v>0</v>
      </c>
      <c r="Z15" s="64">
        <v>-6</v>
      </c>
      <c r="AA15" s="64">
        <v>0</v>
      </c>
      <c r="AB15" s="64">
        <v>0</v>
      </c>
      <c r="AC15" s="64">
        <v>3</v>
      </c>
      <c r="AD15" s="64">
        <v>0</v>
      </c>
      <c r="AE15" s="64">
        <v>1</v>
      </c>
      <c r="AF15" s="64">
        <v>0</v>
      </c>
      <c r="AG15" s="64">
        <v>0</v>
      </c>
      <c r="AH15" s="64">
        <v>6</v>
      </c>
      <c r="AI15" s="64">
        <v>2</v>
      </c>
      <c r="AJ15" s="64">
        <v>0</v>
      </c>
      <c r="AK15" s="64">
        <v>3</v>
      </c>
      <c r="AL15" s="64">
        <v>0</v>
      </c>
      <c r="AM15" s="64">
        <v>0</v>
      </c>
      <c r="AN15" s="64">
        <v>0</v>
      </c>
      <c r="AO15" s="64">
        <v>0</v>
      </c>
      <c r="AP15" s="64">
        <v>0</v>
      </c>
      <c r="AQ15" s="64">
        <v>0</v>
      </c>
      <c r="AR15" s="64">
        <v>0</v>
      </c>
      <c r="AS15" s="64">
        <v>-10</v>
      </c>
      <c r="AT15" s="64">
        <v>0</v>
      </c>
      <c r="AU15" s="64">
        <v>0</v>
      </c>
      <c r="AV15" s="64">
        <v>5</v>
      </c>
      <c r="AW15" s="64">
        <v>0</v>
      </c>
      <c r="AX15" s="64">
        <v>0</v>
      </c>
      <c r="AY15" s="64">
        <v>-3</v>
      </c>
      <c r="AZ15" s="64">
        <v>6</v>
      </c>
      <c r="BA15" s="64"/>
      <c r="BB15" s="64"/>
      <c r="BC15" s="64"/>
      <c r="BD15" s="64"/>
    </row>
    <row r="16" spans="3:56" x14ac:dyDescent="0.25">
      <c r="C16" s="48"/>
      <c r="D16" s="57" t="s">
        <v>40</v>
      </c>
      <c r="E16" s="64">
        <v>7.875</v>
      </c>
      <c r="F16" s="64">
        <v>0</v>
      </c>
      <c r="G16" s="64">
        <v>0</v>
      </c>
      <c r="H16" s="64">
        <v>0</v>
      </c>
      <c r="I16" s="64">
        <v>1.125</v>
      </c>
      <c r="J16" s="64">
        <v>1.1249999999999991</v>
      </c>
      <c r="K16" s="64">
        <v>0</v>
      </c>
      <c r="L16" s="64">
        <v>0</v>
      </c>
      <c r="M16" s="64">
        <v>0</v>
      </c>
      <c r="N16" s="64">
        <v>0</v>
      </c>
      <c r="O16" s="64">
        <v>0</v>
      </c>
      <c r="P16" s="64">
        <v>0</v>
      </c>
      <c r="Q16" s="64">
        <v>0</v>
      </c>
      <c r="R16" s="64">
        <v>0</v>
      </c>
      <c r="S16" s="64">
        <v>0</v>
      </c>
      <c r="T16" s="64">
        <v>0</v>
      </c>
      <c r="U16" s="64">
        <v>0</v>
      </c>
      <c r="V16" s="64">
        <v>0</v>
      </c>
      <c r="W16" s="64">
        <v>0</v>
      </c>
      <c r="X16" s="64">
        <v>0</v>
      </c>
      <c r="Y16" s="64">
        <v>0</v>
      </c>
      <c r="Z16" s="64">
        <v>0</v>
      </c>
      <c r="AA16" s="64">
        <v>0</v>
      </c>
      <c r="AB16" s="64">
        <v>0</v>
      </c>
      <c r="AC16" s="64">
        <v>0</v>
      </c>
      <c r="AD16" s="64">
        <v>0</v>
      </c>
      <c r="AE16" s="64">
        <v>0</v>
      </c>
      <c r="AF16" s="64">
        <v>0</v>
      </c>
      <c r="AG16" s="64">
        <v>0</v>
      </c>
      <c r="AH16" s="64">
        <v>0</v>
      </c>
      <c r="AI16" s="64">
        <v>0</v>
      </c>
      <c r="AJ16" s="64">
        <v>0</v>
      </c>
      <c r="AK16" s="64">
        <v>0</v>
      </c>
      <c r="AL16" s="64">
        <v>0</v>
      </c>
      <c r="AM16" s="64">
        <v>0</v>
      </c>
      <c r="AN16" s="64">
        <v>0</v>
      </c>
      <c r="AO16" s="64">
        <v>0</v>
      </c>
      <c r="AP16" s="64">
        <v>0</v>
      </c>
      <c r="AQ16" s="64">
        <v>0</v>
      </c>
      <c r="AR16" s="64">
        <v>0</v>
      </c>
      <c r="AS16" s="64">
        <v>0</v>
      </c>
      <c r="AT16" s="64">
        <v>0</v>
      </c>
      <c r="AU16" s="64">
        <v>0</v>
      </c>
      <c r="AV16" s="64">
        <v>0</v>
      </c>
      <c r="AW16" s="64">
        <v>0</v>
      </c>
      <c r="AX16" s="64">
        <v>0</v>
      </c>
      <c r="AY16" s="64">
        <v>0</v>
      </c>
      <c r="AZ16" s="64">
        <v>0</v>
      </c>
      <c r="BA16" s="64"/>
      <c r="BB16" s="64"/>
      <c r="BC16" s="64"/>
      <c r="BD16" s="64"/>
    </row>
    <row r="17" spans="3:56" x14ac:dyDescent="0.25">
      <c r="C17" s="48"/>
      <c r="E17" s="45"/>
      <c r="F17" s="45"/>
      <c r="G17" s="45"/>
      <c r="H17" s="45"/>
      <c r="I17" s="45"/>
      <c r="J17" s="45"/>
      <c r="K17" s="45"/>
      <c r="L17" s="45"/>
      <c r="M17" s="45"/>
    </row>
    <row r="18" spans="3:56" x14ac:dyDescent="0.25">
      <c r="C18" s="48"/>
      <c r="D18" s="49" t="s">
        <v>34</v>
      </c>
      <c r="E18" s="65">
        <v>29.112500000000001</v>
      </c>
      <c r="F18" s="65">
        <v>29.862500000000001</v>
      </c>
      <c r="G18" s="65">
        <v>30.862500000000001</v>
      </c>
      <c r="H18" s="65">
        <v>36.612499999999997</v>
      </c>
      <c r="I18" s="65">
        <v>36.612499999999997</v>
      </c>
      <c r="J18" s="65">
        <v>36.612499999999997</v>
      </c>
      <c r="K18" s="65">
        <v>36.612499999999997</v>
      </c>
      <c r="L18" s="65">
        <v>34.5625</v>
      </c>
      <c r="M18" s="65">
        <v>37.337499999999999</v>
      </c>
      <c r="N18" s="65">
        <v>38.325000000000003</v>
      </c>
      <c r="O18" s="65">
        <v>37.325000000000003</v>
      </c>
      <c r="P18" s="65">
        <v>37.33</v>
      </c>
      <c r="Q18" s="65">
        <v>37.325000000000003</v>
      </c>
      <c r="R18" s="65">
        <v>33.325000000000003</v>
      </c>
      <c r="S18" s="65">
        <v>33.325000000000003</v>
      </c>
      <c r="T18" s="65">
        <v>33.325000000000003</v>
      </c>
      <c r="U18" s="65">
        <v>27.6875</v>
      </c>
      <c r="V18" s="65">
        <v>27.1875</v>
      </c>
      <c r="W18" s="65">
        <v>27.1875</v>
      </c>
      <c r="X18" s="65">
        <v>26.887499999999999</v>
      </c>
      <c r="Y18" s="65">
        <v>26.080874999999999</v>
      </c>
      <c r="Z18" s="65">
        <v>25.298448749999999</v>
      </c>
      <c r="AA18" s="65">
        <v>24.792479775</v>
      </c>
      <c r="AB18" s="65">
        <v>24.296630179499999</v>
      </c>
      <c r="AC18" s="65">
        <v>23.810697575909998</v>
      </c>
      <c r="AD18" s="65">
        <v>23.334483624391797</v>
      </c>
      <c r="AE18" s="65">
        <v>22.867793951903963</v>
      </c>
      <c r="AF18" s="65">
        <v>22.410438072865883</v>
      </c>
      <c r="AG18" s="65">
        <v>21.962229311408567</v>
      </c>
      <c r="AH18" s="65">
        <v>21.522984725180397</v>
      </c>
      <c r="AI18" s="65">
        <v>21.092525030676789</v>
      </c>
      <c r="AJ18" s="65">
        <v>20.670674530063252</v>
      </c>
      <c r="AK18" s="65">
        <v>20.257261039461987</v>
      </c>
      <c r="AL18" s="65">
        <v>19.852115818672747</v>
      </c>
      <c r="AM18" s="65">
        <v>19.455073502299292</v>
      </c>
      <c r="AN18" s="65">
        <v>18.71578070921192</v>
      </c>
      <c r="AO18" s="65">
        <v>18.004581042261869</v>
      </c>
      <c r="AP18" s="65">
        <v>17.320406962655916</v>
      </c>
      <c r="AQ18" s="65">
        <v>16.662231498074991</v>
      </c>
      <c r="AR18" s="65">
        <v>16.029066701148142</v>
      </c>
      <c r="AS18" s="65">
        <v>15.387904033102217</v>
      </c>
      <c r="AT18" s="65">
        <v>14.772387871778129</v>
      </c>
      <c r="AU18" s="65">
        <v>14.181492356907004</v>
      </c>
      <c r="AV18" s="65">
        <v>13.614232662630723</v>
      </c>
      <c r="AW18" s="65">
        <v>34.752809396367653</v>
      </c>
      <c r="AX18" s="65">
        <v>31.277528456730888</v>
      </c>
      <c r="AY18" s="65">
        <v>28.149775611057798</v>
      </c>
      <c r="AZ18" s="65">
        <v>25.334798049952017</v>
      </c>
      <c r="BA18" s="65">
        <v>22.547970264457295</v>
      </c>
      <c r="BB18" s="65">
        <v>20.067693535366992</v>
      </c>
      <c r="BC18" s="65">
        <v>17.860247246476622</v>
      </c>
      <c r="BD18" s="65">
        <v>15.895620049364194</v>
      </c>
    </row>
    <row r="19" spans="3:56" x14ac:dyDescent="0.25">
      <c r="C19" s="48"/>
      <c r="D19" s="49" t="s">
        <v>35</v>
      </c>
      <c r="E19" s="65">
        <v>29.049999999999997</v>
      </c>
      <c r="F19" s="65">
        <v>18.55</v>
      </c>
      <c r="G19" s="65">
        <v>9.25</v>
      </c>
      <c r="H19" s="65">
        <v>9.25</v>
      </c>
      <c r="I19" s="65">
        <v>8.25</v>
      </c>
      <c r="J19" s="65">
        <v>8.25</v>
      </c>
      <c r="K19" s="65">
        <v>5.85825</v>
      </c>
      <c r="L19" s="65">
        <v>5.9582499999999996</v>
      </c>
      <c r="M19" s="65">
        <v>14.158250000000001</v>
      </c>
      <c r="N19" s="65">
        <v>13.42075</v>
      </c>
      <c r="O19" s="65">
        <v>12.620749999999999</v>
      </c>
      <c r="P19" s="65">
        <v>13.42</v>
      </c>
      <c r="Q19" s="65">
        <v>13.42075</v>
      </c>
      <c r="R19" s="65">
        <v>13.42075</v>
      </c>
      <c r="S19" s="65">
        <v>13.620749999999999</v>
      </c>
      <c r="T19" s="65">
        <v>12.620749999999999</v>
      </c>
      <c r="U19" s="65">
        <v>11.720750000000001</v>
      </c>
      <c r="V19" s="65">
        <v>11.77075</v>
      </c>
      <c r="W19" s="65">
        <v>11.27075</v>
      </c>
      <c r="X19" s="65">
        <v>11.07075</v>
      </c>
      <c r="Y19" s="65">
        <v>10.7386275</v>
      </c>
      <c r="Z19" s="65">
        <v>10.416468674999999</v>
      </c>
      <c r="AA19" s="65">
        <v>10.208139301499999</v>
      </c>
      <c r="AB19" s="65">
        <v>10.003976515469999</v>
      </c>
      <c r="AC19" s="65">
        <v>9.8038969851605984</v>
      </c>
      <c r="AD19" s="65">
        <v>12.607819045457386</v>
      </c>
      <c r="AE19" s="65">
        <v>12.355662664548239</v>
      </c>
      <c r="AF19" s="65">
        <v>12.108549411257275</v>
      </c>
      <c r="AG19" s="65">
        <v>11.866378423032129</v>
      </c>
      <c r="AH19" s="65">
        <v>11.629050854571487</v>
      </c>
      <c r="AI19" s="65">
        <v>11.396469837480057</v>
      </c>
      <c r="AJ19" s="65">
        <v>22.418540440730453</v>
      </c>
      <c r="AK19" s="65">
        <v>21.970169631915844</v>
      </c>
      <c r="AL19" s="65">
        <v>21.530766239277529</v>
      </c>
      <c r="AM19" s="65">
        <v>21.10015091449198</v>
      </c>
      <c r="AN19" s="65">
        <v>20.298345179741286</v>
      </c>
      <c r="AO19" s="65">
        <v>19.527008062911118</v>
      </c>
      <c r="AP19" s="65">
        <v>18.784981756520494</v>
      </c>
      <c r="AQ19" s="65">
        <v>18.071152449772715</v>
      </c>
      <c r="AR19" s="65">
        <v>17.38444865668135</v>
      </c>
      <c r="AS19" s="65">
        <v>16.689070710414097</v>
      </c>
      <c r="AT19" s="65">
        <v>21.021507881997533</v>
      </c>
      <c r="AU19" s="65">
        <v>42.680647566717631</v>
      </c>
      <c r="AV19" s="65">
        <v>35.973421664048928</v>
      </c>
      <c r="AW19" s="65">
        <v>77.376079497644042</v>
      </c>
      <c r="AX19" s="65">
        <v>59.638471547879632</v>
      </c>
      <c r="AY19" s="65">
        <v>92.174624393091676</v>
      </c>
      <c r="AZ19" s="65">
        <v>82.957161953782503</v>
      </c>
      <c r="BA19" s="65">
        <v>79.831874138866425</v>
      </c>
      <c r="BB19" s="65">
        <v>76.050367983591116</v>
      </c>
      <c r="BC19" s="65">
        <v>80.6848275053961</v>
      </c>
      <c r="BD19" s="65">
        <v>71.809496479802533</v>
      </c>
    </row>
    <row r="20" spans="3:56" x14ac:dyDescent="0.25">
      <c r="C20" s="48"/>
      <c r="D20" s="49" t="s">
        <v>36</v>
      </c>
      <c r="E20" s="65">
        <v>0</v>
      </c>
      <c r="F20" s="65">
        <v>0</v>
      </c>
      <c r="G20" s="65">
        <v>0</v>
      </c>
      <c r="H20" s="65">
        <v>0</v>
      </c>
      <c r="I20" s="65">
        <v>0</v>
      </c>
      <c r="J20" s="65">
        <v>0</v>
      </c>
      <c r="K20" s="65">
        <v>0</v>
      </c>
      <c r="L20" s="65">
        <v>0</v>
      </c>
      <c r="M20" s="65">
        <v>0</v>
      </c>
      <c r="N20" s="65">
        <v>0</v>
      </c>
      <c r="O20" s="65">
        <v>0</v>
      </c>
      <c r="P20" s="65">
        <v>0</v>
      </c>
      <c r="Q20" s="65">
        <v>0</v>
      </c>
      <c r="R20" s="65">
        <v>0</v>
      </c>
      <c r="S20" s="65">
        <v>0</v>
      </c>
      <c r="T20" s="65">
        <v>0</v>
      </c>
      <c r="U20" s="65">
        <v>0</v>
      </c>
      <c r="V20" s="65">
        <v>0</v>
      </c>
      <c r="W20" s="65">
        <v>0</v>
      </c>
      <c r="X20" s="65">
        <v>0</v>
      </c>
      <c r="Y20" s="65">
        <v>0</v>
      </c>
      <c r="Z20" s="65">
        <v>0</v>
      </c>
      <c r="AA20" s="65">
        <v>0</v>
      </c>
      <c r="AB20" s="65">
        <v>0</v>
      </c>
      <c r="AC20" s="65">
        <v>0</v>
      </c>
      <c r="AD20" s="65">
        <v>0</v>
      </c>
      <c r="AE20" s="65">
        <v>0</v>
      </c>
      <c r="AF20" s="65">
        <v>0</v>
      </c>
      <c r="AG20" s="65">
        <v>0</v>
      </c>
      <c r="AH20" s="65">
        <v>0</v>
      </c>
      <c r="AI20" s="65">
        <v>0</v>
      </c>
      <c r="AJ20" s="65">
        <v>0</v>
      </c>
      <c r="AK20" s="65">
        <v>0</v>
      </c>
      <c r="AL20" s="65">
        <v>0</v>
      </c>
      <c r="AM20" s="65">
        <v>0</v>
      </c>
      <c r="AN20" s="65">
        <v>0</v>
      </c>
      <c r="AO20" s="65">
        <v>0</v>
      </c>
      <c r="AP20" s="65">
        <v>0</v>
      </c>
      <c r="AQ20" s="65">
        <v>0</v>
      </c>
      <c r="AR20" s="65">
        <v>0</v>
      </c>
      <c r="AS20" s="65">
        <v>0</v>
      </c>
      <c r="AT20" s="65">
        <v>0</v>
      </c>
      <c r="AU20" s="65">
        <v>0</v>
      </c>
      <c r="AV20" s="65">
        <v>0</v>
      </c>
      <c r="AW20" s="65">
        <v>0</v>
      </c>
      <c r="AX20" s="65">
        <v>0</v>
      </c>
      <c r="AY20" s="65">
        <v>0</v>
      </c>
      <c r="AZ20" s="65">
        <v>0</v>
      </c>
      <c r="BA20" s="65">
        <v>0</v>
      </c>
      <c r="BB20" s="65">
        <v>0</v>
      </c>
      <c r="BC20" s="65">
        <v>0</v>
      </c>
      <c r="BD20" s="65">
        <v>0</v>
      </c>
    </row>
    <row r="21" spans="3:56" x14ac:dyDescent="0.25">
      <c r="C21" s="48"/>
      <c r="D21" s="49" t="s">
        <v>37</v>
      </c>
      <c r="E21" s="65">
        <v>0</v>
      </c>
      <c r="F21" s="65">
        <v>0</v>
      </c>
      <c r="G21" s="65">
        <v>0</v>
      </c>
      <c r="H21" s="65">
        <v>0</v>
      </c>
      <c r="I21" s="65">
        <v>0</v>
      </c>
      <c r="J21" s="65">
        <v>0</v>
      </c>
      <c r="K21" s="65">
        <v>0</v>
      </c>
      <c r="L21" s="65">
        <v>0</v>
      </c>
      <c r="M21" s="65">
        <v>0</v>
      </c>
      <c r="N21" s="65">
        <v>0</v>
      </c>
      <c r="O21" s="65">
        <v>0</v>
      </c>
      <c r="P21" s="65">
        <v>0</v>
      </c>
      <c r="Q21" s="65">
        <v>0</v>
      </c>
      <c r="R21" s="65">
        <v>0</v>
      </c>
      <c r="S21" s="65">
        <v>0</v>
      </c>
      <c r="T21" s="65">
        <v>0</v>
      </c>
      <c r="U21" s="65">
        <v>0</v>
      </c>
      <c r="V21" s="65">
        <v>0</v>
      </c>
      <c r="W21" s="65">
        <v>0</v>
      </c>
      <c r="X21" s="65">
        <v>0</v>
      </c>
      <c r="Y21" s="65">
        <v>0</v>
      </c>
      <c r="Z21" s="65">
        <v>0</v>
      </c>
      <c r="AA21" s="65">
        <v>0</v>
      </c>
      <c r="AB21" s="65">
        <v>0</v>
      </c>
      <c r="AC21" s="65">
        <v>0</v>
      </c>
      <c r="AD21" s="65">
        <v>0</v>
      </c>
      <c r="AE21" s="65">
        <v>0</v>
      </c>
      <c r="AF21" s="65">
        <v>0</v>
      </c>
      <c r="AG21" s="65">
        <v>0</v>
      </c>
      <c r="AH21" s="65">
        <v>0</v>
      </c>
      <c r="AI21" s="65">
        <v>0</v>
      </c>
      <c r="AJ21" s="65">
        <v>0</v>
      </c>
      <c r="AK21" s="65">
        <v>0</v>
      </c>
      <c r="AL21" s="65">
        <v>0</v>
      </c>
      <c r="AM21" s="65">
        <v>0</v>
      </c>
      <c r="AN21" s="65">
        <v>0</v>
      </c>
      <c r="AO21" s="65">
        <v>0</v>
      </c>
      <c r="AP21" s="65">
        <v>0</v>
      </c>
      <c r="AQ21" s="65">
        <v>0</v>
      </c>
      <c r="AR21" s="65">
        <v>0</v>
      </c>
      <c r="AS21" s="65">
        <v>0</v>
      </c>
      <c r="AT21" s="65">
        <v>0</v>
      </c>
      <c r="AU21" s="65">
        <v>0</v>
      </c>
      <c r="AV21" s="65">
        <v>0</v>
      </c>
      <c r="AW21" s="65">
        <v>0</v>
      </c>
      <c r="AX21" s="65">
        <v>0</v>
      </c>
      <c r="AY21" s="65">
        <v>0</v>
      </c>
      <c r="AZ21" s="65">
        <v>0</v>
      </c>
      <c r="BA21" s="65">
        <v>0</v>
      </c>
      <c r="BB21" s="65">
        <v>0</v>
      </c>
      <c r="BC21" s="65">
        <v>0</v>
      </c>
      <c r="BD21" s="65">
        <v>0</v>
      </c>
    </row>
    <row r="22" spans="3:56" x14ac:dyDescent="0.25">
      <c r="C22" s="48"/>
      <c r="D22" s="49" t="s">
        <v>38</v>
      </c>
      <c r="E22" s="65">
        <v>3.4</v>
      </c>
      <c r="F22" s="65">
        <v>4</v>
      </c>
      <c r="G22" s="65">
        <v>7.8707500000000001</v>
      </c>
      <c r="H22" s="65">
        <v>9.8707499999999992</v>
      </c>
      <c r="I22" s="65">
        <v>11.720750000000001</v>
      </c>
      <c r="J22" s="65">
        <v>10.720750000000001</v>
      </c>
      <c r="K22" s="65">
        <v>7.7125000000000004</v>
      </c>
      <c r="L22" s="65">
        <v>8.1999999999999993</v>
      </c>
      <c r="M22" s="65">
        <v>0</v>
      </c>
      <c r="N22" s="65">
        <v>0</v>
      </c>
      <c r="O22" s="65">
        <v>0</v>
      </c>
      <c r="P22" s="65">
        <v>0</v>
      </c>
      <c r="Q22" s="65">
        <v>0</v>
      </c>
      <c r="R22" s="65">
        <v>0</v>
      </c>
      <c r="S22" s="65">
        <v>0</v>
      </c>
      <c r="T22" s="65">
        <v>0</v>
      </c>
      <c r="U22" s="65">
        <v>0</v>
      </c>
      <c r="V22" s="65">
        <v>0</v>
      </c>
      <c r="W22" s="65">
        <v>0</v>
      </c>
      <c r="X22" s="65">
        <v>0</v>
      </c>
      <c r="Y22" s="65">
        <v>0</v>
      </c>
      <c r="Z22" s="65">
        <v>0</v>
      </c>
      <c r="AA22" s="65">
        <v>0</v>
      </c>
      <c r="AB22" s="65">
        <v>0</v>
      </c>
      <c r="AC22" s="65">
        <v>0</v>
      </c>
      <c r="AD22" s="65">
        <v>0</v>
      </c>
      <c r="AE22" s="65">
        <v>0</v>
      </c>
      <c r="AF22" s="65">
        <v>0</v>
      </c>
      <c r="AG22" s="65">
        <v>0</v>
      </c>
      <c r="AH22" s="65">
        <v>0</v>
      </c>
      <c r="AI22" s="65">
        <v>0</v>
      </c>
      <c r="AJ22" s="65">
        <v>0</v>
      </c>
      <c r="AK22" s="65">
        <v>0</v>
      </c>
      <c r="AL22" s="65">
        <v>0</v>
      </c>
      <c r="AM22" s="65">
        <v>0</v>
      </c>
      <c r="AN22" s="65">
        <v>0</v>
      </c>
      <c r="AO22" s="65">
        <v>0</v>
      </c>
      <c r="AP22" s="65">
        <v>0</v>
      </c>
      <c r="AQ22" s="65">
        <v>0</v>
      </c>
      <c r="AR22" s="65">
        <v>0</v>
      </c>
      <c r="AS22" s="65">
        <v>0</v>
      </c>
      <c r="AT22" s="65">
        <v>0</v>
      </c>
      <c r="AU22" s="65">
        <v>0</v>
      </c>
      <c r="AV22" s="65">
        <v>0</v>
      </c>
      <c r="AW22" s="65">
        <v>0</v>
      </c>
      <c r="AX22" s="65">
        <v>0</v>
      </c>
      <c r="AY22" s="65">
        <v>0</v>
      </c>
      <c r="AZ22" s="65">
        <v>0</v>
      </c>
      <c r="BA22" s="65">
        <v>0</v>
      </c>
      <c r="BB22" s="65">
        <v>0</v>
      </c>
      <c r="BC22" s="65">
        <v>0</v>
      </c>
      <c r="BD22" s="65">
        <v>0</v>
      </c>
    </row>
    <row r="23" spans="3:56" x14ac:dyDescent="0.25">
      <c r="C23" s="48"/>
      <c r="D23" s="49" t="s">
        <v>39</v>
      </c>
      <c r="E23" s="65">
        <v>0</v>
      </c>
      <c r="F23" s="65">
        <v>0</v>
      </c>
      <c r="G23" s="65">
        <v>0</v>
      </c>
      <c r="H23" s="65">
        <v>0</v>
      </c>
      <c r="I23" s="65">
        <v>0</v>
      </c>
      <c r="J23" s="65">
        <v>0</v>
      </c>
      <c r="K23" s="65">
        <v>0</v>
      </c>
      <c r="L23" s="65">
        <v>0</v>
      </c>
      <c r="M23" s="65">
        <v>0</v>
      </c>
      <c r="N23" s="65">
        <v>0</v>
      </c>
      <c r="O23" s="65">
        <v>0</v>
      </c>
      <c r="P23" s="65">
        <v>0</v>
      </c>
      <c r="Q23" s="65">
        <v>0</v>
      </c>
      <c r="R23" s="65">
        <v>0</v>
      </c>
      <c r="S23" s="65">
        <v>0</v>
      </c>
      <c r="T23" s="65">
        <v>0</v>
      </c>
      <c r="U23" s="65">
        <v>0</v>
      </c>
      <c r="V23" s="65">
        <v>0</v>
      </c>
      <c r="W23" s="65">
        <v>0</v>
      </c>
      <c r="X23" s="65">
        <v>0</v>
      </c>
      <c r="Y23" s="65">
        <v>0</v>
      </c>
      <c r="Z23" s="65">
        <v>0</v>
      </c>
      <c r="AA23" s="65">
        <v>0</v>
      </c>
      <c r="AB23" s="65">
        <v>0</v>
      </c>
      <c r="AC23" s="65">
        <v>0</v>
      </c>
      <c r="AD23" s="65">
        <v>0</v>
      </c>
      <c r="AE23" s="65">
        <v>0</v>
      </c>
      <c r="AF23" s="65">
        <v>0</v>
      </c>
      <c r="AG23" s="65">
        <v>0</v>
      </c>
      <c r="AH23" s="65">
        <v>0</v>
      </c>
      <c r="AI23" s="65">
        <v>0</v>
      </c>
      <c r="AJ23" s="65">
        <v>0</v>
      </c>
      <c r="AK23" s="65">
        <v>0</v>
      </c>
      <c r="AL23" s="65">
        <v>0</v>
      </c>
      <c r="AM23" s="65">
        <v>0</v>
      </c>
      <c r="AN23" s="65">
        <v>0</v>
      </c>
      <c r="AO23" s="65">
        <v>0</v>
      </c>
      <c r="AP23" s="65">
        <v>0</v>
      </c>
      <c r="AQ23" s="65">
        <v>0</v>
      </c>
      <c r="AR23" s="65">
        <v>0</v>
      </c>
      <c r="AS23" s="65">
        <v>0</v>
      </c>
      <c r="AT23" s="65">
        <v>0</v>
      </c>
      <c r="AU23" s="65">
        <v>0</v>
      </c>
      <c r="AV23" s="65">
        <v>0</v>
      </c>
      <c r="AW23" s="65">
        <v>0</v>
      </c>
      <c r="AX23" s="65">
        <v>0</v>
      </c>
      <c r="AY23" s="65">
        <v>0</v>
      </c>
      <c r="AZ23" s="65">
        <v>0</v>
      </c>
      <c r="BA23" s="65">
        <v>0</v>
      </c>
      <c r="BB23" s="65">
        <v>0</v>
      </c>
      <c r="BC23" s="65">
        <v>0</v>
      </c>
      <c r="BD23" s="65">
        <v>0</v>
      </c>
    </row>
    <row r="24" spans="3:56" x14ac:dyDescent="0.25">
      <c r="C24" s="48"/>
      <c r="D24" s="49" t="s">
        <v>40</v>
      </c>
      <c r="E24" s="65">
        <v>0</v>
      </c>
      <c r="F24" s="65">
        <v>0</v>
      </c>
      <c r="G24" s="65">
        <v>0</v>
      </c>
      <c r="H24" s="65">
        <v>0</v>
      </c>
      <c r="I24" s="65">
        <v>0</v>
      </c>
      <c r="J24" s="65">
        <v>0</v>
      </c>
      <c r="K24" s="65">
        <v>0</v>
      </c>
      <c r="L24" s="65">
        <v>0</v>
      </c>
      <c r="M24" s="65">
        <v>0</v>
      </c>
      <c r="N24" s="65">
        <v>0</v>
      </c>
      <c r="O24" s="65">
        <v>0</v>
      </c>
      <c r="P24" s="65">
        <v>0</v>
      </c>
      <c r="Q24" s="65">
        <v>0</v>
      </c>
      <c r="R24" s="65">
        <v>0</v>
      </c>
      <c r="S24" s="65">
        <v>0</v>
      </c>
      <c r="T24" s="65">
        <v>0</v>
      </c>
      <c r="U24" s="65">
        <v>0</v>
      </c>
      <c r="V24" s="65">
        <v>0</v>
      </c>
      <c r="W24" s="65">
        <v>0</v>
      </c>
      <c r="X24" s="65">
        <v>0</v>
      </c>
      <c r="Y24" s="65">
        <v>0</v>
      </c>
      <c r="Z24" s="65">
        <v>0</v>
      </c>
      <c r="AA24" s="65">
        <v>0</v>
      </c>
      <c r="AB24" s="65">
        <v>0</v>
      </c>
      <c r="AC24" s="65">
        <v>0</v>
      </c>
      <c r="AD24" s="65">
        <v>0</v>
      </c>
      <c r="AE24" s="65">
        <v>0</v>
      </c>
      <c r="AF24" s="65">
        <v>0</v>
      </c>
      <c r="AG24" s="65">
        <v>0</v>
      </c>
      <c r="AH24" s="65">
        <v>0</v>
      </c>
      <c r="AI24" s="65">
        <v>0</v>
      </c>
      <c r="AJ24" s="65">
        <v>0</v>
      </c>
      <c r="AK24" s="65">
        <v>0</v>
      </c>
      <c r="AL24" s="65">
        <v>0</v>
      </c>
      <c r="AM24" s="65">
        <v>0</v>
      </c>
      <c r="AN24" s="65">
        <v>0</v>
      </c>
      <c r="AO24" s="65">
        <v>0</v>
      </c>
      <c r="AP24" s="65">
        <v>0</v>
      </c>
      <c r="AQ24" s="65">
        <v>0</v>
      </c>
      <c r="AR24" s="65">
        <v>0</v>
      </c>
      <c r="AS24" s="65">
        <v>0</v>
      </c>
      <c r="AT24" s="65">
        <v>0</v>
      </c>
      <c r="AU24" s="65">
        <v>0</v>
      </c>
      <c r="AV24" s="65">
        <v>0</v>
      </c>
      <c r="AW24" s="65">
        <v>0</v>
      </c>
      <c r="AX24" s="65">
        <v>0</v>
      </c>
      <c r="AY24" s="65">
        <v>0</v>
      </c>
      <c r="AZ24" s="65">
        <v>0</v>
      </c>
      <c r="BA24" s="65">
        <v>0</v>
      </c>
      <c r="BB24" s="65">
        <v>0</v>
      </c>
      <c r="BC24" s="65">
        <v>0</v>
      </c>
      <c r="BD24" s="65">
        <v>0</v>
      </c>
    </row>
    <row r="25" spans="3:56" x14ac:dyDescent="0.25">
      <c r="C25" s="48"/>
      <c r="D25" s="50" t="s">
        <v>41</v>
      </c>
      <c r="E25" s="54">
        <f t="shared" ref="E25:BD25" si="2">(SUM(E18:E24)*E27)/((40*(1-E26)+40))</f>
        <v>0</v>
      </c>
      <c r="F25" s="54">
        <f t="shared" si="2"/>
        <v>0</v>
      </c>
      <c r="G25" s="54">
        <f t="shared" si="2"/>
        <v>0</v>
      </c>
      <c r="H25" s="54">
        <f t="shared" si="2"/>
        <v>-4.8463695652173913</v>
      </c>
      <c r="I25" s="54">
        <f t="shared" si="2"/>
        <v>-4.9202826086956524</v>
      </c>
      <c r="J25" s="54">
        <f t="shared" si="2"/>
        <v>0</v>
      </c>
      <c r="K25" s="54">
        <f t="shared" si="2"/>
        <v>-8.7275217391304345</v>
      </c>
      <c r="L25" s="54">
        <f t="shared" si="2"/>
        <v>-4.2365869565217391</v>
      </c>
      <c r="M25" s="54">
        <f t="shared" si="2"/>
        <v>-4.4778913043478266</v>
      </c>
      <c r="N25" s="54">
        <f t="shared" si="2"/>
        <v>-4.4996304347826088</v>
      </c>
      <c r="O25" s="54">
        <f t="shared" si="2"/>
        <v>-4.3431086956521741</v>
      </c>
      <c r="P25" s="54">
        <f t="shared" si="2"/>
        <v>0</v>
      </c>
      <c r="Q25" s="54">
        <f t="shared" si="2"/>
        <v>-4.412673913043478</v>
      </c>
      <c r="R25" s="54">
        <f t="shared" si="2"/>
        <v>0</v>
      </c>
      <c r="S25" s="54">
        <f t="shared" si="2"/>
        <v>0</v>
      </c>
      <c r="T25" s="54">
        <f t="shared" si="2"/>
        <v>-5.9929239130434784</v>
      </c>
      <c r="U25" s="54">
        <f t="shared" si="2"/>
        <v>-1.7134021739130436</v>
      </c>
      <c r="V25" s="54">
        <f t="shared" si="2"/>
        <v>0</v>
      </c>
      <c r="W25" s="54">
        <f t="shared" si="2"/>
        <v>0</v>
      </c>
      <c r="X25" s="54">
        <f t="shared" si="2"/>
        <v>1.6503586956521739</v>
      </c>
      <c r="Y25" s="54">
        <f t="shared" si="2"/>
        <v>0</v>
      </c>
      <c r="Z25" s="54">
        <f t="shared" si="2"/>
        <v>0</v>
      </c>
      <c r="AA25" s="54">
        <f t="shared" si="2"/>
        <v>6.0870641872173916</v>
      </c>
      <c r="AB25" s="54">
        <f t="shared" si="2"/>
        <v>4.4739921776047824</v>
      </c>
      <c r="AC25" s="54">
        <f t="shared" si="2"/>
        <v>2.9230082227017911</v>
      </c>
      <c r="AD25" s="54">
        <f t="shared" si="2"/>
        <v>-3.1254176234651463</v>
      </c>
      <c r="AE25" s="54">
        <f t="shared" si="2"/>
        <v>-3.0629092709958439</v>
      </c>
      <c r="AF25" s="54">
        <f t="shared" si="2"/>
        <v>0</v>
      </c>
      <c r="AG25" s="54">
        <f t="shared" si="2"/>
        <v>-2.9416180638644081</v>
      </c>
      <c r="AH25" s="54">
        <f t="shared" si="2"/>
        <v>0</v>
      </c>
      <c r="AI25" s="54">
        <f t="shared" si="2"/>
        <v>0</v>
      </c>
      <c r="AJ25" s="54">
        <f t="shared" si="2"/>
        <v>0</v>
      </c>
      <c r="AK25" s="54">
        <f t="shared" si="2"/>
        <v>0</v>
      </c>
      <c r="AL25" s="54">
        <f t="shared" si="2"/>
        <v>0</v>
      </c>
      <c r="AM25" s="54">
        <f t="shared" si="2"/>
        <v>0</v>
      </c>
      <c r="AN25" s="54">
        <f t="shared" si="2"/>
        <v>0</v>
      </c>
      <c r="AO25" s="54">
        <f t="shared" si="2"/>
        <v>0</v>
      </c>
      <c r="AP25" s="54">
        <f t="shared" si="2"/>
        <v>0</v>
      </c>
      <c r="AQ25" s="54">
        <f t="shared" si="2"/>
        <v>0</v>
      </c>
      <c r="AR25" s="54">
        <f t="shared" si="2"/>
        <v>0</v>
      </c>
      <c r="AS25" s="54">
        <f t="shared" si="2"/>
        <v>0</v>
      </c>
      <c r="AT25" s="54">
        <f t="shared" si="2"/>
        <v>0</v>
      </c>
      <c r="AU25" s="54">
        <f t="shared" si="2"/>
        <v>0</v>
      </c>
      <c r="AV25" s="54">
        <f t="shared" si="2"/>
        <v>0</v>
      </c>
      <c r="AW25" s="54">
        <f t="shared" si="2"/>
        <v>0</v>
      </c>
      <c r="AX25" s="54">
        <f t="shared" si="2"/>
        <v>0</v>
      </c>
      <c r="AY25" s="54">
        <f t="shared" si="2"/>
        <v>0</v>
      </c>
      <c r="AZ25" s="54">
        <f t="shared" si="2"/>
        <v>18.833384348475569</v>
      </c>
      <c r="BA25" s="54">
        <f t="shared" si="2"/>
        <v>8.9025951655064102</v>
      </c>
      <c r="BB25" s="54">
        <f t="shared" si="2"/>
        <v>0</v>
      </c>
      <c r="BC25" s="54">
        <f t="shared" si="2"/>
        <v>0</v>
      </c>
      <c r="BD25" s="54">
        <f t="shared" si="2"/>
        <v>0</v>
      </c>
    </row>
    <row r="26" spans="3:56" x14ac:dyDescent="0.25">
      <c r="C26" s="48"/>
      <c r="D26" s="50" t="s">
        <v>42</v>
      </c>
      <c r="E26" s="67">
        <v>0.85</v>
      </c>
      <c r="F26" s="67">
        <v>0.85</v>
      </c>
      <c r="G26" s="67">
        <v>0.85</v>
      </c>
      <c r="H26" s="67">
        <v>0.85</v>
      </c>
      <c r="I26" s="67">
        <v>0.85</v>
      </c>
      <c r="J26" s="67">
        <v>0.85</v>
      </c>
      <c r="K26" s="67">
        <v>0.85</v>
      </c>
      <c r="L26" s="67">
        <v>0.85</v>
      </c>
      <c r="M26" s="67">
        <v>0.85</v>
      </c>
      <c r="N26" s="67">
        <v>0.85</v>
      </c>
      <c r="O26" s="67">
        <v>0.85</v>
      </c>
      <c r="P26" s="67">
        <v>0.85</v>
      </c>
      <c r="Q26" s="67">
        <v>0.85</v>
      </c>
      <c r="R26" s="67">
        <v>0.85</v>
      </c>
      <c r="S26" s="67">
        <v>0.85</v>
      </c>
      <c r="T26" s="67">
        <v>0.85</v>
      </c>
      <c r="U26" s="67">
        <v>0.85</v>
      </c>
      <c r="V26" s="67">
        <v>0.85</v>
      </c>
      <c r="W26" s="67">
        <v>0.85</v>
      </c>
      <c r="X26" s="67">
        <v>0.85</v>
      </c>
      <c r="Y26" s="67">
        <v>0.85</v>
      </c>
      <c r="Z26" s="67">
        <v>0.85</v>
      </c>
      <c r="AA26" s="67">
        <v>0.85</v>
      </c>
      <c r="AB26" s="67">
        <v>0.85</v>
      </c>
      <c r="AC26" s="67">
        <v>0.85</v>
      </c>
      <c r="AD26" s="67">
        <v>0.85</v>
      </c>
      <c r="AE26" s="67">
        <v>0.85</v>
      </c>
      <c r="AF26" s="67">
        <v>0.85</v>
      </c>
      <c r="AG26" s="67">
        <v>0.85</v>
      </c>
      <c r="AH26" s="67">
        <v>0.85</v>
      </c>
      <c r="AI26" s="67">
        <v>0.85</v>
      </c>
      <c r="AJ26" s="67">
        <v>0.85</v>
      </c>
      <c r="AK26" s="67">
        <v>0.85</v>
      </c>
      <c r="AL26" s="67">
        <v>0.85</v>
      </c>
      <c r="AM26" s="67">
        <v>0.85</v>
      </c>
      <c r="AN26" s="67">
        <v>0.85</v>
      </c>
      <c r="AO26" s="67">
        <v>0.85</v>
      </c>
      <c r="AP26" s="67">
        <v>0.85</v>
      </c>
      <c r="AQ26" s="67">
        <v>0.85</v>
      </c>
      <c r="AR26" s="67">
        <v>0.85</v>
      </c>
      <c r="AS26" s="67">
        <v>0.85</v>
      </c>
      <c r="AT26" s="67">
        <v>0.85</v>
      </c>
      <c r="AU26" s="67">
        <v>0.85</v>
      </c>
      <c r="AV26" s="67">
        <v>0.85</v>
      </c>
      <c r="AW26" s="67">
        <v>0.85</v>
      </c>
      <c r="AX26" s="67">
        <v>0.85</v>
      </c>
      <c r="AY26" s="67">
        <v>0.85</v>
      </c>
      <c r="AZ26" s="67">
        <v>0.85</v>
      </c>
      <c r="BA26" s="67">
        <v>0.85</v>
      </c>
      <c r="BB26" s="67">
        <v>0.85</v>
      </c>
      <c r="BC26" s="67">
        <v>0.85</v>
      </c>
      <c r="BD26" s="67">
        <v>0.85</v>
      </c>
    </row>
    <row r="27" spans="3:56" x14ac:dyDescent="0.25">
      <c r="C27" s="48"/>
      <c r="D27" s="50" t="s">
        <v>43</v>
      </c>
      <c r="E27" s="65">
        <v>0</v>
      </c>
      <c r="F27" s="65">
        <v>0</v>
      </c>
      <c r="G27" s="65">
        <v>0</v>
      </c>
      <c r="H27" s="65">
        <v>-4</v>
      </c>
      <c r="I27" s="65">
        <v>-4</v>
      </c>
      <c r="J27" s="65">
        <v>0</v>
      </c>
      <c r="K27" s="65">
        <v>-8</v>
      </c>
      <c r="L27" s="65">
        <v>-4</v>
      </c>
      <c r="M27" s="65">
        <v>-4</v>
      </c>
      <c r="N27" s="65">
        <v>-4</v>
      </c>
      <c r="O27" s="65">
        <v>-4</v>
      </c>
      <c r="P27" s="65">
        <v>0</v>
      </c>
      <c r="Q27" s="65">
        <v>-4</v>
      </c>
      <c r="R27" s="65">
        <v>0</v>
      </c>
      <c r="S27" s="65">
        <v>0</v>
      </c>
      <c r="T27" s="65">
        <v>-6</v>
      </c>
      <c r="U27" s="65">
        <v>-2</v>
      </c>
      <c r="V27" s="65">
        <v>0</v>
      </c>
      <c r="W27" s="65">
        <v>0</v>
      </c>
      <c r="X27" s="65">
        <v>2</v>
      </c>
      <c r="Y27" s="65">
        <v>0</v>
      </c>
      <c r="Z27" s="65">
        <v>0</v>
      </c>
      <c r="AA27" s="65">
        <v>8</v>
      </c>
      <c r="AB27" s="65">
        <v>6</v>
      </c>
      <c r="AC27" s="65">
        <v>4</v>
      </c>
      <c r="AD27" s="65">
        <v>-4</v>
      </c>
      <c r="AE27" s="65">
        <v>-4</v>
      </c>
      <c r="AF27" s="65">
        <v>0</v>
      </c>
      <c r="AG27" s="65">
        <v>-4</v>
      </c>
      <c r="AH27" s="65">
        <v>0</v>
      </c>
      <c r="AI27" s="65">
        <v>0</v>
      </c>
      <c r="AJ27" s="65">
        <v>0</v>
      </c>
      <c r="AK27" s="65">
        <v>0</v>
      </c>
      <c r="AL27" s="65">
        <v>0</v>
      </c>
      <c r="AM27" s="65">
        <v>0</v>
      </c>
      <c r="AN27" s="65">
        <v>0</v>
      </c>
      <c r="AO27" s="65">
        <v>0</v>
      </c>
      <c r="AP27" s="65">
        <v>0</v>
      </c>
      <c r="AQ27" s="65">
        <v>0</v>
      </c>
      <c r="AR27" s="65">
        <v>0</v>
      </c>
      <c r="AS27" s="65">
        <v>0</v>
      </c>
      <c r="AT27" s="65">
        <v>0</v>
      </c>
      <c r="AU27" s="65">
        <v>0</v>
      </c>
      <c r="AV27" s="65">
        <v>0</v>
      </c>
      <c r="AW27" s="65">
        <v>0</v>
      </c>
      <c r="AX27" s="65">
        <v>0</v>
      </c>
      <c r="AY27" s="65">
        <v>0</v>
      </c>
      <c r="AZ27" s="65">
        <v>8</v>
      </c>
      <c r="BA27" s="65">
        <v>4</v>
      </c>
      <c r="BB27" s="65">
        <v>0</v>
      </c>
      <c r="BC27" s="65">
        <v>0</v>
      </c>
      <c r="BD27" s="65">
        <v>0</v>
      </c>
    </row>
    <row r="28" spans="3:56" x14ac:dyDescent="0.25">
      <c r="C28" s="48"/>
      <c r="D28" s="51" t="s">
        <v>44</v>
      </c>
      <c r="E28" s="65">
        <v>0</v>
      </c>
      <c r="F28" s="65">
        <v>0</v>
      </c>
      <c r="G28" s="65">
        <v>0</v>
      </c>
      <c r="H28" s="65">
        <v>-4</v>
      </c>
      <c r="I28" s="65">
        <v>-4</v>
      </c>
      <c r="J28" s="65">
        <v>0</v>
      </c>
      <c r="K28" s="65">
        <v>-8</v>
      </c>
      <c r="L28" s="65">
        <v>-4</v>
      </c>
      <c r="M28" s="65">
        <v>-8</v>
      </c>
      <c r="N28" s="65">
        <v>0</v>
      </c>
      <c r="O28" s="65">
        <v>8</v>
      </c>
      <c r="P28" s="65">
        <v>8</v>
      </c>
      <c r="Q28" s="65">
        <v>0</v>
      </c>
      <c r="R28" s="65">
        <v>4</v>
      </c>
      <c r="S28" s="65">
        <v>8</v>
      </c>
      <c r="T28" s="65">
        <v>-4</v>
      </c>
      <c r="U28" s="65">
        <v>-2</v>
      </c>
      <c r="V28" s="65">
        <v>0</v>
      </c>
      <c r="W28" s="65">
        <v>0</v>
      </c>
      <c r="X28" s="65">
        <v>0</v>
      </c>
      <c r="Y28" s="65">
        <v>-4</v>
      </c>
      <c r="Z28" s="65">
        <v>-4</v>
      </c>
      <c r="AA28" s="65">
        <v>0</v>
      </c>
      <c r="AB28" s="65">
        <v>0</v>
      </c>
      <c r="AC28" s="65">
        <v>0</v>
      </c>
      <c r="AD28" s="65">
        <v>0</v>
      </c>
      <c r="AE28" s="65">
        <v>0</v>
      </c>
      <c r="AF28" s="65">
        <v>0</v>
      </c>
      <c r="AG28" s="65">
        <v>0</v>
      </c>
      <c r="AH28" s="65">
        <v>0</v>
      </c>
      <c r="AI28" s="65">
        <v>0</v>
      </c>
      <c r="AJ28" s="65">
        <v>0</v>
      </c>
      <c r="AK28" s="65">
        <v>0</v>
      </c>
      <c r="AL28" s="65">
        <v>0</v>
      </c>
      <c r="AM28" s="65">
        <v>0</v>
      </c>
      <c r="AN28" s="65">
        <v>0</v>
      </c>
      <c r="AO28" s="65">
        <v>0</v>
      </c>
      <c r="AP28" s="65">
        <v>0</v>
      </c>
      <c r="AQ28" s="65">
        <v>0</v>
      </c>
      <c r="AR28" s="65">
        <v>0</v>
      </c>
      <c r="AS28" s="65">
        <v>0</v>
      </c>
      <c r="AT28" s="65">
        <v>0</v>
      </c>
      <c r="AU28" s="65">
        <v>0</v>
      </c>
      <c r="AV28" s="65">
        <v>0</v>
      </c>
      <c r="AW28" s="65">
        <v>0</v>
      </c>
      <c r="AX28" s="65">
        <v>0</v>
      </c>
      <c r="AY28" s="65">
        <v>0</v>
      </c>
      <c r="AZ28" s="65">
        <v>0</v>
      </c>
      <c r="BA28" s="65">
        <v>0</v>
      </c>
      <c r="BB28" s="65">
        <v>0</v>
      </c>
      <c r="BC28" s="65">
        <v>0</v>
      </c>
      <c r="BD28" s="65">
        <v>0</v>
      </c>
    </row>
    <row r="29" spans="3:56" x14ac:dyDescent="0.25">
      <c r="C29" s="48"/>
      <c r="D29" s="52" t="s">
        <v>45</v>
      </c>
      <c r="E29" s="56">
        <f t="shared" ref="E29:BD29" si="3">E28-E7</f>
        <v>-67.549308167649286</v>
      </c>
      <c r="F29" s="56">
        <f t="shared" si="3"/>
        <v>-53.765303948939078</v>
      </c>
      <c r="G29" s="56">
        <f t="shared" si="3"/>
        <v>-44.998329070330982</v>
      </c>
      <c r="H29" s="56">
        <f t="shared" si="3"/>
        <v>-45.774675372544472</v>
      </c>
      <c r="I29" s="56">
        <f t="shared" si="3"/>
        <v>-44.219091943302637</v>
      </c>
      <c r="J29" s="56">
        <f t="shared" si="3"/>
        <v>-36.484986167440745</v>
      </c>
      <c r="K29" s="56">
        <f t="shared" si="3"/>
        <v>-39.783501826991937</v>
      </c>
      <c r="L29" s="56">
        <f t="shared" si="3"/>
        <v>-35.258819540059264</v>
      </c>
      <c r="M29" s="56">
        <f t="shared" si="3"/>
        <v>-39.919762444806878</v>
      </c>
      <c r="N29" s="56">
        <f t="shared" si="3"/>
        <v>-36.144616005355545</v>
      </c>
      <c r="O29" s="56">
        <f t="shared" si="3"/>
        <v>-31.56024405315123</v>
      </c>
      <c r="P29" s="56">
        <f t="shared" si="3"/>
        <v>-30.530191295503563</v>
      </c>
      <c r="Q29" s="56">
        <f t="shared" si="3"/>
        <v>-31.029252910408065</v>
      </c>
      <c r="R29" s="56">
        <f t="shared" si="3"/>
        <v>-27.966278606766128</v>
      </c>
      <c r="S29" s="56">
        <f t="shared" si="3"/>
        <v>-26.732900611812198</v>
      </c>
      <c r="T29" s="56">
        <f t="shared" si="3"/>
        <v>-37.623673685430667</v>
      </c>
      <c r="U29" s="56">
        <f t="shared" si="3"/>
        <v>-39.014517537090661</v>
      </c>
      <c r="V29" s="56">
        <f t="shared" si="3"/>
        <v>-38.833391614936211</v>
      </c>
      <c r="W29" s="56">
        <f t="shared" si="3"/>
        <v>-37.869894777205658</v>
      </c>
      <c r="X29" s="56">
        <f t="shared" si="3"/>
        <v>-38.660988890302171</v>
      </c>
      <c r="Y29" s="56">
        <f t="shared" si="3"/>
        <v>-39.478360478623301</v>
      </c>
      <c r="Z29" s="56">
        <f t="shared" si="3"/>
        <v>-35.966638282991681</v>
      </c>
      <c r="AA29" s="56">
        <f t="shared" si="3"/>
        <v>-37.124664187872604</v>
      </c>
      <c r="AB29" s="56">
        <f t="shared" si="3"/>
        <v>-35.611425308143524</v>
      </c>
      <c r="AC29" s="56">
        <f t="shared" si="3"/>
        <v>-33.859018993167545</v>
      </c>
      <c r="AD29" s="56">
        <f t="shared" si="3"/>
        <v>-29.245417678761321</v>
      </c>
      <c r="AE29" s="56">
        <f t="shared" si="3"/>
        <v>-27.675088600003566</v>
      </c>
      <c r="AF29" s="56">
        <f t="shared" si="3"/>
        <v>-29.928238981738211</v>
      </c>
      <c r="AG29" s="56">
        <f t="shared" si="3"/>
        <v>-27.348172172478325</v>
      </c>
      <c r="AH29" s="56">
        <f t="shared" si="3"/>
        <v>-32.373114580852295</v>
      </c>
      <c r="AI29" s="56">
        <f t="shared" si="3"/>
        <v>-32.53693145746896</v>
      </c>
      <c r="AJ29" s="56">
        <f t="shared" si="3"/>
        <v>-35.916942874325414</v>
      </c>
      <c r="AK29" s="56">
        <f t="shared" si="3"/>
        <v>-36.336190252141051</v>
      </c>
      <c r="AL29" s="56">
        <f t="shared" si="3"/>
        <v>-36.063554306636227</v>
      </c>
      <c r="AM29" s="56">
        <f t="shared" si="3"/>
        <v>-32.766980960930397</v>
      </c>
      <c r="AN29" s="56">
        <f t="shared" si="3"/>
        <v>-29.483572860389916</v>
      </c>
      <c r="AO29" s="56">
        <f t="shared" si="3"/>
        <v>-29.951611738898798</v>
      </c>
      <c r="AP29" s="56">
        <f t="shared" si="3"/>
        <v>-31.268178285298614</v>
      </c>
      <c r="AQ29" s="56">
        <f t="shared" si="3"/>
        <v>-33.410858460384368</v>
      </c>
      <c r="AR29" s="56">
        <f t="shared" si="3"/>
        <v>-37.970873325116507</v>
      </c>
      <c r="AS29" s="56">
        <f t="shared" si="3"/>
        <v>-39.560415909599087</v>
      </c>
      <c r="AT29" s="56">
        <f t="shared" si="3"/>
        <v>-39.967564193918079</v>
      </c>
      <c r="AU29" s="56">
        <f t="shared" si="3"/>
        <v>-46.190676548316354</v>
      </c>
      <c r="AV29" s="56">
        <f t="shared" si="3"/>
        <v>-52.804212048181626</v>
      </c>
      <c r="AW29" s="56">
        <f t="shared" si="3"/>
        <v>-59.880114825464574</v>
      </c>
      <c r="AX29" s="56">
        <f t="shared" si="3"/>
        <v>-59.162120378425641</v>
      </c>
      <c r="AY29" s="56">
        <f t="shared" si="3"/>
        <v>-99.525356437244824</v>
      </c>
      <c r="AZ29" s="56">
        <f t="shared" si="3"/>
        <v>-130.43606457003395</v>
      </c>
      <c r="BA29" s="56">
        <f t="shared" si="3"/>
        <v>-111.78202765148245</v>
      </c>
      <c r="BB29" s="56">
        <f t="shared" si="3"/>
        <v>-94.65717071087451</v>
      </c>
      <c r="BC29" s="56">
        <f t="shared" si="3"/>
        <v>-61.233205349453762</v>
      </c>
      <c r="BD29" s="56">
        <f t="shared" si="3"/>
        <v>-55.925349665036975</v>
      </c>
    </row>
    <row r="30" spans="3:56" x14ac:dyDescent="0.25">
      <c r="C30" s="48"/>
      <c r="D30" s="52" t="s">
        <v>51</v>
      </c>
      <c r="E30" s="56">
        <f t="shared" ref="E30:BD30" si="4">E135</f>
        <v>22.819852955876627</v>
      </c>
      <c r="F30" s="56">
        <f t="shared" si="4"/>
        <v>20.671297766377947</v>
      </c>
      <c r="G30" s="56">
        <f t="shared" si="4"/>
        <v>15.112117040240776</v>
      </c>
      <c r="H30" s="56">
        <f t="shared" si="4"/>
        <v>15.685128847836467</v>
      </c>
      <c r="I30" s="56">
        <f t="shared" si="4"/>
        <v>23.251665086904183</v>
      </c>
      <c r="J30" s="56">
        <f t="shared" si="4"/>
        <v>33.402812640049717</v>
      </c>
      <c r="K30" s="56">
        <f t="shared" si="4"/>
        <v>19.335486210532537</v>
      </c>
      <c r="L30" s="56">
        <f t="shared" si="4"/>
        <v>22.181533595619911</v>
      </c>
      <c r="M30" s="56">
        <f t="shared" si="4"/>
        <v>20.663966838680906</v>
      </c>
      <c r="N30" s="56">
        <f t="shared" si="4"/>
        <v>12.264066046076408</v>
      </c>
      <c r="O30" s="56">
        <f t="shared" si="4"/>
        <v>0.79432451052431929</v>
      </c>
      <c r="P30" s="56">
        <f t="shared" si="4"/>
        <v>4.9919795723403695</v>
      </c>
      <c r="Q30" s="56">
        <f t="shared" si="4"/>
        <v>16.094860107091975</v>
      </c>
      <c r="R30" s="56">
        <f t="shared" si="4"/>
        <v>18.76798643735269</v>
      </c>
      <c r="S30" s="56">
        <f t="shared" si="4"/>
        <v>13.834750977276897</v>
      </c>
      <c r="T30" s="56">
        <f t="shared" si="4"/>
        <v>2.8678211217019935</v>
      </c>
      <c r="U30" s="56">
        <f t="shared" si="4"/>
        <v>7.4549490353929144</v>
      </c>
      <c r="V30" s="56">
        <f t="shared" si="4"/>
        <v>1.052454079831648</v>
      </c>
      <c r="W30" s="56">
        <f t="shared" si="4"/>
        <v>0.97299798967235063</v>
      </c>
      <c r="X30" s="56">
        <f t="shared" si="4"/>
        <v>-4.1285465643456263</v>
      </c>
      <c r="Y30" s="56">
        <f t="shared" si="4"/>
        <v>-2.0962890552450801</v>
      </c>
      <c r="Z30" s="56">
        <f t="shared" si="4"/>
        <v>2.8877049654574733</v>
      </c>
      <c r="AA30" s="56">
        <f t="shared" si="4"/>
        <v>1.4844307290945977</v>
      </c>
      <c r="AB30" s="56">
        <f t="shared" si="4"/>
        <v>3.0779956269559534</v>
      </c>
      <c r="AC30" s="56">
        <f t="shared" si="4"/>
        <v>4.0805155509398503</v>
      </c>
      <c r="AD30" s="56">
        <f t="shared" si="4"/>
        <v>5.9818400614650642</v>
      </c>
      <c r="AE30" s="56">
        <f t="shared" si="4"/>
        <v>9.6131543289103121</v>
      </c>
      <c r="AF30" s="56">
        <f t="shared" si="4"/>
        <v>7.089954845853697</v>
      </c>
      <c r="AG30" s="56">
        <f t="shared" si="4"/>
        <v>9.6105029357566707</v>
      </c>
      <c r="AH30" s="56">
        <f t="shared" si="4"/>
        <v>2.9435591283282605</v>
      </c>
      <c r="AI30" s="56">
        <f t="shared" si="4"/>
        <v>2.7501673072286366</v>
      </c>
      <c r="AJ30" s="56">
        <f t="shared" si="4"/>
        <v>8.7272843964958753</v>
      </c>
      <c r="AK30" s="56">
        <f t="shared" si="4"/>
        <v>4.7941207171052298</v>
      </c>
      <c r="AL30" s="56">
        <f t="shared" si="4"/>
        <v>5.6361870213988681</v>
      </c>
      <c r="AM30" s="56">
        <f t="shared" si="4"/>
        <v>12.87508281687181</v>
      </c>
      <c r="AN30" s="56">
        <f t="shared" si="4"/>
        <v>19.041293267848545</v>
      </c>
      <c r="AO30" s="56">
        <f t="shared" si="4"/>
        <v>15.885974556104173</v>
      </c>
      <c r="AP30" s="56">
        <f t="shared" si="4"/>
        <v>10.810457166559118</v>
      </c>
      <c r="AQ30" s="56">
        <f t="shared" si="4"/>
        <v>3.311198381828163</v>
      </c>
      <c r="AR30" s="56">
        <f t="shared" si="4"/>
        <v>0.27306882995702608</v>
      </c>
      <c r="AS30" s="56">
        <f t="shared" si="4"/>
        <v>-5.5949707591117175</v>
      </c>
      <c r="AT30" s="56">
        <f t="shared" si="4"/>
        <v>5.8660241356077023</v>
      </c>
      <c r="AU30" s="56">
        <f t="shared" si="4"/>
        <v>39.58620678529752</v>
      </c>
      <c r="AV30" s="56">
        <f t="shared" si="4"/>
        <v>57.954559612205074</v>
      </c>
      <c r="AW30" s="56">
        <f t="shared" si="4"/>
        <v>116.85200299544037</v>
      </c>
      <c r="AX30" s="56">
        <f t="shared" si="4"/>
        <v>117.38854605346322</v>
      </c>
      <c r="AY30" s="56">
        <f t="shared" si="4"/>
        <v>46.726822093805708</v>
      </c>
      <c r="AZ30" s="56">
        <f t="shared" si="4"/>
        <v>13.214002377207123</v>
      </c>
      <c r="BA30" s="56">
        <f t="shared" si="4"/>
        <v>15.416196555144893</v>
      </c>
      <c r="BB30" s="56">
        <f t="shared" si="4"/>
        <v>16.819578237732344</v>
      </c>
      <c r="BC30" s="56">
        <f t="shared" si="4"/>
        <v>94.838461117822987</v>
      </c>
      <c r="BD30" s="56">
        <f t="shared" si="4"/>
        <v>91.984642406401321</v>
      </c>
    </row>
    <row r="31" spans="3:56" x14ac:dyDescent="0.25">
      <c r="C31" s="48"/>
      <c r="D31" s="49" t="s">
        <v>49</v>
      </c>
      <c r="E31" s="44">
        <f t="shared" ref="E31:BD31" si="5">SUM(E10:E16)</f>
        <v>8.875</v>
      </c>
      <c r="F31" s="44">
        <f t="shared" si="5"/>
        <v>5</v>
      </c>
      <c r="G31" s="44">
        <f t="shared" si="5"/>
        <v>0</v>
      </c>
      <c r="H31" s="44">
        <f t="shared" si="5"/>
        <v>9</v>
      </c>
      <c r="I31" s="44">
        <f t="shared" si="5"/>
        <v>1.125</v>
      </c>
      <c r="J31" s="44">
        <f t="shared" si="5"/>
        <v>1.1249999999999991</v>
      </c>
      <c r="K31" s="44">
        <f t="shared" si="5"/>
        <v>1</v>
      </c>
      <c r="L31" s="44">
        <f t="shared" si="5"/>
        <v>0</v>
      </c>
      <c r="M31" s="44">
        <f t="shared" si="5"/>
        <v>0</v>
      </c>
      <c r="N31" s="44">
        <f t="shared" si="5"/>
        <v>-5</v>
      </c>
      <c r="O31" s="44">
        <f t="shared" si="5"/>
        <v>0</v>
      </c>
      <c r="P31" s="44">
        <f t="shared" si="5"/>
        <v>0</v>
      </c>
      <c r="Q31" s="44">
        <f t="shared" si="5"/>
        <v>1</v>
      </c>
      <c r="R31" s="44">
        <f t="shared" si="5"/>
        <v>0</v>
      </c>
      <c r="S31" s="44">
        <f t="shared" si="5"/>
        <v>1</v>
      </c>
      <c r="T31" s="44">
        <f t="shared" si="5"/>
        <v>2</v>
      </c>
      <c r="U31" s="44">
        <f t="shared" si="5"/>
        <v>-2</v>
      </c>
      <c r="V31" s="44">
        <f t="shared" si="5"/>
        <v>0</v>
      </c>
      <c r="W31" s="44">
        <f t="shared" si="5"/>
        <v>0</v>
      </c>
      <c r="X31" s="44">
        <f t="shared" si="5"/>
        <v>-5</v>
      </c>
      <c r="Y31" s="44">
        <f t="shared" si="5"/>
        <v>0</v>
      </c>
      <c r="Z31" s="44">
        <f t="shared" si="5"/>
        <v>-6</v>
      </c>
      <c r="AA31" s="44">
        <f t="shared" si="5"/>
        <v>0</v>
      </c>
      <c r="AB31" s="44">
        <f t="shared" si="5"/>
        <v>0</v>
      </c>
      <c r="AC31" s="44">
        <f t="shared" si="5"/>
        <v>3</v>
      </c>
      <c r="AD31" s="44">
        <f t="shared" si="5"/>
        <v>0</v>
      </c>
      <c r="AE31" s="44">
        <f t="shared" si="5"/>
        <v>1</v>
      </c>
      <c r="AF31" s="44">
        <f t="shared" si="5"/>
        <v>0</v>
      </c>
      <c r="AG31" s="44">
        <f t="shared" si="5"/>
        <v>0</v>
      </c>
      <c r="AH31" s="44">
        <f t="shared" si="5"/>
        <v>6</v>
      </c>
      <c r="AI31" s="44">
        <f t="shared" si="5"/>
        <v>0</v>
      </c>
      <c r="AJ31" s="44">
        <f t="shared" si="5"/>
        <v>0</v>
      </c>
      <c r="AK31" s="44">
        <f t="shared" si="5"/>
        <v>3</v>
      </c>
      <c r="AL31" s="44">
        <f t="shared" si="5"/>
        <v>0</v>
      </c>
      <c r="AM31" s="44">
        <f t="shared" si="5"/>
        <v>0</v>
      </c>
      <c r="AN31" s="44">
        <f t="shared" si="5"/>
        <v>0</v>
      </c>
      <c r="AO31" s="44">
        <f t="shared" si="5"/>
        <v>0</v>
      </c>
      <c r="AP31" s="44">
        <f t="shared" si="5"/>
        <v>0</v>
      </c>
      <c r="AQ31" s="44">
        <f t="shared" si="5"/>
        <v>0</v>
      </c>
      <c r="AR31" s="44">
        <f t="shared" si="5"/>
        <v>0</v>
      </c>
      <c r="AS31" s="44">
        <f t="shared" si="5"/>
        <v>-15</v>
      </c>
      <c r="AT31" s="44">
        <f t="shared" si="5"/>
        <v>0</v>
      </c>
      <c r="AU31" s="44">
        <f t="shared" si="5"/>
        <v>-15</v>
      </c>
      <c r="AV31" s="44">
        <f t="shared" si="5"/>
        <v>5</v>
      </c>
      <c r="AW31" s="44">
        <f t="shared" si="5"/>
        <v>0</v>
      </c>
      <c r="AX31" s="44">
        <f t="shared" si="5"/>
        <v>14</v>
      </c>
      <c r="AY31" s="44">
        <f t="shared" si="5"/>
        <v>-3</v>
      </c>
      <c r="AZ31" s="44">
        <f t="shared" si="5"/>
        <v>6</v>
      </c>
      <c r="BA31" s="44">
        <f t="shared" si="5"/>
        <v>0</v>
      </c>
      <c r="BB31" s="44">
        <f t="shared" si="5"/>
        <v>0</v>
      </c>
      <c r="BC31" s="44">
        <f t="shared" si="5"/>
        <v>0</v>
      </c>
      <c r="BD31" s="44">
        <f t="shared" si="5"/>
        <v>0</v>
      </c>
    </row>
    <row r="32" spans="3:56" x14ac:dyDescent="0.25">
      <c r="C32" s="48"/>
      <c r="E32" s="42"/>
      <c r="F32" s="42"/>
      <c r="G32" s="42"/>
      <c r="H32" s="42"/>
      <c r="I32" s="42"/>
      <c r="J32" s="42"/>
      <c r="K32" s="42"/>
      <c r="L32" s="42"/>
      <c r="M32" s="42"/>
    </row>
    <row r="33" spans="3:56" x14ac:dyDescent="0.25">
      <c r="D33" s="46" t="s">
        <v>20</v>
      </c>
      <c r="E33" s="82">
        <f t="shared" ref="E33:BD33" si="6">E2</f>
        <v>44569</v>
      </c>
      <c r="F33" s="82">
        <f t="shared" si="6"/>
        <v>44576</v>
      </c>
      <c r="G33" s="82">
        <f t="shared" si="6"/>
        <v>44583</v>
      </c>
      <c r="H33" s="82">
        <f t="shared" si="6"/>
        <v>44590</v>
      </c>
      <c r="I33" s="82">
        <f t="shared" si="6"/>
        <v>44597</v>
      </c>
      <c r="J33" s="82">
        <f t="shared" si="6"/>
        <v>44604</v>
      </c>
      <c r="K33" s="82">
        <f t="shared" si="6"/>
        <v>44611</v>
      </c>
      <c r="L33" s="82">
        <f t="shared" si="6"/>
        <v>44618</v>
      </c>
      <c r="M33" s="82">
        <f t="shared" si="6"/>
        <v>44625</v>
      </c>
      <c r="N33" s="82">
        <f t="shared" si="6"/>
        <v>44632</v>
      </c>
      <c r="O33" s="82">
        <f t="shared" si="6"/>
        <v>44639</v>
      </c>
      <c r="P33" s="82">
        <f t="shared" si="6"/>
        <v>44646</v>
      </c>
      <c r="Q33" s="82">
        <f t="shared" si="6"/>
        <v>44653</v>
      </c>
      <c r="R33" s="82">
        <f t="shared" si="6"/>
        <v>44660</v>
      </c>
      <c r="S33" s="82">
        <f t="shared" si="6"/>
        <v>44667</v>
      </c>
      <c r="T33" s="82">
        <f t="shared" si="6"/>
        <v>44674</v>
      </c>
      <c r="U33" s="82">
        <f t="shared" si="6"/>
        <v>44681</v>
      </c>
      <c r="V33" s="82">
        <f t="shared" si="6"/>
        <v>44688</v>
      </c>
      <c r="W33" s="82">
        <f t="shared" si="6"/>
        <v>44695</v>
      </c>
      <c r="X33" s="82">
        <f t="shared" si="6"/>
        <v>44702</v>
      </c>
      <c r="Y33" s="82">
        <f t="shared" si="6"/>
        <v>44709</v>
      </c>
      <c r="Z33" s="82">
        <f t="shared" si="6"/>
        <v>44716</v>
      </c>
      <c r="AA33" s="82">
        <f t="shared" si="6"/>
        <v>44723</v>
      </c>
      <c r="AB33" s="82">
        <f t="shared" si="6"/>
        <v>44730</v>
      </c>
      <c r="AC33" s="82">
        <f t="shared" si="6"/>
        <v>44737</v>
      </c>
      <c r="AD33" s="82">
        <f t="shared" si="6"/>
        <v>44744</v>
      </c>
      <c r="AE33" s="82">
        <f t="shared" si="6"/>
        <v>44751</v>
      </c>
      <c r="AF33" s="82">
        <f t="shared" si="6"/>
        <v>44758</v>
      </c>
      <c r="AG33" s="82">
        <f t="shared" si="6"/>
        <v>44765</v>
      </c>
      <c r="AH33" s="82">
        <f t="shared" si="6"/>
        <v>44772</v>
      </c>
      <c r="AI33" s="82">
        <f t="shared" si="6"/>
        <v>44779</v>
      </c>
      <c r="AJ33" s="82">
        <f t="shared" si="6"/>
        <v>44786</v>
      </c>
      <c r="AK33" s="82">
        <f t="shared" si="6"/>
        <v>44793</v>
      </c>
      <c r="AL33" s="82">
        <f t="shared" si="6"/>
        <v>44800</v>
      </c>
      <c r="AM33" s="82">
        <f t="shared" si="6"/>
        <v>44807</v>
      </c>
      <c r="AN33" s="82">
        <f t="shared" si="6"/>
        <v>44814</v>
      </c>
      <c r="AO33" s="82">
        <f t="shared" si="6"/>
        <v>44821</v>
      </c>
      <c r="AP33" s="82">
        <f t="shared" si="6"/>
        <v>44828</v>
      </c>
      <c r="AQ33" s="82">
        <f t="shared" si="6"/>
        <v>44835</v>
      </c>
      <c r="AR33" s="82">
        <f t="shared" si="6"/>
        <v>44842</v>
      </c>
      <c r="AS33" s="82">
        <f t="shared" si="6"/>
        <v>44849</v>
      </c>
      <c r="AT33" s="82">
        <f t="shared" si="6"/>
        <v>44856</v>
      </c>
      <c r="AU33" s="82">
        <f t="shared" si="6"/>
        <v>44863</v>
      </c>
      <c r="AV33" s="82">
        <f t="shared" si="6"/>
        <v>44870</v>
      </c>
      <c r="AW33" s="82">
        <f t="shared" si="6"/>
        <v>44877</v>
      </c>
      <c r="AX33" s="82">
        <f t="shared" si="6"/>
        <v>44884</v>
      </c>
      <c r="AY33" s="82">
        <f t="shared" si="6"/>
        <v>44891</v>
      </c>
      <c r="AZ33" s="82">
        <f t="shared" si="6"/>
        <v>44898</v>
      </c>
      <c r="BA33" s="82">
        <f t="shared" si="6"/>
        <v>44905</v>
      </c>
      <c r="BB33" s="82">
        <f t="shared" si="6"/>
        <v>44912</v>
      </c>
      <c r="BC33" s="82">
        <f t="shared" si="6"/>
        <v>44919</v>
      </c>
      <c r="BD33" s="82">
        <f t="shared" si="6"/>
        <v>44926</v>
      </c>
    </row>
    <row r="34" spans="3:56" x14ac:dyDescent="0.25">
      <c r="C34" s="107" t="s">
        <v>20</v>
      </c>
      <c r="D34" s="41" t="s">
        <v>21</v>
      </c>
      <c r="E34" s="70">
        <v>3473.8690035731479</v>
      </c>
      <c r="F34" s="70">
        <v>2653.3885671929247</v>
      </c>
      <c r="G34" s="70">
        <v>2184.0499999999997</v>
      </c>
      <c r="H34" s="70">
        <v>2071</v>
      </c>
      <c r="I34" s="70">
        <v>2009.0919200000003</v>
      </c>
      <c r="J34" s="70">
        <v>1725.9219999999998</v>
      </c>
      <c r="K34" s="70">
        <v>1487.2439999999999</v>
      </c>
      <c r="L34" s="70">
        <v>1455.4759999999999</v>
      </c>
      <c r="M34" s="70">
        <v>1495.6039999999998</v>
      </c>
      <c r="N34" s="70">
        <v>1616.4059999999999</v>
      </c>
      <c r="O34" s="70">
        <v>1860.1</v>
      </c>
      <c r="P34" s="70">
        <v>1861.3539999999998</v>
      </c>
      <c r="Q34" s="70">
        <v>1493.9319999999998</v>
      </c>
      <c r="R34" s="70">
        <v>1414.93</v>
      </c>
      <c r="S34" s="70">
        <v>1417.0199999999998</v>
      </c>
      <c r="T34" s="70">
        <v>1802.1442999999999</v>
      </c>
      <c r="U34" s="70">
        <v>1583.9999999999998</v>
      </c>
      <c r="V34" s="70">
        <v>1725.731543525</v>
      </c>
      <c r="W34" s="70">
        <v>1489.3340000000001</v>
      </c>
      <c r="X34" s="70">
        <v>1462.164</v>
      </c>
      <c r="Y34" s="70">
        <v>1449.7493999999999</v>
      </c>
      <c r="Z34" s="70">
        <v>1227.6659999999999</v>
      </c>
      <c r="AA34" s="70">
        <v>1521.1020000000001</v>
      </c>
      <c r="AB34" s="70">
        <v>1435.412</v>
      </c>
      <c r="AC34" s="70">
        <v>1356.828</v>
      </c>
      <c r="AD34" s="70">
        <v>1169.5640000000001</v>
      </c>
      <c r="AE34" s="70">
        <v>1019.9199999999998</v>
      </c>
      <c r="AF34" s="70">
        <v>1141.558</v>
      </c>
      <c r="AG34" s="70">
        <v>1025.3539999999998</v>
      </c>
      <c r="AH34" s="70">
        <v>1220.56</v>
      </c>
      <c r="AI34" s="70">
        <v>1260.2699999999998</v>
      </c>
      <c r="AJ34" s="70">
        <v>1417.4379999999999</v>
      </c>
      <c r="AK34" s="70">
        <v>1480.556</v>
      </c>
      <c r="AL34" s="70">
        <v>1464.2539999999999</v>
      </c>
      <c r="AM34" s="70">
        <v>1333.59059010794</v>
      </c>
      <c r="AN34" s="70">
        <v>1179.7535396435421</v>
      </c>
      <c r="AO34" s="70">
        <v>1201.0924087062967</v>
      </c>
      <c r="AP34" s="70">
        <v>1258.7598537567912</v>
      </c>
      <c r="AQ34" s="70">
        <v>1369.5188971169541</v>
      </c>
      <c r="AR34" s="70">
        <v>1275.1660942080823</v>
      </c>
      <c r="AS34" s="70">
        <v>1346.4189490218796</v>
      </c>
      <c r="AT34" s="70">
        <v>1387.9945666650324</v>
      </c>
      <c r="AU34" s="70">
        <v>1471.3306369972302</v>
      </c>
      <c r="AV34" s="70">
        <v>1702.1279972531593</v>
      </c>
      <c r="AW34" s="70">
        <v>1819.8505027576075</v>
      </c>
      <c r="AX34" s="70">
        <v>1784.6389947888897</v>
      </c>
      <c r="AY34" s="70">
        <v>4249.6464110947309</v>
      </c>
      <c r="AZ34" s="70">
        <v>5932.2916304049286</v>
      </c>
      <c r="BA34" s="70">
        <v>5150.3642042827014</v>
      </c>
      <c r="BB34" s="70">
        <v>4281.7410456843954</v>
      </c>
      <c r="BC34" s="70">
        <v>2412.9676791134589</v>
      </c>
      <c r="BD34" s="70">
        <v>2171.0779099880624</v>
      </c>
    </row>
    <row r="35" spans="3:56" x14ac:dyDescent="0.25">
      <c r="C35" s="108"/>
      <c r="D35" s="41" t="s">
        <v>22</v>
      </c>
      <c r="E35" s="70">
        <v>485</v>
      </c>
      <c r="F35" s="70">
        <v>485</v>
      </c>
      <c r="G35" s="70">
        <v>485</v>
      </c>
      <c r="H35" s="70">
        <v>470</v>
      </c>
      <c r="I35" s="70">
        <v>470</v>
      </c>
      <c r="J35" s="70">
        <v>470</v>
      </c>
      <c r="K35" s="70">
        <v>450</v>
      </c>
      <c r="L35" s="70">
        <v>450</v>
      </c>
      <c r="M35" s="70">
        <v>450</v>
      </c>
      <c r="N35" s="70">
        <v>425</v>
      </c>
      <c r="O35" s="70">
        <v>425</v>
      </c>
      <c r="P35" s="70">
        <v>425</v>
      </c>
      <c r="Q35" s="70">
        <v>425</v>
      </c>
      <c r="R35" s="70">
        <v>425</v>
      </c>
      <c r="S35" s="70">
        <v>425</v>
      </c>
      <c r="T35" s="70">
        <v>425</v>
      </c>
      <c r="U35" s="70">
        <v>425</v>
      </c>
      <c r="V35" s="70">
        <v>425</v>
      </c>
      <c r="W35" s="70">
        <v>425</v>
      </c>
      <c r="X35" s="70">
        <v>425</v>
      </c>
      <c r="Y35" s="70">
        <v>425</v>
      </c>
      <c r="Z35" s="70">
        <v>425</v>
      </c>
      <c r="AA35" s="70">
        <v>425</v>
      </c>
      <c r="AB35" s="70">
        <v>425</v>
      </c>
      <c r="AC35" s="70">
        <v>425</v>
      </c>
      <c r="AD35" s="70">
        <v>425</v>
      </c>
      <c r="AE35" s="70">
        <v>425</v>
      </c>
      <c r="AF35" s="70">
        <v>425</v>
      </c>
      <c r="AG35" s="70">
        <v>425</v>
      </c>
      <c r="AH35" s="70">
        <v>425</v>
      </c>
      <c r="AI35" s="70">
        <v>425</v>
      </c>
      <c r="AJ35" s="70">
        <v>425</v>
      </c>
      <c r="AK35" s="70">
        <v>425</v>
      </c>
      <c r="AL35" s="70">
        <v>425</v>
      </c>
      <c r="AM35" s="70">
        <v>425</v>
      </c>
      <c r="AN35" s="70">
        <v>425</v>
      </c>
      <c r="AO35" s="70">
        <v>425</v>
      </c>
      <c r="AP35" s="70">
        <v>425</v>
      </c>
      <c r="AQ35" s="70">
        <v>425</v>
      </c>
      <c r="AR35" s="70">
        <v>425</v>
      </c>
      <c r="AS35" s="70">
        <v>425</v>
      </c>
      <c r="AT35" s="70">
        <v>425</v>
      </c>
      <c r="AU35" s="70">
        <v>425</v>
      </c>
      <c r="AV35" s="70">
        <v>475</v>
      </c>
      <c r="AW35" s="70">
        <v>475</v>
      </c>
      <c r="AX35" s="70">
        <v>475</v>
      </c>
      <c r="AY35" s="70">
        <v>475</v>
      </c>
      <c r="AZ35" s="70">
        <v>475</v>
      </c>
      <c r="BA35" s="70">
        <v>475</v>
      </c>
      <c r="BB35" s="70">
        <v>475</v>
      </c>
      <c r="BC35" s="70">
        <v>475</v>
      </c>
      <c r="BD35" s="70">
        <v>475</v>
      </c>
    </row>
    <row r="36" spans="3:56" x14ac:dyDescent="0.25">
      <c r="C36" s="108"/>
      <c r="D36" s="41" t="s">
        <v>30</v>
      </c>
      <c r="E36" s="68">
        <v>0.95</v>
      </c>
      <c r="F36" s="68">
        <v>0.95</v>
      </c>
      <c r="G36" s="68">
        <v>0.95</v>
      </c>
      <c r="H36" s="68">
        <v>0.95</v>
      </c>
      <c r="I36" s="68">
        <v>0.95</v>
      </c>
      <c r="J36" s="68">
        <v>0.95</v>
      </c>
      <c r="K36" s="68">
        <v>0.95</v>
      </c>
      <c r="L36" s="68">
        <v>0.95</v>
      </c>
      <c r="M36" s="68">
        <v>0.95</v>
      </c>
      <c r="N36" s="68">
        <v>0.95</v>
      </c>
      <c r="O36" s="68">
        <v>0.95</v>
      </c>
      <c r="P36" s="68">
        <v>0.95</v>
      </c>
      <c r="Q36" s="68">
        <v>0.95</v>
      </c>
      <c r="R36" s="68">
        <v>0.95</v>
      </c>
      <c r="S36" s="68">
        <v>0.95</v>
      </c>
      <c r="T36" s="68">
        <v>0.95</v>
      </c>
      <c r="U36" s="68">
        <v>0.95</v>
      </c>
      <c r="V36" s="68">
        <v>0.95</v>
      </c>
      <c r="W36" s="68">
        <v>0.95</v>
      </c>
      <c r="X36" s="68">
        <v>0.95</v>
      </c>
      <c r="Y36" s="68">
        <v>0.95</v>
      </c>
      <c r="Z36" s="68">
        <v>0.95</v>
      </c>
      <c r="AA36" s="68">
        <v>0.95</v>
      </c>
      <c r="AB36" s="68">
        <v>0.95</v>
      </c>
      <c r="AC36" s="68">
        <v>0.95</v>
      </c>
      <c r="AD36" s="68">
        <v>0.95</v>
      </c>
      <c r="AE36" s="68">
        <v>0.95</v>
      </c>
      <c r="AF36" s="68">
        <v>0.95</v>
      </c>
      <c r="AG36" s="68">
        <v>0.95</v>
      </c>
      <c r="AH36" s="68">
        <v>0.95</v>
      </c>
      <c r="AI36" s="68">
        <v>0.95</v>
      </c>
      <c r="AJ36" s="68">
        <v>0.95</v>
      </c>
      <c r="AK36" s="68">
        <v>0.95</v>
      </c>
      <c r="AL36" s="68">
        <v>0.95</v>
      </c>
      <c r="AM36" s="68">
        <v>0.95</v>
      </c>
      <c r="AN36" s="68">
        <v>0.95</v>
      </c>
      <c r="AO36" s="68">
        <v>0.95</v>
      </c>
      <c r="AP36" s="68">
        <v>0.95</v>
      </c>
      <c r="AQ36" s="68">
        <v>0.95</v>
      </c>
      <c r="AR36" s="68">
        <v>0.95</v>
      </c>
      <c r="AS36" s="68">
        <v>0.95</v>
      </c>
      <c r="AT36" s="68">
        <v>0.95</v>
      </c>
      <c r="AU36" s="68">
        <v>0.95</v>
      </c>
      <c r="AV36" s="68">
        <v>0.95</v>
      </c>
      <c r="AW36" s="68">
        <v>0.95</v>
      </c>
      <c r="AX36" s="68">
        <v>0.95</v>
      </c>
      <c r="AY36" s="68">
        <v>0.95</v>
      </c>
      <c r="AZ36" s="68">
        <v>0.95</v>
      </c>
      <c r="BA36" s="68">
        <v>0.95</v>
      </c>
      <c r="BB36" s="68">
        <v>0.95</v>
      </c>
      <c r="BC36" s="68">
        <v>0.95</v>
      </c>
      <c r="BD36" s="68">
        <v>0.95</v>
      </c>
    </row>
    <row r="37" spans="3:56" x14ac:dyDescent="0.25">
      <c r="C37" s="108"/>
      <c r="D37" s="41" t="s">
        <v>31</v>
      </c>
      <c r="E37" s="94">
        <v>0.22</v>
      </c>
      <c r="F37" s="94">
        <v>0.22</v>
      </c>
      <c r="G37" s="94">
        <v>0.22</v>
      </c>
      <c r="H37" s="94">
        <v>0.22</v>
      </c>
      <c r="I37" s="94">
        <v>0.22</v>
      </c>
      <c r="J37" s="94">
        <v>0.22</v>
      </c>
      <c r="K37" s="94">
        <v>0.22</v>
      </c>
      <c r="L37" s="94">
        <v>0.22</v>
      </c>
      <c r="M37" s="94">
        <v>0.22</v>
      </c>
      <c r="N37" s="94">
        <v>0.22</v>
      </c>
      <c r="O37" s="94">
        <v>0.22</v>
      </c>
      <c r="P37" s="94">
        <v>0.23249999999999998</v>
      </c>
      <c r="Q37" s="94">
        <v>0.24249999999999999</v>
      </c>
      <c r="R37" s="94">
        <v>0.25</v>
      </c>
      <c r="S37" s="94">
        <v>0.25</v>
      </c>
      <c r="T37" s="94">
        <v>0.25</v>
      </c>
      <c r="U37" s="94">
        <v>0.25</v>
      </c>
      <c r="V37" s="94">
        <v>0.25</v>
      </c>
      <c r="W37" s="94">
        <v>0.27</v>
      </c>
      <c r="X37" s="94">
        <v>0.29000000000000004</v>
      </c>
      <c r="Y37" s="94">
        <v>0.29000000000000004</v>
      </c>
      <c r="Z37" s="94">
        <v>0.29000000000000004</v>
      </c>
      <c r="AA37" s="94">
        <v>0.29000000000000004</v>
      </c>
      <c r="AB37" s="94">
        <v>0.29000000000000004</v>
      </c>
      <c r="AC37" s="94">
        <v>0.29000000000000004</v>
      </c>
      <c r="AD37" s="94">
        <v>0.27</v>
      </c>
      <c r="AE37" s="94">
        <v>0.23</v>
      </c>
      <c r="AF37" s="94">
        <v>0.23</v>
      </c>
      <c r="AG37" s="94">
        <v>0.23</v>
      </c>
      <c r="AH37" s="94">
        <v>0.23</v>
      </c>
      <c r="AI37" s="94">
        <v>0.23</v>
      </c>
      <c r="AJ37" s="94">
        <v>0.23</v>
      </c>
      <c r="AK37" s="94">
        <v>0.23</v>
      </c>
      <c r="AL37" s="94">
        <v>0.23</v>
      </c>
      <c r="AM37" s="94">
        <v>0.23</v>
      </c>
      <c r="AN37" s="94">
        <v>0.23</v>
      </c>
      <c r="AO37" s="94">
        <v>0.23</v>
      </c>
      <c r="AP37" s="94">
        <v>0.23</v>
      </c>
      <c r="AQ37" s="94">
        <v>0.23</v>
      </c>
      <c r="AR37" s="94">
        <v>0.24</v>
      </c>
      <c r="AS37" s="94">
        <v>0.24</v>
      </c>
      <c r="AT37" s="94">
        <v>0.24</v>
      </c>
      <c r="AU37" s="94">
        <v>0.24</v>
      </c>
      <c r="AV37" s="94">
        <v>0.24</v>
      </c>
      <c r="AW37" s="94">
        <v>0.24</v>
      </c>
      <c r="AX37" s="94">
        <v>0.24</v>
      </c>
      <c r="AY37" s="94">
        <v>0.24</v>
      </c>
      <c r="AZ37" s="94">
        <v>0.24</v>
      </c>
      <c r="BA37" s="94">
        <v>0.24</v>
      </c>
      <c r="BB37" s="94">
        <v>0.24</v>
      </c>
      <c r="BC37" s="94">
        <v>0.24</v>
      </c>
      <c r="BD37" s="94">
        <v>0.24</v>
      </c>
    </row>
    <row r="38" spans="3:56" x14ac:dyDescent="0.25">
      <c r="C38" s="108"/>
      <c r="D38" s="41" t="s">
        <v>33</v>
      </c>
      <c r="E38" s="83">
        <f>(E34*E35)/3600/40/E36/(1-E37)</f>
        <v>15.789721723018598</v>
      </c>
      <c r="F38" s="83">
        <f t="shared" ref="F38:BD38" si="7">(F34*F35)/3600/40/F36/(1-F37)</f>
        <v>12.060404999705431</v>
      </c>
      <c r="G38" s="83">
        <f t="shared" si="7"/>
        <v>9.9271278490028454</v>
      </c>
      <c r="H38" s="83">
        <f t="shared" si="7"/>
        <v>9.122150997150996</v>
      </c>
      <c r="I38" s="83">
        <f t="shared" si="7"/>
        <v>8.8494639601139617</v>
      </c>
      <c r="J38" s="83">
        <f t="shared" si="7"/>
        <v>7.602183048433047</v>
      </c>
      <c r="K38" s="83">
        <f t="shared" si="7"/>
        <v>6.2721153846153852</v>
      </c>
      <c r="L38" s="83">
        <f t="shared" si="7"/>
        <v>6.1381410256410254</v>
      </c>
      <c r="M38" s="83">
        <f t="shared" si="7"/>
        <v>6.307371794871794</v>
      </c>
      <c r="N38" s="84">
        <f t="shared" si="7"/>
        <v>6.4381143162393162</v>
      </c>
      <c r="O38" s="83">
        <f t="shared" si="7"/>
        <v>7.4087428774928785</v>
      </c>
      <c r="P38" s="83">
        <f t="shared" si="7"/>
        <v>7.5344824466159954</v>
      </c>
      <c r="Q38" s="83">
        <f t="shared" si="7"/>
        <v>6.127044371103775</v>
      </c>
      <c r="R38" s="83">
        <f t="shared" si="7"/>
        <v>5.8610648148148146</v>
      </c>
      <c r="S38" s="83">
        <f t="shared" si="7"/>
        <v>5.8697222222222214</v>
      </c>
      <c r="T38" s="83">
        <f t="shared" si="7"/>
        <v>7.4650226851851853</v>
      </c>
      <c r="U38" s="83">
        <f t="shared" si="7"/>
        <v>6.5614035087719289</v>
      </c>
      <c r="V38" s="83">
        <f t="shared" si="7"/>
        <v>7.1484981091435182</v>
      </c>
      <c r="W38" s="83">
        <f t="shared" si="7"/>
        <v>6.3382895738203961</v>
      </c>
      <c r="X38" s="83">
        <f t="shared" si="7"/>
        <v>6.3979460093896714</v>
      </c>
      <c r="Y38" s="83">
        <f t="shared" si="7"/>
        <v>6.3436238262910791</v>
      </c>
      <c r="Z38" s="83">
        <f t="shared" si="7"/>
        <v>5.3718603286384985</v>
      </c>
      <c r="AA38" s="83">
        <f t="shared" si="7"/>
        <v>6.6558392018779369</v>
      </c>
      <c r="AB38" s="83">
        <f t="shared" si="7"/>
        <v>6.2808881064162767</v>
      </c>
      <c r="AC38" s="83">
        <f t="shared" si="7"/>
        <v>5.9370305164319257</v>
      </c>
      <c r="AD38" s="83">
        <f t="shared" si="7"/>
        <v>4.9774162861491629</v>
      </c>
      <c r="AE38" s="83">
        <f t="shared" si="7"/>
        <v>4.1150793650793647</v>
      </c>
      <c r="AF38" s="83">
        <f t="shared" si="7"/>
        <v>4.6058531746031743</v>
      </c>
      <c r="AG38" s="83">
        <f t="shared" si="7"/>
        <v>4.1370039682539677</v>
      </c>
      <c r="AH38" s="83">
        <f t="shared" si="7"/>
        <v>4.9246031746031749</v>
      </c>
      <c r="AI38" s="83">
        <f t="shared" si="7"/>
        <v>5.084821428571427</v>
      </c>
      <c r="AJ38" s="83">
        <f t="shared" si="7"/>
        <v>5.7189484126984116</v>
      </c>
      <c r="AK38" s="83">
        <f t="shared" si="7"/>
        <v>5.9736111111111123</v>
      </c>
      <c r="AL38" s="83">
        <f t="shared" si="7"/>
        <v>5.9078373015873016</v>
      </c>
      <c r="AM38" s="83">
        <f t="shared" si="7"/>
        <v>5.3806485987304855</v>
      </c>
      <c r="AN38" s="83">
        <f t="shared" si="7"/>
        <v>4.7599610232826901</v>
      </c>
      <c r="AO38" s="83">
        <f t="shared" si="7"/>
        <v>4.8460571286186687</v>
      </c>
      <c r="AP38" s="83">
        <f t="shared" si="7"/>
        <v>5.0787284294698507</v>
      </c>
      <c r="AQ38" s="83">
        <f t="shared" si="7"/>
        <v>5.5256088258022471</v>
      </c>
      <c r="AR38" s="83">
        <f t="shared" si="7"/>
        <v>5.2126191716531523</v>
      </c>
      <c r="AS38" s="83">
        <f t="shared" si="7"/>
        <v>5.5038863240064133</v>
      </c>
      <c r="AT38" s="83">
        <f t="shared" si="7"/>
        <v>5.6738389776915854</v>
      </c>
      <c r="AU38" s="83">
        <f t="shared" si="7"/>
        <v>6.0144998530684708</v>
      </c>
      <c r="AV38" s="83">
        <f t="shared" si="7"/>
        <v>7.7765350751697699</v>
      </c>
      <c r="AW38" s="83">
        <f t="shared" si="7"/>
        <v>8.3143754694700647</v>
      </c>
      <c r="AX38" s="83">
        <f t="shared" si="7"/>
        <v>8.153504179408305</v>
      </c>
      <c r="AY38" s="83">
        <f t="shared" si="7"/>
        <v>19.415416717355313</v>
      </c>
      <c r="AZ38" s="83">
        <f t="shared" si="7"/>
        <v>27.102940562888019</v>
      </c>
      <c r="BA38" s="83">
        <f t="shared" si="7"/>
        <v>23.530538214010882</v>
      </c>
      <c r="BB38" s="83">
        <f t="shared" si="7"/>
        <v>19.562047906087333</v>
      </c>
      <c r="BC38" s="83">
        <f t="shared" si="7"/>
        <v>11.024157890686491</v>
      </c>
      <c r="BD38" s="83">
        <f t="shared" si="7"/>
        <v>9.9190328489951689</v>
      </c>
    </row>
    <row r="39" spans="3:56" x14ac:dyDescent="0.25">
      <c r="C39" s="108"/>
      <c r="E39" s="42"/>
      <c r="F39" s="42"/>
      <c r="G39" s="42"/>
      <c r="H39" s="42"/>
      <c r="I39" s="42"/>
      <c r="J39" s="42"/>
      <c r="K39" s="42"/>
      <c r="L39" s="42"/>
      <c r="M39" s="42"/>
    </row>
    <row r="40" spans="3:56" x14ac:dyDescent="0.25">
      <c r="C40" s="108"/>
      <c r="D40" s="49" t="s">
        <v>34</v>
      </c>
      <c r="E40" s="65">
        <v>2</v>
      </c>
      <c r="F40" s="65">
        <v>3</v>
      </c>
      <c r="G40" s="65">
        <v>3</v>
      </c>
      <c r="H40" s="65">
        <v>3</v>
      </c>
      <c r="I40" s="65">
        <v>3</v>
      </c>
      <c r="J40" s="65">
        <v>3</v>
      </c>
      <c r="K40" s="65">
        <v>0</v>
      </c>
      <c r="L40" s="65">
        <v>0</v>
      </c>
      <c r="M40" s="65">
        <v>0</v>
      </c>
      <c r="N40" s="65">
        <v>0</v>
      </c>
      <c r="O40" s="65">
        <v>0</v>
      </c>
      <c r="P40" s="65">
        <v>0</v>
      </c>
      <c r="Q40" s="65">
        <v>0</v>
      </c>
      <c r="R40" s="65">
        <v>0</v>
      </c>
      <c r="S40" s="65">
        <v>0</v>
      </c>
      <c r="T40" s="65">
        <v>0</v>
      </c>
      <c r="U40" s="65">
        <v>0</v>
      </c>
      <c r="V40" s="65">
        <v>0</v>
      </c>
      <c r="W40" s="65">
        <v>0</v>
      </c>
      <c r="X40" s="65">
        <v>0</v>
      </c>
      <c r="Y40" s="65">
        <v>0</v>
      </c>
      <c r="Z40" s="65">
        <v>0</v>
      </c>
      <c r="AA40" s="65">
        <v>0</v>
      </c>
      <c r="AB40" s="65">
        <v>0</v>
      </c>
      <c r="AC40" s="65">
        <v>0</v>
      </c>
      <c r="AD40" s="65">
        <v>0</v>
      </c>
      <c r="AE40" s="65">
        <v>0</v>
      </c>
      <c r="AF40" s="65">
        <v>0</v>
      </c>
      <c r="AG40" s="65">
        <v>0</v>
      </c>
      <c r="AH40" s="65">
        <v>0</v>
      </c>
      <c r="AI40" s="65">
        <v>0</v>
      </c>
      <c r="AJ40" s="65">
        <v>0</v>
      </c>
      <c r="AK40" s="65">
        <v>0</v>
      </c>
      <c r="AL40" s="65">
        <v>0</v>
      </c>
      <c r="AM40" s="65">
        <v>0</v>
      </c>
      <c r="AN40" s="65">
        <v>0</v>
      </c>
      <c r="AO40" s="65">
        <v>0</v>
      </c>
      <c r="AP40" s="65">
        <v>0</v>
      </c>
      <c r="AQ40" s="65">
        <v>0</v>
      </c>
      <c r="AR40" s="65">
        <v>0</v>
      </c>
      <c r="AS40" s="65">
        <v>0</v>
      </c>
      <c r="AT40" s="65">
        <v>0</v>
      </c>
      <c r="AU40" s="65">
        <v>0</v>
      </c>
      <c r="AV40" s="65">
        <v>0</v>
      </c>
      <c r="AW40" s="65">
        <v>0</v>
      </c>
      <c r="AX40" s="65">
        <v>0</v>
      </c>
      <c r="AY40" s="65">
        <v>0</v>
      </c>
      <c r="AZ40" s="65">
        <v>0</v>
      </c>
      <c r="BA40" s="65">
        <v>0</v>
      </c>
      <c r="BB40" s="65">
        <v>0</v>
      </c>
      <c r="BC40" s="65">
        <v>0</v>
      </c>
      <c r="BD40" s="65">
        <v>0</v>
      </c>
    </row>
    <row r="41" spans="3:56" x14ac:dyDescent="0.25">
      <c r="C41" s="108"/>
      <c r="D41" s="49" t="s">
        <v>35</v>
      </c>
      <c r="E41" s="65">
        <v>1</v>
      </c>
      <c r="F41" s="65">
        <v>1</v>
      </c>
      <c r="G41" s="65">
        <v>1</v>
      </c>
      <c r="H41" s="65">
        <v>1</v>
      </c>
      <c r="I41" s="65">
        <v>1</v>
      </c>
      <c r="J41" s="65">
        <v>1</v>
      </c>
      <c r="K41" s="65">
        <v>1</v>
      </c>
      <c r="L41" s="65">
        <v>1</v>
      </c>
      <c r="M41" s="65">
        <v>1</v>
      </c>
      <c r="N41" s="65">
        <v>1</v>
      </c>
      <c r="O41" s="65">
        <v>1</v>
      </c>
      <c r="P41" s="65">
        <v>1</v>
      </c>
      <c r="Q41" s="65">
        <v>1</v>
      </c>
      <c r="R41" s="65">
        <v>1</v>
      </c>
      <c r="S41" s="65">
        <v>1</v>
      </c>
      <c r="T41" s="65">
        <v>1</v>
      </c>
      <c r="U41" s="65">
        <v>1</v>
      </c>
      <c r="V41" s="65">
        <v>1</v>
      </c>
      <c r="W41" s="65">
        <v>1</v>
      </c>
      <c r="X41" s="65">
        <v>1</v>
      </c>
      <c r="Y41" s="65">
        <v>0.995</v>
      </c>
      <c r="Z41" s="65">
        <v>0.99002500000000004</v>
      </c>
      <c r="AA41" s="65">
        <v>0.98507487500000002</v>
      </c>
      <c r="AB41" s="65">
        <v>0.98014950062500006</v>
      </c>
      <c r="AC41" s="65">
        <v>0.97524875312187509</v>
      </c>
      <c r="AD41" s="65">
        <v>0.97037250935626573</v>
      </c>
      <c r="AE41" s="65">
        <v>0.96552064680948435</v>
      </c>
      <c r="AF41" s="65">
        <v>0.96069304357543694</v>
      </c>
      <c r="AG41" s="65">
        <v>0.95588957835755972</v>
      </c>
      <c r="AH41" s="65">
        <v>0.95111013046577197</v>
      </c>
      <c r="AI41" s="65">
        <v>0.94635457981344306</v>
      </c>
      <c r="AJ41" s="65">
        <v>0.94162280691437583</v>
      </c>
      <c r="AK41" s="65">
        <v>0.936914692879804</v>
      </c>
      <c r="AL41" s="65">
        <v>0.93223011941540501</v>
      </c>
      <c r="AM41" s="65">
        <v>0.92756896881832795</v>
      </c>
      <c r="AN41" s="65">
        <v>0.92293112397423627</v>
      </c>
      <c r="AO41" s="65">
        <v>0.91831646835436509</v>
      </c>
      <c r="AP41" s="65">
        <v>0.91372488601259327</v>
      </c>
      <c r="AQ41" s="65">
        <v>0.90915626158253027</v>
      </c>
      <c r="AR41" s="65">
        <v>0.90461048027461766</v>
      </c>
      <c r="AS41" s="65">
        <v>0.87294911346500603</v>
      </c>
      <c r="AT41" s="65">
        <v>0.84239589449373087</v>
      </c>
      <c r="AU41" s="65">
        <v>0.8129120381864503</v>
      </c>
      <c r="AV41" s="65">
        <v>0.78446011684992456</v>
      </c>
      <c r="AW41" s="65">
        <v>0.75700401276017715</v>
      </c>
      <c r="AX41" s="65">
        <v>0.73050887231357098</v>
      </c>
      <c r="AY41" s="65">
        <v>0.70494106178259597</v>
      </c>
      <c r="AZ41" s="65">
        <v>0.68026812462020514</v>
      </c>
      <c r="BA41" s="65">
        <v>0.67006410275090211</v>
      </c>
      <c r="BB41" s="65">
        <v>0.66001314120963861</v>
      </c>
      <c r="BC41" s="65">
        <v>0.650112944091494</v>
      </c>
      <c r="BD41" s="65">
        <v>0.64036124993012156</v>
      </c>
    </row>
    <row r="42" spans="3:56" x14ac:dyDescent="0.25">
      <c r="C42" s="108"/>
      <c r="D42" s="49" t="s">
        <v>36</v>
      </c>
      <c r="E42" s="65">
        <v>0</v>
      </c>
      <c r="F42" s="65">
        <v>0</v>
      </c>
      <c r="G42" s="65">
        <v>0</v>
      </c>
      <c r="H42" s="65">
        <v>0</v>
      </c>
      <c r="I42" s="65">
        <v>0</v>
      </c>
      <c r="J42" s="65">
        <v>0</v>
      </c>
      <c r="K42" s="65">
        <v>0</v>
      </c>
      <c r="L42" s="65">
        <v>0</v>
      </c>
      <c r="M42" s="65">
        <v>0</v>
      </c>
      <c r="N42" s="65">
        <v>0</v>
      </c>
      <c r="O42" s="65">
        <v>0</v>
      </c>
      <c r="P42" s="65">
        <v>0</v>
      </c>
      <c r="Q42" s="65">
        <v>0</v>
      </c>
      <c r="R42" s="65">
        <v>0</v>
      </c>
      <c r="S42" s="65">
        <v>0</v>
      </c>
      <c r="T42" s="65">
        <v>0</v>
      </c>
      <c r="U42" s="65">
        <v>0</v>
      </c>
      <c r="V42" s="65">
        <v>0</v>
      </c>
      <c r="W42" s="65">
        <v>0</v>
      </c>
      <c r="X42" s="65">
        <v>0</v>
      </c>
      <c r="Y42" s="65">
        <v>0</v>
      </c>
      <c r="Z42" s="65">
        <v>0</v>
      </c>
      <c r="AA42" s="65">
        <v>0</v>
      </c>
      <c r="AB42" s="65">
        <v>0</v>
      </c>
      <c r="AC42" s="65">
        <v>0</v>
      </c>
      <c r="AD42" s="65">
        <v>0</v>
      </c>
      <c r="AE42" s="65">
        <v>0</v>
      </c>
      <c r="AF42" s="65">
        <v>0</v>
      </c>
      <c r="AG42" s="65">
        <v>0</v>
      </c>
      <c r="AH42" s="65">
        <v>0</v>
      </c>
      <c r="AI42" s="65">
        <v>0</v>
      </c>
      <c r="AJ42" s="65">
        <v>0</v>
      </c>
      <c r="AK42" s="65">
        <v>0</v>
      </c>
      <c r="AL42" s="65">
        <v>0</v>
      </c>
      <c r="AM42" s="65">
        <v>0</v>
      </c>
      <c r="AN42" s="65">
        <v>0</v>
      </c>
      <c r="AO42" s="65">
        <v>0</v>
      </c>
      <c r="AP42" s="65">
        <v>0</v>
      </c>
      <c r="AQ42" s="65">
        <v>0</v>
      </c>
      <c r="AR42" s="65">
        <v>0</v>
      </c>
      <c r="AS42" s="65">
        <v>0</v>
      </c>
      <c r="AT42" s="65">
        <v>0</v>
      </c>
      <c r="AU42" s="65">
        <v>0</v>
      </c>
      <c r="AV42" s="65">
        <v>0</v>
      </c>
      <c r="AW42" s="65">
        <v>0</v>
      </c>
      <c r="AX42" s="65">
        <v>0</v>
      </c>
      <c r="AY42" s="65">
        <v>0</v>
      </c>
      <c r="AZ42" s="65">
        <v>0</v>
      </c>
      <c r="BA42" s="65">
        <v>0</v>
      </c>
      <c r="BB42" s="65">
        <v>0</v>
      </c>
      <c r="BC42" s="65">
        <v>0</v>
      </c>
      <c r="BD42" s="65">
        <v>0</v>
      </c>
    </row>
    <row r="43" spans="3:56" x14ac:dyDescent="0.25">
      <c r="C43" s="108"/>
      <c r="D43" s="49" t="s">
        <v>37</v>
      </c>
      <c r="E43" s="65">
        <v>0</v>
      </c>
      <c r="F43" s="65">
        <v>0</v>
      </c>
      <c r="G43" s="65">
        <v>0</v>
      </c>
      <c r="H43" s="65">
        <v>0</v>
      </c>
      <c r="I43" s="65">
        <v>0</v>
      </c>
      <c r="J43" s="65">
        <v>0</v>
      </c>
      <c r="K43" s="65">
        <v>0</v>
      </c>
      <c r="L43" s="65">
        <v>0</v>
      </c>
      <c r="M43" s="65">
        <v>0</v>
      </c>
      <c r="N43" s="65">
        <v>0</v>
      </c>
      <c r="O43" s="65">
        <v>0</v>
      </c>
      <c r="P43" s="65">
        <v>0</v>
      </c>
      <c r="Q43" s="65">
        <v>0</v>
      </c>
      <c r="R43" s="65">
        <v>0</v>
      </c>
      <c r="S43" s="65">
        <v>0</v>
      </c>
      <c r="T43" s="65">
        <v>0</v>
      </c>
      <c r="U43" s="65">
        <v>0</v>
      </c>
      <c r="V43" s="65">
        <v>0</v>
      </c>
      <c r="W43" s="65">
        <v>0</v>
      </c>
      <c r="X43" s="65">
        <v>0</v>
      </c>
      <c r="Y43" s="65">
        <v>0</v>
      </c>
      <c r="Z43" s="65">
        <v>0</v>
      </c>
      <c r="AA43" s="65">
        <v>0</v>
      </c>
      <c r="AB43" s="65">
        <v>0</v>
      </c>
      <c r="AC43" s="65">
        <v>0</v>
      </c>
      <c r="AD43" s="65">
        <v>0</v>
      </c>
      <c r="AE43" s="65">
        <v>0</v>
      </c>
      <c r="AF43" s="65">
        <v>0</v>
      </c>
      <c r="AG43" s="65">
        <v>0</v>
      </c>
      <c r="AH43" s="65">
        <v>0</v>
      </c>
      <c r="AI43" s="65">
        <v>0</v>
      </c>
      <c r="AJ43" s="65">
        <v>0</v>
      </c>
      <c r="AK43" s="65">
        <v>0</v>
      </c>
      <c r="AL43" s="65">
        <v>0</v>
      </c>
      <c r="AM43" s="65">
        <v>0</v>
      </c>
      <c r="AN43" s="65">
        <v>0</v>
      </c>
      <c r="AO43" s="65">
        <v>0</v>
      </c>
      <c r="AP43" s="65">
        <v>0</v>
      </c>
      <c r="AQ43" s="65">
        <v>0</v>
      </c>
      <c r="AR43" s="65">
        <v>0</v>
      </c>
      <c r="AS43" s="65">
        <v>0</v>
      </c>
      <c r="AT43" s="65">
        <v>0</v>
      </c>
      <c r="AU43" s="65">
        <v>0</v>
      </c>
      <c r="AV43" s="65">
        <v>0</v>
      </c>
      <c r="AW43" s="65">
        <v>0</v>
      </c>
      <c r="AX43" s="65">
        <v>0</v>
      </c>
      <c r="AY43" s="65">
        <v>0</v>
      </c>
      <c r="AZ43" s="65">
        <v>0</v>
      </c>
      <c r="BA43" s="65">
        <v>0</v>
      </c>
      <c r="BB43" s="65">
        <v>0</v>
      </c>
      <c r="BC43" s="65">
        <v>0</v>
      </c>
      <c r="BD43" s="65">
        <v>0</v>
      </c>
    </row>
    <row r="44" spans="3:56" x14ac:dyDescent="0.25">
      <c r="C44" s="108"/>
      <c r="D44" s="49" t="s">
        <v>38</v>
      </c>
      <c r="E44" s="65">
        <v>0</v>
      </c>
      <c r="F44" s="65">
        <v>0</v>
      </c>
      <c r="G44" s="65">
        <v>0</v>
      </c>
      <c r="H44" s="65">
        <v>0</v>
      </c>
      <c r="I44" s="65">
        <v>0</v>
      </c>
      <c r="J44" s="65">
        <v>0</v>
      </c>
      <c r="K44" s="65">
        <v>0</v>
      </c>
      <c r="L44" s="65">
        <v>0</v>
      </c>
      <c r="M44" s="65">
        <v>0</v>
      </c>
      <c r="N44" s="65">
        <v>0</v>
      </c>
      <c r="O44" s="65">
        <v>0</v>
      </c>
      <c r="P44" s="65">
        <v>0</v>
      </c>
      <c r="Q44" s="65">
        <v>0</v>
      </c>
      <c r="R44" s="65">
        <v>0</v>
      </c>
      <c r="S44" s="65">
        <v>0</v>
      </c>
      <c r="T44" s="65">
        <v>0</v>
      </c>
      <c r="U44" s="65">
        <v>0</v>
      </c>
      <c r="V44" s="65">
        <v>0</v>
      </c>
      <c r="W44" s="65">
        <v>0</v>
      </c>
      <c r="X44" s="65">
        <v>0</v>
      </c>
      <c r="Y44" s="65">
        <v>0</v>
      </c>
      <c r="Z44" s="65">
        <v>0</v>
      </c>
      <c r="AA44" s="65">
        <v>0</v>
      </c>
      <c r="AB44" s="65">
        <v>0</v>
      </c>
      <c r="AC44" s="65">
        <v>0</v>
      </c>
      <c r="AD44" s="65">
        <v>0</v>
      </c>
      <c r="AE44" s="65">
        <v>0</v>
      </c>
      <c r="AF44" s="65">
        <v>0</v>
      </c>
      <c r="AG44" s="65">
        <v>0</v>
      </c>
      <c r="AH44" s="65">
        <v>0</v>
      </c>
      <c r="AI44" s="65">
        <v>0</v>
      </c>
      <c r="AJ44" s="65">
        <v>0</v>
      </c>
      <c r="AK44" s="65">
        <v>0</v>
      </c>
      <c r="AL44" s="65">
        <v>0</v>
      </c>
      <c r="AM44" s="65">
        <v>0</v>
      </c>
      <c r="AN44" s="65">
        <v>0</v>
      </c>
      <c r="AO44" s="65">
        <v>0</v>
      </c>
      <c r="AP44" s="65">
        <v>0</v>
      </c>
      <c r="AQ44" s="65">
        <v>0</v>
      </c>
      <c r="AR44" s="65">
        <v>0</v>
      </c>
      <c r="AS44" s="65">
        <v>0</v>
      </c>
      <c r="AT44" s="65">
        <v>0</v>
      </c>
      <c r="AU44" s="65">
        <v>0</v>
      </c>
      <c r="AV44" s="65">
        <v>0</v>
      </c>
      <c r="AW44" s="65">
        <v>0</v>
      </c>
      <c r="AX44" s="65">
        <v>0</v>
      </c>
      <c r="AY44" s="65">
        <v>0</v>
      </c>
      <c r="AZ44" s="65">
        <v>0</v>
      </c>
      <c r="BA44" s="65">
        <v>0</v>
      </c>
      <c r="BB44" s="65">
        <v>0</v>
      </c>
      <c r="BC44" s="65">
        <v>0</v>
      </c>
      <c r="BD44" s="65">
        <v>0</v>
      </c>
    </row>
    <row r="45" spans="3:56" x14ac:dyDescent="0.25">
      <c r="C45" s="108"/>
      <c r="D45" s="49" t="s">
        <v>39</v>
      </c>
      <c r="E45" s="65">
        <v>17</v>
      </c>
      <c r="F45" s="65">
        <v>18</v>
      </c>
      <c r="G45" s="65">
        <v>4</v>
      </c>
      <c r="H45" s="65">
        <v>3</v>
      </c>
      <c r="I45" s="65">
        <v>3</v>
      </c>
      <c r="J45" s="65">
        <v>3</v>
      </c>
      <c r="K45" s="65">
        <v>3</v>
      </c>
      <c r="L45" s="65">
        <v>3</v>
      </c>
      <c r="M45" s="65">
        <v>3</v>
      </c>
      <c r="N45" s="65">
        <v>3</v>
      </c>
      <c r="O45" s="65">
        <v>3</v>
      </c>
      <c r="P45" s="65">
        <v>3</v>
      </c>
      <c r="Q45" s="65">
        <v>3</v>
      </c>
      <c r="R45" s="65">
        <v>4</v>
      </c>
      <c r="S45" s="65">
        <v>4</v>
      </c>
      <c r="T45" s="65">
        <v>4</v>
      </c>
      <c r="U45" s="65">
        <v>4</v>
      </c>
      <c r="V45" s="65">
        <v>3</v>
      </c>
      <c r="W45" s="65">
        <v>3</v>
      </c>
      <c r="X45" s="65">
        <v>3</v>
      </c>
      <c r="Y45" s="65">
        <v>2.9849999999999999</v>
      </c>
      <c r="Z45" s="65">
        <v>2.970075</v>
      </c>
      <c r="AA45" s="65">
        <v>2.955224625</v>
      </c>
      <c r="AB45" s="65">
        <v>2.9404485018750002</v>
      </c>
      <c r="AC45" s="65">
        <v>2.9257462593656252</v>
      </c>
      <c r="AD45" s="65">
        <v>3.9111175280687971</v>
      </c>
      <c r="AE45" s="65">
        <v>3.8915619404284532</v>
      </c>
      <c r="AF45" s="65">
        <v>3.8721041307263109</v>
      </c>
      <c r="AG45" s="65">
        <v>3.8527436100726793</v>
      </c>
      <c r="AH45" s="65">
        <v>3.8334798920223161</v>
      </c>
      <c r="AI45" s="65">
        <v>3.8143124925622045</v>
      </c>
      <c r="AJ45" s="65">
        <v>3.7952409300993937</v>
      </c>
      <c r="AK45" s="65">
        <v>3.7762647254488968</v>
      </c>
      <c r="AL45" s="65">
        <v>3.7573834018216523</v>
      </c>
      <c r="AM45" s="65">
        <v>3.7385964848125441</v>
      </c>
      <c r="AN45" s="65">
        <v>3.7199035023884814</v>
      </c>
      <c r="AO45" s="65">
        <v>3.7013039848765392</v>
      </c>
      <c r="AP45" s="65">
        <v>3.6827974649521567</v>
      </c>
      <c r="AQ45" s="65">
        <v>3.6643834776273958</v>
      </c>
      <c r="AR45" s="65">
        <v>3.646061560239259</v>
      </c>
      <c r="AS45" s="65">
        <v>3.5184494056308848</v>
      </c>
      <c r="AT45" s="65">
        <v>13.395303676433803</v>
      </c>
      <c r="AU45" s="65">
        <v>12.92646804775862</v>
      </c>
      <c r="AV45" s="65">
        <v>12.474041666087068</v>
      </c>
      <c r="AW45" s="65">
        <v>12.03745020777402</v>
      </c>
      <c r="AX45" s="65">
        <v>11.61613945050193</v>
      </c>
      <c r="AY45" s="65">
        <v>11.209574569734363</v>
      </c>
      <c r="AZ45" s="65">
        <v>10.81723945979366</v>
      </c>
      <c r="BA45" s="65">
        <v>10.654980867896755</v>
      </c>
      <c r="BB45" s="65">
        <v>10.495156154878304</v>
      </c>
      <c r="BC45" s="65">
        <v>10.337728812555129</v>
      </c>
      <c r="BD45" s="65">
        <v>10.182662880366802</v>
      </c>
    </row>
    <row r="46" spans="3:56" x14ac:dyDescent="0.25">
      <c r="C46" s="108"/>
      <c r="D46" s="49" t="s">
        <v>40</v>
      </c>
      <c r="E46" s="65">
        <v>7.875</v>
      </c>
      <c r="F46" s="65">
        <v>7.875</v>
      </c>
      <c r="G46" s="65">
        <v>4.5</v>
      </c>
      <c r="H46" s="65">
        <v>4.5</v>
      </c>
      <c r="I46" s="65">
        <v>4.5</v>
      </c>
      <c r="J46" s="65">
        <v>3.375</v>
      </c>
      <c r="K46" s="65">
        <v>4.5</v>
      </c>
      <c r="L46" s="65">
        <v>2.25</v>
      </c>
      <c r="M46" s="65">
        <v>3.375</v>
      </c>
      <c r="N46" s="65">
        <v>3.375</v>
      </c>
      <c r="O46" s="65">
        <v>3.375</v>
      </c>
      <c r="P46" s="65">
        <v>3.38</v>
      </c>
      <c r="Q46" s="65">
        <v>3.375</v>
      </c>
      <c r="R46" s="65">
        <v>3.375</v>
      </c>
      <c r="S46" s="65">
        <v>3.375</v>
      </c>
      <c r="T46" s="65">
        <v>3.375</v>
      </c>
      <c r="U46" s="65">
        <v>3.375</v>
      </c>
      <c r="V46" s="65">
        <v>3.375</v>
      </c>
      <c r="W46" s="65">
        <v>3.375</v>
      </c>
      <c r="X46" s="65">
        <v>3.375</v>
      </c>
      <c r="Y46" s="65">
        <v>3.3581249999999998</v>
      </c>
      <c r="Z46" s="65">
        <v>3.3413343749999997</v>
      </c>
      <c r="AA46" s="65">
        <v>3.3246277031249996</v>
      </c>
      <c r="AB46" s="65">
        <v>3.3080045646093748</v>
      </c>
      <c r="AC46" s="65">
        <v>3.2914645417863277</v>
      </c>
      <c r="AD46" s="65">
        <v>3.2750072190773962</v>
      </c>
      <c r="AE46" s="65">
        <v>3.2586321829820091</v>
      </c>
      <c r="AF46" s="65">
        <v>3.2423390220670991</v>
      </c>
      <c r="AG46" s="65">
        <v>3.2261273269567634</v>
      </c>
      <c r="AH46" s="65">
        <v>3.2099966903219794</v>
      </c>
      <c r="AI46" s="65">
        <v>3.1939467068703697</v>
      </c>
      <c r="AJ46" s="65">
        <v>3.1779769733360177</v>
      </c>
      <c r="AK46" s="65">
        <v>3.1620870884693377</v>
      </c>
      <c r="AL46" s="65">
        <v>3.146276653026991</v>
      </c>
      <c r="AM46" s="65">
        <v>3.1305452697618561</v>
      </c>
      <c r="AN46" s="65">
        <v>3.1148925434130468</v>
      </c>
      <c r="AO46" s="65">
        <v>3.0993180806959817</v>
      </c>
      <c r="AP46" s="65">
        <v>3.0838214902925016</v>
      </c>
      <c r="AQ46" s="65">
        <v>3.0684023828410392</v>
      </c>
      <c r="AR46" s="65">
        <v>3.053060370926834</v>
      </c>
      <c r="AS46" s="65">
        <v>2.9462032579443949</v>
      </c>
      <c r="AT46" s="65">
        <v>2.8430861439163411</v>
      </c>
      <c r="AU46" s="65">
        <v>2.7435781288792693</v>
      </c>
      <c r="AV46" s="65">
        <v>10.647552894368495</v>
      </c>
      <c r="AW46" s="65">
        <v>10.274888543065597</v>
      </c>
      <c r="AX46" s="65">
        <v>22.571517444058301</v>
      </c>
      <c r="AY46" s="65">
        <v>21.78151433351626</v>
      </c>
      <c r="AZ46" s="65">
        <v>21.01916133184319</v>
      </c>
      <c r="BA46" s="65">
        <v>20.703873911865543</v>
      </c>
      <c r="BB46" s="65">
        <v>20.393315803187559</v>
      </c>
      <c r="BC46" s="65">
        <v>20.087416066139745</v>
      </c>
      <c r="BD46" s="65">
        <v>19.78610482514765</v>
      </c>
    </row>
    <row r="47" spans="3:56" x14ac:dyDescent="0.25">
      <c r="C47" s="108"/>
      <c r="D47" s="50" t="s">
        <v>41</v>
      </c>
      <c r="E47" s="54">
        <f t="shared" ref="E47:BD47" si="8">(SUM(E40:E46)*E49)/((40*(1-E48)+40))</f>
        <v>0</v>
      </c>
      <c r="F47" s="54">
        <f t="shared" si="8"/>
        <v>0</v>
      </c>
      <c r="G47" s="54">
        <f t="shared" si="8"/>
        <v>0</v>
      </c>
      <c r="H47" s="54">
        <f t="shared" si="8"/>
        <v>0</v>
      </c>
      <c r="I47" s="54">
        <f t="shared" si="8"/>
        <v>0</v>
      </c>
      <c r="J47" s="54">
        <f t="shared" si="8"/>
        <v>0</v>
      </c>
      <c r="K47" s="54">
        <f t="shared" si="8"/>
        <v>0</v>
      </c>
      <c r="L47" s="54">
        <f t="shared" si="8"/>
        <v>0</v>
      </c>
      <c r="M47" s="54">
        <f t="shared" si="8"/>
        <v>0</v>
      </c>
      <c r="N47" s="54">
        <f t="shared" si="8"/>
        <v>0</v>
      </c>
      <c r="O47" s="54">
        <f t="shared" si="8"/>
        <v>0.64130434782608692</v>
      </c>
      <c r="P47" s="54">
        <f t="shared" si="8"/>
        <v>0</v>
      </c>
      <c r="Q47" s="54">
        <f t="shared" si="8"/>
        <v>0</v>
      </c>
      <c r="R47" s="54">
        <f t="shared" si="8"/>
        <v>0</v>
      </c>
      <c r="S47" s="54">
        <f t="shared" si="8"/>
        <v>0</v>
      </c>
      <c r="T47" s="54">
        <f t="shared" si="8"/>
        <v>0</v>
      </c>
      <c r="U47" s="54">
        <f t="shared" si="8"/>
        <v>1.4565217391304348</v>
      </c>
      <c r="V47" s="54">
        <f t="shared" si="8"/>
        <v>1.2826086956521738</v>
      </c>
      <c r="W47" s="54">
        <f t="shared" si="8"/>
        <v>1.2826086956521738</v>
      </c>
      <c r="X47" s="54">
        <f t="shared" si="8"/>
        <v>0.96195652173913049</v>
      </c>
      <c r="Y47" s="54">
        <f t="shared" si="8"/>
        <v>0</v>
      </c>
      <c r="Z47" s="54">
        <f t="shared" si="8"/>
        <v>-0.63490733695652168</v>
      </c>
      <c r="AA47" s="54">
        <f t="shared" si="8"/>
        <v>0</v>
      </c>
      <c r="AB47" s="54">
        <f t="shared" si="8"/>
        <v>0</v>
      </c>
      <c r="AC47" s="54">
        <f t="shared" si="8"/>
        <v>0</v>
      </c>
      <c r="AD47" s="54">
        <f t="shared" si="8"/>
        <v>-0.17731515775005344</v>
      </c>
      <c r="AE47" s="54">
        <f t="shared" si="8"/>
        <v>-0.70571432784521282</v>
      </c>
      <c r="AF47" s="54">
        <f t="shared" si="8"/>
        <v>0</v>
      </c>
      <c r="AG47" s="54">
        <f t="shared" si="8"/>
        <v>0</v>
      </c>
      <c r="AH47" s="54">
        <f t="shared" si="8"/>
        <v>0</v>
      </c>
      <c r="AI47" s="54">
        <f t="shared" si="8"/>
        <v>0</v>
      </c>
      <c r="AJ47" s="54">
        <f t="shared" si="8"/>
        <v>0</v>
      </c>
      <c r="AK47" s="54">
        <f t="shared" si="8"/>
        <v>0</v>
      </c>
      <c r="AL47" s="54">
        <f t="shared" si="8"/>
        <v>0</v>
      </c>
      <c r="AM47" s="54">
        <f t="shared" si="8"/>
        <v>0</v>
      </c>
      <c r="AN47" s="54">
        <f t="shared" si="8"/>
        <v>0</v>
      </c>
      <c r="AO47" s="54">
        <f t="shared" si="8"/>
        <v>0</v>
      </c>
      <c r="AP47" s="54">
        <f t="shared" si="8"/>
        <v>0</v>
      </c>
      <c r="AQ47" s="54">
        <f t="shared" si="8"/>
        <v>0</v>
      </c>
      <c r="AR47" s="54">
        <f t="shared" si="8"/>
        <v>0</v>
      </c>
      <c r="AS47" s="54">
        <f t="shared" si="8"/>
        <v>0</v>
      </c>
      <c r="AT47" s="54">
        <f t="shared" si="8"/>
        <v>0</v>
      </c>
      <c r="AU47" s="54">
        <f t="shared" si="8"/>
        <v>0</v>
      </c>
      <c r="AV47" s="54">
        <f t="shared" si="8"/>
        <v>0</v>
      </c>
      <c r="AW47" s="54">
        <f t="shared" si="8"/>
        <v>0</v>
      </c>
      <c r="AX47" s="54">
        <f t="shared" si="8"/>
        <v>0</v>
      </c>
      <c r="AY47" s="54">
        <f t="shared" si="8"/>
        <v>0</v>
      </c>
      <c r="AZ47" s="54">
        <f t="shared" si="8"/>
        <v>5.6550728550012268</v>
      </c>
      <c r="BA47" s="54">
        <f t="shared" si="8"/>
        <v>0</v>
      </c>
      <c r="BB47" s="54">
        <f t="shared" si="8"/>
        <v>0</v>
      </c>
      <c r="BC47" s="54">
        <f t="shared" si="8"/>
        <v>0</v>
      </c>
      <c r="BD47" s="54">
        <f t="shared" si="8"/>
        <v>0</v>
      </c>
    </row>
    <row r="48" spans="3:56" x14ac:dyDescent="0.25">
      <c r="C48" s="108"/>
      <c r="D48" s="50" t="s">
        <v>42</v>
      </c>
      <c r="E48" s="67">
        <v>0.85</v>
      </c>
      <c r="F48" s="67">
        <v>0.85</v>
      </c>
      <c r="G48" s="67">
        <v>0.85</v>
      </c>
      <c r="H48" s="67">
        <v>0.85</v>
      </c>
      <c r="I48" s="67">
        <v>0.85</v>
      </c>
      <c r="J48" s="67">
        <v>0.85</v>
      </c>
      <c r="K48" s="67">
        <v>0.85</v>
      </c>
      <c r="L48" s="67">
        <v>0.85</v>
      </c>
      <c r="M48" s="67">
        <v>0.85</v>
      </c>
      <c r="N48" s="67">
        <v>0.85</v>
      </c>
      <c r="O48" s="67">
        <v>0.85</v>
      </c>
      <c r="P48" s="67">
        <v>0.85</v>
      </c>
      <c r="Q48" s="67">
        <v>0.85</v>
      </c>
      <c r="R48" s="67">
        <v>0.85</v>
      </c>
      <c r="S48" s="67">
        <v>0.85</v>
      </c>
      <c r="T48" s="67">
        <v>0.85</v>
      </c>
      <c r="U48" s="67">
        <v>0.85</v>
      </c>
      <c r="V48" s="67">
        <v>0.85</v>
      </c>
      <c r="W48" s="67">
        <v>0.85</v>
      </c>
      <c r="X48" s="67">
        <v>0.85</v>
      </c>
      <c r="Y48" s="67">
        <v>0.85</v>
      </c>
      <c r="Z48" s="67">
        <v>0.85</v>
      </c>
      <c r="AA48" s="67">
        <v>0.85</v>
      </c>
      <c r="AB48" s="67">
        <v>0.85</v>
      </c>
      <c r="AC48" s="67">
        <v>0.85</v>
      </c>
      <c r="AD48" s="67">
        <v>0.85</v>
      </c>
      <c r="AE48" s="67">
        <v>0.85</v>
      </c>
      <c r="AF48" s="67">
        <v>0.85</v>
      </c>
      <c r="AG48" s="67">
        <v>0.85</v>
      </c>
      <c r="AH48" s="67">
        <v>0.85</v>
      </c>
      <c r="AI48" s="67">
        <v>0.85</v>
      </c>
      <c r="AJ48" s="67">
        <v>0.85</v>
      </c>
      <c r="AK48" s="67">
        <v>0.85</v>
      </c>
      <c r="AL48" s="67">
        <v>0.85</v>
      </c>
      <c r="AM48" s="67">
        <v>0.85</v>
      </c>
      <c r="AN48" s="67">
        <v>0.85</v>
      </c>
      <c r="AO48" s="67">
        <v>0.85</v>
      </c>
      <c r="AP48" s="67">
        <v>0.85</v>
      </c>
      <c r="AQ48" s="67">
        <v>0.85</v>
      </c>
      <c r="AR48" s="67">
        <v>0.85</v>
      </c>
      <c r="AS48" s="67">
        <v>0.85</v>
      </c>
      <c r="AT48" s="67">
        <v>0.85</v>
      </c>
      <c r="AU48" s="67">
        <v>0.85</v>
      </c>
      <c r="AV48" s="67">
        <v>0.85</v>
      </c>
      <c r="AW48" s="67">
        <v>0.85</v>
      </c>
      <c r="AX48" s="67">
        <v>0.85</v>
      </c>
      <c r="AY48" s="67">
        <v>0.85</v>
      </c>
      <c r="AZ48" s="67">
        <v>0.85</v>
      </c>
      <c r="BA48" s="67">
        <v>0.85</v>
      </c>
      <c r="BB48" s="67">
        <v>0.85</v>
      </c>
      <c r="BC48" s="67">
        <v>0.85</v>
      </c>
      <c r="BD48" s="67">
        <v>0.85</v>
      </c>
    </row>
    <row r="49" spans="3:56" x14ac:dyDescent="0.25">
      <c r="C49" s="108"/>
      <c r="D49" s="50" t="s">
        <v>43</v>
      </c>
      <c r="E49" s="65">
        <v>0</v>
      </c>
      <c r="F49" s="65">
        <v>0</v>
      </c>
      <c r="G49" s="65">
        <v>0</v>
      </c>
      <c r="H49" s="65">
        <v>0</v>
      </c>
      <c r="I49" s="65">
        <v>0</v>
      </c>
      <c r="J49" s="65">
        <v>0</v>
      </c>
      <c r="K49" s="65">
        <v>0</v>
      </c>
      <c r="L49" s="65">
        <v>0</v>
      </c>
      <c r="M49" s="65">
        <v>0</v>
      </c>
      <c r="N49" s="65">
        <v>0</v>
      </c>
      <c r="O49" s="65">
        <v>4</v>
      </c>
      <c r="P49" s="65">
        <v>0</v>
      </c>
      <c r="Q49" s="65">
        <v>0</v>
      </c>
      <c r="R49" s="65">
        <v>0</v>
      </c>
      <c r="S49" s="65">
        <v>0</v>
      </c>
      <c r="T49" s="65">
        <v>0</v>
      </c>
      <c r="U49" s="65">
        <v>8</v>
      </c>
      <c r="V49" s="65">
        <v>8</v>
      </c>
      <c r="W49" s="65">
        <v>8</v>
      </c>
      <c r="X49" s="65">
        <v>6</v>
      </c>
      <c r="Y49" s="65">
        <v>0</v>
      </c>
      <c r="Z49" s="65">
        <v>-4</v>
      </c>
      <c r="AA49" s="65">
        <v>0</v>
      </c>
      <c r="AB49" s="65">
        <v>0</v>
      </c>
      <c r="AC49" s="65">
        <v>0</v>
      </c>
      <c r="AD49" s="65">
        <v>-1</v>
      </c>
      <c r="AE49" s="65">
        <v>-4</v>
      </c>
      <c r="AF49" s="65">
        <v>0</v>
      </c>
      <c r="AG49" s="65">
        <v>0</v>
      </c>
      <c r="AH49" s="65">
        <v>0</v>
      </c>
      <c r="AI49" s="65">
        <v>0</v>
      </c>
      <c r="AJ49" s="65">
        <v>0</v>
      </c>
      <c r="AK49" s="65">
        <v>0</v>
      </c>
      <c r="AL49" s="65">
        <v>0</v>
      </c>
      <c r="AM49" s="65">
        <v>0</v>
      </c>
      <c r="AN49" s="65">
        <v>0</v>
      </c>
      <c r="AO49" s="65">
        <v>0</v>
      </c>
      <c r="AP49" s="65">
        <v>0</v>
      </c>
      <c r="AQ49" s="65">
        <v>0</v>
      </c>
      <c r="AR49" s="65">
        <v>0</v>
      </c>
      <c r="AS49" s="65">
        <v>0</v>
      </c>
      <c r="AT49" s="65">
        <v>0</v>
      </c>
      <c r="AU49" s="65">
        <v>0</v>
      </c>
      <c r="AV49" s="65">
        <v>0</v>
      </c>
      <c r="AW49" s="65">
        <v>0</v>
      </c>
      <c r="AX49" s="65">
        <v>0</v>
      </c>
      <c r="AY49" s="65">
        <v>0</v>
      </c>
      <c r="AZ49" s="65">
        <v>8</v>
      </c>
      <c r="BA49" s="65">
        <v>0</v>
      </c>
      <c r="BB49" s="65">
        <v>0</v>
      </c>
      <c r="BC49" s="65">
        <v>0</v>
      </c>
      <c r="BD49" s="65">
        <v>0</v>
      </c>
    </row>
    <row r="50" spans="3:56" x14ac:dyDescent="0.25">
      <c r="C50" s="108"/>
      <c r="D50" s="51" t="s">
        <v>44</v>
      </c>
      <c r="E50" s="61">
        <f t="shared" ref="E50:L50" si="9">SUM(E40:E47)</f>
        <v>27.875</v>
      </c>
      <c r="F50" s="61">
        <f t="shared" si="9"/>
        <v>29.875</v>
      </c>
      <c r="G50" s="61">
        <f t="shared" si="9"/>
        <v>12.5</v>
      </c>
      <c r="H50" s="61">
        <f t="shared" si="9"/>
        <v>11.5</v>
      </c>
      <c r="I50" s="61">
        <f t="shared" si="9"/>
        <v>11.5</v>
      </c>
      <c r="J50" s="61">
        <f t="shared" si="9"/>
        <v>10.375</v>
      </c>
      <c r="K50" s="61">
        <f t="shared" si="9"/>
        <v>8.5</v>
      </c>
      <c r="L50" s="61">
        <f t="shared" si="9"/>
        <v>6.25</v>
      </c>
      <c r="M50" s="61">
        <f t="shared" ref="M50:BD50" si="10">SUM(M40:M47)</f>
        <v>7.375</v>
      </c>
      <c r="N50" s="61">
        <f t="shared" si="10"/>
        <v>7.375</v>
      </c>
      <c r="O50" s="61">
        <f t="shared" si="10"/>
        <v>8.016304347826086</v>
      </c>
      <c r="P50" s="61">
        <f t="shared" si="10"/>
        <v>7.38</v>
      </c>
      <c r="Q50" s="61">
        <f t="shared" si="10"/>
        <v>7.375</v>
      </c>
      <c r="R50" s="61">
        <f t="shared" si="10"/>
        <v>8.375</v>
      </c>
      <c r="S50" s="61">
        <f t="shared" si="10"/>
        <v>8.375</v>
      </c>
      <c r="T50" s="61">
        <f t="shared" si="10"/>
        <v>8.375</v>
      </c>
      <c r="U50" s="61">
        <f t="shared" si="10"/>
        <v>9.8315217391304355</v>
      </c>
      <c r="V50" s="61">
        <f t="shared" si="10"/>
        <v>8.6576086956521738</v>
      </c>
      <c r="W50" s="61">
        <f t="shared" si="10"/>
        <v>8.6576086956521738</v>
      </c>
      <c r="X50" s="61">
        <f t="shared" si="10"/>
        <v>8.3369565217391308</v>
      </c>
      <c r="Y50" s="61">
        <f t="shared" si="10"/>
        <v>7.3381249999999998</v>
      </c>
      <c r="Z50" s="61">
        <f t="shared" si="10"/>
        <v>6.666527038043478</v>
      </c>
      <c r="AA50" s="61">
        <f t="shared" si="10"/>
        <v>7.2649272031249996</v>
      </c>
      <c r="AB50" s="61">
        <f t="shared" si="10"/>
        <v>7.228602567109375</v>
      </c>
      <c r="AC50" s="61">
        <f t="shared" si="10"/>
        <v>7.1924595542738281</v>
      </c>
      <c r="AD50" s="61">
        <f t="shared" si="10"/>
        <v>7.9791820987524051</v>
      </c>
      <c r="AE50" s="61">
        <f t="shared" si="10"/>
        <v>7.4100004423747343</v>
      </c>
      <c r="AF50" s="61">
        <f t="shared" si="10"/>
        <v>8.0751361963688471</v>
      </c>
      <c r="AG50" s="61">
        <f t="shared" si="10"/>
        <v>8.0347605153870028</v>
      </c>
      <c r="AH50" s="61">
        <f t="shared" si="10"/>
        <v>7.9945867128100678</v>
      </c>
      <c r="AI50" s="61">
        <f t="shared" si="10"/>
        <v>7.9546137792460172</v>
      </c>
      <c r="AJ50" s="61">
        <f t="shared" si="10"/>
        <v>7.9148407103497878</v>
      </c>
      <c r="AK50" s="61">
        <f t="shared" si="10"/>
        <v>7.8752665067980381</v>
      </c>
      <c r="AL50" s="61">
        <f t="shared" si="10"/>
        <v>7.8358901742640485</v>
      </c>
      <c r="AM50" s="61">
        <f t="shared" si="10"/>
        <v>7.796710723392728</v>
      </c>
      <c r="AN50" s="61">
        <f t="shared" si="10"/>
        <v>7.7577271697757642</v>
      </c>
      <c r="AO50" s="61">
        <f t="shared" si="10"/>
        <v>7.7189385339268863</v>
      </c>
      <c r="AP50" s="61">
        <f t="shared" si="10"/>
        <v>7.6803438412572511</v>
      </c>
      <c r="AQ50" s="61">
        <f t="shared" si="10"/>
        <v>7.6419421220509651</v>
      </c>
      <c r="AR50" s="61">
        <f t="shared" si="10"/>
        <v>7.6037324114407099</v>
      </c>
      <c r="AS50" s="61">
        <f t="shared" si="10"/>
        <v>7.3376017770402857</v>
      </c>
      <c r="AT50" s="61">
        <f t="shared" si="10"/>
        <v>17.080785714843874</v>
      </c>
      <c r="AU50" s="61">
        <f t="shared" si="10"/>
        <v>16.48295821482434</v>
      </c>
      <c r="AV50" s="61">
        <f t="shared" si="10"/>
        <v>23.906054677305487</v>
      </c>
      <c r="AW50" s="61">
        <f t="shared" si="10"/>
        <v>23.069342763599792</v>
      </c>
      <c r="AX50" s="61">
        <f t="shared" si="10"/>
        <v>34.918165766873798</v>
      </c>
      <c r="AY50" s="61">
        <f t="shared" si="10"/>
        <v>33.696029965033219</v>
      </c>
      <c r="AZ50" s="61">
        <f t="shared" si="10"/>
        <v>38.171741771258283</v>
      </c>
      <c r="BA50" s="61">
        <f t="shared" si="10"/>
        <v>32.028918882513203</v>
      </c>
      <c r="BB50" s="61">
        <f t="shared" si="10"/>
        <v>31.548485099275503</v>
      </c>
      <c r="BC50" s="61">
        <f t="shared" si="10"/>
        <v>31.075257822786369</v>
      </c>
      <c r="BD50" s="61">
        <f t="shared" si="10"/>
        <v>30.609128955444575</v>
      </c>
    </row>
    <row r="51" spans="3:56" x14ac:dyDescent="0.25">
      <c r="C51" s="108"/>
      <c r="D51" s="52" t="s">
        <v>45</v>
      </c>
      <c r="E51" s="56">
        <f>E50-E38</f>
        <v>12.085278276981402</v>
      </c>
      <c r="F51" s="56">
        <f t="shared" ref="F51:BD51" si="11">F50-F38</f>
        <v>17.814595000294567</v>
      </c>
      <c r="G51" s="56">
        <f t="shared" si="11"/>
        <v>2.5728721509971546</v>
      </c>
      <c r="H51" s="56">
        <f t="shared" si="11"/>
        <v>2.377849002849004</v>
      </c>
      <c r="I51" s="56">
        <f t="shared" si="11"/>
        <v>2.6505360398860383</v>
      </c>
      <c r="J51" s="56">
        <f t="shared" si="11"/>
        <v>2.772816951566953</v>
      </c>
      <c r="K51" s="56">
        <f t="shared" si="11"/>
        <v>2.2278846153846148</v>
      </c>
      <c r="L51" s="56">
        <f t="shared" si="11"/>
        <v>0.11185897435897463</v>
      </c>
      <c r="M51" s="56">
        <f t="shared" si="11"/>
        <v>1.067628205128206</v>
      </c>
      <c r="N51" s="56">
        <f t="shared" si="11"/>
        <v>0.93688568376068382</v>
      </c>
      <c r="O51" s="56">
        <f t="shared" si="11"/>
        <v>0.60756147033320751</v>
      </c>
      <c r="P51" s="56">
        <f t="shared" si="11"/>
        <v>-0.15448244661599553</v>
      </c>
      <c r="Q51" s="56">
        <f t="shared" si="11"/>
        <v>1.247955628896225</v>
      </c>
      <c r="R51" s="56">
        <f t="shared" si="11"/>
        <v>2.5139351851851854</v>
      </c>
      <c r="S51" s="56">
        <f t="shared" si="11"/>
        <v>2.5052777777777786</v>
      </c>
      <c r="T51" s="56">
        <f t="shared" si="11"/>
        <v>0.9099773148148147</v>
      </c>
      <c r="U51" s="56">
        <f t="shared" si="11"/>
        <v>3.2701182303585066</v>
      </c>
      <c r="V51" s="56">
        <f t="shared" si="11"/>
        <v>1.5091105865086556</v>
      </c>
      <c r="W51" s="56">
        <f t="shared" si="11"/>
        <v>2.3193191218317777</v>
      </c>
      <c r="X51" s="56">
        <f t="shared" si="11"/>
        <v>1.9390105123494594</v>
      </c>
      <c r="Y51" s="56">
        <f t="shared" si="11"/>
        <v>0.99450117370892066</v>
      </c>
      <c r="Z51" s="56">
        <f t="shared" si="11"/>
        <v>1.2946667094049795</v>
      </c>
      <c r="AA51" s="56">
        <f t="shared" si="11"/>
        <v>0.60908800124706275</v>
      </c>
      <c r="AB51" s="56">
        <f t="shared" si="11"/>
        <v>0.94771446069309828</v>
      </c>
      <c r="AC51" s="56">
        <f t="shared" si="11"/>
        <v>1.2554290378419024</v>
      </c>
      <c r="AD51" s="56">
        <f t="shared" si="11"/>
        <v>3.0017658126032423</v>
      </c>
      <c r="AE51" s="56">
        <f t="shared" si="11"/>
        <v>3.2949210772953696</v>
      </c>
      <c r="AF51" s="56">
        <f t="shared" si="11"/>
        <v>3.4692830217656727</v>
      </c>
      <c r="AG51" s="56">
        <f t="shared" si="11"/>
        <v>3.8977565471330351</v>
      </c>
      <c r="AH51" s="56">
        <f t="shared" si="11"/>
        <v>3.069983538206893</v>
      </c>
      <c r="AI51" s="56">
        <f t="shared" si="11"/>
        <v>2.8697923506745902</v>
      </c>
      <c r="AJ51" s="56">
        <f t="shared" si="11"/>
        <v>2.1958922976513762</v>
      </c>
      <c r="AK51" s="56">
        <f t="shared" si="11"/>
        <v>1.9016553956869258</v>
      </c>
      <c r="AL51" s="56">
        <f t="shared" si="11"/>
        <v>1.928052872676747</v>
      </c>
      <c r="AM51" s="56">
        <f t="shared" si="11"/>
        <v>2.4160621246622425</v>
      </c>
      <c r="AN51" s="56">
        <f t="shared" si="11"/>
        <v>2.997766146493074</v>
      </c>
      <c r="AO51" s="56">
        <f t="shared" si="11"/>
        <v>2.8728814053082177</v>
      </c>
      <c r="AP51" s="56">
        <f t="shared" si="11"/>
        <v>2.6016154117874004</v>
      </c>
      <c r="AQ51" s="56">
        <f t="shared" si="11"/>
        <v>2.116333296248718</v>
      </c>
      <c r="AR51" s="56">
        <f t="shared" si="11"/>
        <v>2.3911132397875576</v>
      </c>
      <c r="AS51" s="56">
        <f t="shared" si="11"/>
        <v>1.8337154530338724</v>
      </c>
      <c r="AT51" s="56">
        <f t="shared" si="11"/>
        <v>11.406946737152289</v>
      </c>
      <c r="AU51" s="56">
        <f t="shared" si="11"/>
        <v>10.468458361755868</v>
      </c>
      <c r="AV51" s="56">
        <f t="shared" si="11"/>
        <v>16.129519602135716</v>
      </c>
      <c r="AW51" s="56">
        <f t="shared" si="11"/>
        <v>14.754967294129727</v>
      </c>
      <c r="AX51" s="56">
        <f t="shared" si="11"/>
        <v>26.764661587465493</v>
      </c>
      <c r="AY51" s="56">
        <f t="shared" si="11"/>
        <v>14.280613247677906</v>
      </c>
      <c r="AZ51" s="56">
        <f t="shared" si="11"/>
        <v>11.068801208370264</v>
      </c>
      <c r="BA51" s="56">
        <f t="shared" si="11"/>
        <v>8.4983806685023211</v>
      </c>
      <c r="BB51" s="56">
        <f t="shared" si="11"/>
        <v>11.98643719318817</v>
      </c>
      <c r="BC51" s="56">
        <f t="shared" si="11"/>
        <v>20.051099932099881</v>
      </c>
      <c r="BD51" s="56">
        <f t="shared" si="11"/>
        <v>20.690096106449406</v>
      </c>
    </row>
    <row r="52" spans="3:56" x14ac:dyDescent="0.25">
      <c r="C52" s="48"/>
      <c r="E52" s="42"/>
      <c r="F52" s="42"/>
      <c r="G52" s="42"/>
      <c r="H52" s="42"/>
      <c r="I52" s="42"/>
      <c r="J52" s="42"/>
      <c r="K52" s="42"/>
      <c r="L52" s="42"/>
      <c r="M52" s="42"/>
    </row>
    <row r="53" spans="3:56" x14ac:dyDescent="0.25">
      <c r="D53" s="46" t="s">
        <v>19</v>
      </c>
      <c r="E53" s="82">
        <f t="shared" ref="E53:BD53" si="12">E2</f>
        <v>44569</v>
      </c>
      <c r="F53" s="82">
        <f t="shared" si="12"/>
        <v>44576</v>
      </c>
      <c r="G53" s="82">
        <f t="shared" si="12"/>
        <v>44583</v>
      </c>
      <c r="H53" s="82">
        <f t="shared" si="12"/>
        <v>44590</v>
      </c>
      <c r="I53" s="82">
        <f t="shared" si="12"/>
        <v>44597</v>
      </c>
      <c r="J53" s="82">
        <f t="shared" si="12"/>
        <v>44604</v>
      </c>
      <c r="K53" s="82">
        <f t="shared" si="12"/>
        <v>44611</v>
      </c>
      <c r="L53" s="82">
        <f t="shared" si="12"/>
        <v>44618</v>
      </c>
      <c r="M53" s="82">
        <f t="shared" si="12"/>
        <v>44625</v>
      </c>
      <c r="N53" s="82">
        <f t="shared" si="12"/>
        <v>44632</v>
      </c>
      <c r="O53" s="82">
        <f t="shared" si="12"/>
        <v>44639</v>
      </c>
      <c r="P53" s="82">
        <f t="shared" si="12"/>
        <v>44646</v>
      </c>
      <c r="Q53" s="82">
        <f t="shared" si="12"/>
        <v>44653</v>
      </c>
      <c r="R53" s="82">
        <f t="shared" si="12"/>
        <v>44660</v>
      </c>
      <c r="S53" s="82">
        <f t="shared" si="12"/>
        <v>44667</v>
      </c>
      <c r="T53" s="82">
        <f t="shared" si="12"/>
        <v>44674</v>
      </c>
      <c r="U53" s="82">
        <f t="shared" si="12"/>
        <v>44681</v>
      </c>
      <c r="V53" s="82">
        <f t="shared" si="12"/>
        <v>44688</v>
      </c>
      <c r="W53" s="82">
        <f t="shared" si="12"/>
        <v>44695</v>
      </c>
      <c r="X53" s="82">
        <f t="shared" si="12"/>
        <v>44702</v>
      </c>
      <c r="Y53" s="82">
        <f t="shared" si="12"/>
        <v>44709</v>
      </c>
      <c r="Z53" s="82">
        <f t="shared" si="12"/>
        <v>44716</v>
      </c>
      <c r="AA53" s="82">
        <f t="shared" si="12"/>
        <v>44723</v>
      </c>
      <c r="AB53" s="82">
        <f t="shared" si="12"/>
        <v>44730</v>
      </c>
      <c r="AC53" s="82">
        <f t="shared" si="12"/>
        <v>44737</v>
      </c>
      <c r="AD53" s="82">
        <f t="shared" si="12"/>
        <v>44744</v>
      </c>
      <c r="AE53" s="82">
        <f t="shared" si="12"/>
        <v>44751</v>
      </c>
      <c r="AF53" s="82">
        <f t="shared" si="12"/>
        <v>44758</v>
      </c>
      <c r="AG53" s="82">
        <f t="shared" si="12"/>
        <v>44765</v>
      </c>
      <c r="AH53" s="82">
        <f t="shared" si="12"/>
        <v>44772</v>
      </c>
      <c r="AI53" s="82">
        <f t="shared" si="12"/>
        <v>44779</v>
      </c>
      <c r="AJ53" s="82">
        <f t="shared" si="12"/>
        <v>44786</v>
      </c>
      <c r="AK53" s="82">
        <f t="shared" si="12"/>
        <v>44793</v>
      </c>
      <c r="AL53" s="82">
        <f t="shared" si="12"/>
        <v>44800</v>
      </c>
      <c r="AM53" s="82">
        <f t="shared" si="12"/>
        <v>44807</v>
      </c>
      <c r="AN53" s="82">
        <f t="shared" si="12"/>
        <v>44814</v>
      </c>
      <c r="AO53" s="82">
        <f t="shared" si="12"/>
        <v>44821</v>
      </c>
      <c r="AP53" s="82">
        <f t="shared" si="12"/>
        <v>44828</v>
      </c>
      <c r="AQ53" s="82">
        <f t="shared" si="12"/>
        <v>44835</v>
      </c>
      <c r="AR53" s="82">
        <f t="shared" si="12"/>
        <v>44842</v>
      </c>
      <c r="AS53" s="82">
        <f t="shared" si="12"/>
        <v>44849</v>
      </c>
      <c r="AT53" s="82">
        <f t="shared" si="12"/>
        <v>44856</v>
      </c>
      <c r="AU53" s="82">
        <f t="shared" si="12"/>
        <v>44863</v>
      </c>
      <c r="AV53" s="82">
        <f t="shared" si="12"/>
        <v>44870</v>
      </c>
      <c r="AW53" s="82">
        <f t="shared" si="12"/>
        <v>44877</v>
      </c>
      <c r="AX53" s="82">
        <f t="shared" si="12"/>
        <v>44884</v>
      </c>
      <c r="AY53" s="82">
        <f t="shared" si="12"/>
        <v>44891</v>
      </c>
      <c r="AZ53" s="82">
        <f t="shared" si="12"/>
        <v>44898</v>
      </c>
      <c r="BA53" s="82">
        <f t="shared" si="12"/>
        <v>44905</v>
      </c>
      <c r="BB53" s="82">
        <f t="shared" si="12"/>
        <v>44912</v>
      </c>
      <c r="BC53" s="82">
        <f t="shared" si="12"/>
        <v>44919</v>
      </c>
      <c r="BD53" s="82">
        <f t="shared" si="12"/>
        <v>44926</v>
      </c>
    </row>
    <row r="54" spans="3:56" x14ac:dyDescent="0.25">
      <c r="C54" s="107" t="s">
        <v>19</v>
      </c>
      <c r="D54" s="41" t="s">
        <v>21</v>
      </c>
      <c r="E54" s="70">
        <v>11879.524800000001</v>
      </c>
      <c r="F54" s="70">
        <v>9073.2927999999993</v>
      </c>
      <c r="G54" s="70">
        <v>7471</v>
      </c>
      <c r="H54" s="70">
        <v>7084</v>
      </c>
      <c r="I54" s="70">
        <v>6873.2092000000011</v>
      </c>
      <c r="J54" s="70">
        <v>6540</v>
      </c>
      <c r="K54" s="70">
        <v>5635</v>
      </c>
      <c r="L54" s="70">
        <v>5515.84</v>
      </c>
      <c r="M54" s="70">
        <v>5668.08</v>
      </c>
      <c r="N54" s="70">
        <v>6563.48</v>
      </c>
      <c r="O54" s="70">
        <v>7860.16</v>
      </c>
      <c r="P54" s="70">
        <v>7837.72</v>
      </c>
      <c r="Q54" s="70">
        <v>6402</v>
      </c>
      <c r="R54" s="70">
        <v>6064.96</v>
      </c>
      <c r="S54" s="70">
        <v>6072.88</v>
      </c>
      <c r="T54" s="70">
        <v>6716.16</v>
      </c>
      <c r="U54" s="70">
        <v>6547.6399999999994</v>
      </c>
      <c r="V54" s="70">
        <v>7571.52</v>
      </c>
      <c r="W54" s="70">
        <v>7446.5599999999995</v>
      </c>
      <c r="X54" s="70">
        <v>7309.7199999999993</v>
      </c>
      <c r="Y54" s="70">
        <v>7116.1200000000008</v>
      </c>
      <c r="Z54" s="70">
        <v>6138.88</v>
      </c>
      <c r="AA54" s="70">
        <v>7605.4</v>
      </c>
      <c r="AB54" s="70">
        <v>7176.4</v>
      </c>
      <c r="AC54" s="70">
        <v>6784.8</v>
      </c>
      <c r="AD54" s="70">
        <v>5848.04</v>
      </c>
      <c r="AE54" s="70">
        <v>5099.16</v>
      </c>
      <c r="AF54" s="70">
        <v>5706.7999999999993</v>
      </c>
      <c r="AG54" s="70">
        <v>5126.4399999999987</v>
      </c>
      <c r="AH54" s="70">
        <v>6102.8</v>
      </c>
      <c r="AI54" s="70">
        <v>6301.24</v>
      </c>
      <c r="AJ54" s="70">
        <v>7087.5199999999995</v>
      </c>
      <c r="AK54" s="70">
        <v>7403</v>
      </c>
      <c r="AL54" s="70">
        <v>7322.0399999999991</v>
      </c>
      <c r="AM54" s="70">
        <v>6668.6016471979874</v>
      </c>
      <c r="AN54" s="70">
        <v>5899.3415641286183</v>
      </c>
      <c r="AO54" s="70">
        <v>6006.0462892794676</v>
      </c>
      <c r="AP54" s="70">
        <v>6294.4115656288614</v>
      </c>
      <c r="AQ54" s="70">
        <v>6848.2606588006074</v>
      </c>
      <c r="AR54" s="70">
        <v>6376.4507483505622</v>
      </c>
      <c r="AS54" s="70">
        <v>6732.7496818488771</v>
      </c>
      <c r="AT54" s="70">
        <v>6940.6479936358264</v>
      </c>
      <c r="AU54" s="70">
        <v>7357.3688823482462</v>
      </c>
      <c r="AV54" s="70">
        <v>8511.4679500741695</v>
      </c>
      <c r="AW54" s="70">
        <v>9100.1377411947688</v>
      </c>
      <c r="AX54" s="70">
        <v>8924.0630734652132</v>
      </c>
      <c r="AY54" s="70">
        <v>21250.299205201787</v>
      </c>
      <c r="AZ54" s="70">
        <v>29664.34378857995</v>
      </c>
      <c r="BA54" s="70">
        <v>25754.326306073628</v>
      </c>
      <c r="BB54" s="70">
        <v>21410.787989899589</v>
      </c>
      <c r="BC54" s="70">
        <v>12066.012132156022</v>
      </c>
      <c r="BD54" s="70">
        <v>10856.445624417394</v>
      </c>
    </row>
    <row r="55" spans="3:56" x14ac:dyDescent="0.25">
      <c r="C55" s="108"/>
      <c r="D55" s="41" t="s">
        <v>22</v>
      </c>
      <c r="E55" s="70">
        <v>700</v>
      </c>
      <c r="F55" s="70">
        <v>700</v>
      </c>
      <c r="G55" s="70">
        <v>620</v>
      </c>
      <c r="H55" s="70">
        <v>620</v>
      </c>
      <c r="I55" s="70">
        <v>620</v>
      </c>
      <c r="J55" s="70">
        <v>620</v>
      </c>
      <c r="K55" s="70">
        <v>620</v>
      </c>
      <c r="L55" s="70">
        <v>620</v>
      </c>
      <c r="M55" s="70">
        <v>620</v>
      </c>
      <c r="N55" s="70">
        <v>620</v>
      </c>
      <c r="O55" s="70">
        <v>620</v>
      </c>
      <c r="P55" s="70">
        <v>600</v>
      </c>
      <c r="Q55" s="70">
        <v>600</v>
      </c>
      <c r="R55" s="70">
        <v>600</v>
      </c>
      <c r="S55" s="70">
        <v>600</v>
      </c>
      <c r="T55" s="70">
        <v>600</v>
      </c>
      <c r="U55" s="70">
        <v>600</v>
      </c>
      <c r="V55" s="70">
        <v>600</v>
      </c>
      <c r="W55" s="70">
        <v>600</v>
      </c>
      <c r="X55" s="70">
        <v>600</v>
      </c>
      <c r="Y55" s="70">
        <v>600</v>
      </c>
      <c r="Z55" s="70">
        <v>600</v>
      </c>
      <c r="AA55" s="70">
        <v>600</v>
      </c>
      <c r="AB55" s="70">
        <v>600</v>
      </c>
      <c r="AC55" s="70">
        <v>600</v>
      </c>
      <c r="AD55" s="70">
        <v>600</v>
      </c>
      <c r="AE55" s="70">
        <v>600</v>
      </c>
      <c r="AF55" s="70">
        <v>600</v>
      </c>
      <c r="AG55" s="70">
        <v>600</v>
      </c>
      <c r="AH55" s="70">
        <v>600</v>
      </c>
      <c r="AI55" s="70">
        <v>600</v>
      </c>
      <c r="AJ55" s="70">
        <v>600</v>
      </c>
      <c r="AK55" s="70">
        <v>600</v>
      </c>
      <c r="AL55" s="70">
        <v>600</v>
      </c>
      <c r="AM55" s="70">
        <v>600</v>
      </c>
      <c r="AN55" s="70">
        <v>600</v>
      </c>
      <c r="AO55" s="70">
        <v>600</v>
      </c>
      <c r="AP55" s="70">
        <v>600</v>
      </c>
      <c r="AQ55" s="70">
        <v>600</v>
      </c>
      <c r="AR55" s="70">
        <v>600</v>
      </c>
      <c r="AS55" s="70">
        <v>600</v>
      </c>
      <c r="AT55" s="70">
        <v>600</v>
      </c>
      <c r="AU55" s="70">
        <v>600</v>
      </c>
      <c r="AV55" s="70">
        <v>700</v>
      </c>
      <c r="AW55" s="70">
        <v>700</v>
      </c>
      <c r="AX55" s="70">
        <v>700</v>
      </c>
      <c r="AY55" s="70">
        <v>700</v>
      </c>
      <c r="AZ55" s="70">
        <v>700</v>
      </c>
      <c r="BA55" s="70">
        <v>700</v>
      </c>
      <c r="BB55" s="70">
        <v>700</v>
      </c>
      <c r="BC55" s="70">
        <v>700</v>
      </c>
      <c r="BD55" s="70">
        <v>700</v>
      </c>
    </row>
    <row r="56" spans="3:56" x14ac:dyDescent="0.25">
      <c r="C56" s="108"/>
      <c r="D56" s="41" t="s">
        <v>30</v>
      </c>
      <c r="E56" s="68">
        <v>0.75</v>
      </c>
      <c r="F56" s="68">
        <v>0.75</v>
      </c>
      <c r="G56" s="68">
        <v>0.75</v>
      </c>
      <c r="H56" s="68">
        <v>0.75</v>
      </c>
      <c r="I56" s="68">
        <v>0.75</v>
      </c>
      <c r="J56" s="68">
        <v>0.75</v>
      </c>
      <c r="K56" s="68">
        <v>0.75</v>
      </c>
      <c r="L56" s="68">
        <v>0.75</v>
      </c>
      <c r="M56" s="68">
        <v>0.75</v>
      </c>
      <c r="N56" s="68">
        <v>0.75</v>
      </c>
      <c r="O56" s="68">
        <v>0.75</v>
      </c>
      <c r="P56" s="68">
        <v>0.75</v>
      </c>
      <c r="Q56" s="68">
        <v>0.75</v>
      </c>
      <c r="R56" s="68">
        <v>0.75</v>
      </c>
      <c r="S56" s="68">
        <v>0.75</v>
      </c>
      <c r="T56" s="68">
        <v>0.75</v>
      </c>
      <c r="U56" s="68">
        <v>0.75</v>
      </c>
      <c r="V56" s="68">
        <v>0.75</v>
      </c>
      <c r="W56" s="68">
        <v>0.75</v>
      </c>
      <c r="X56" s="68">
        <v>0.75</v>
      </c>
      <c r="Y56" s="68">
        <v>0.75</v>
      </c>
      <c r="Z56" s="68">
        <v>0.75</v>
      </c>
      <c r="AA56" s="68">
        <v>0.75</v>
      </c>
      <c r="AB56" s="68">
        <v>0.75</v>
      </c>
      <c r="AC56" s="68">
        <v>0.75</v>
      </c>
      <c r="AD56" s="68">
        <v>0.75</v>
      </c>
      <c r="AE56" s="68">
        <v>0.75</v>
      </c>
      <c r="AF56" s="68">
        <v>0.75</v>
      </c>
      <c r="AG56" s="68">
        <v>0.75</v>
      </c>
      <c r="AH56" s="68">
        <v>0.75</v>
      </c>
      <c r="AI56" s="68">
        <v>0.75</v>
      </c>
      <c r="AJ56" s="68">
        <v>0.75</v>
      </c>
      <c r="AK56" s="68">
        <v>0.75</v>
      </c>
      <c r="AL56" s="68">
        <v>0.75</v>
      </c>
      <c r="AM56" s="68">
        <v>0.75</v>
      </c>
      <c r="AN56" s="68">
        <v>0.75</v>
      </c>
      <c r="AO56" s="68">
        <v>0.75</v>
      </c>
      <c r="AP56" s="68">
        <v>0.75</v>
      </c>
      <c r="AQ56" s="68">
        <v>0.75</v>
      </c>
      <c r="AR56" s="68">
        <v>0.75</v>
      </c>
      <c r="AS56" s="68">
        <v>0.75</v>
      </c>
      <c r="AT56" s="68">
        <v>0.75</v>
      </c>
      <c r="AU56" s="68">
        <v>0.75</v>
      </c>
      <c r="AV56" s="68">
        <v>0.75</v>
      </c>
      <c r="AW56" s="68">
        <v>0.75</v>
      </c>
      <c r="AX56" s="68">
        <v>0.75</v>
      </c>
      <c r="AY56" s="68">
        <v>0.78</v>
      </c>
      <c r="AZ56" s="68">
        <v>0.79</v>
      </c>
      <c r="BA56" s="68">
        <v>0.76</v>
      </c>
      <c r="BB56" s="68">
        <v>0.76</v>
      </c>
      <c r="BC56" s="68">
        <v>0.75</v>
      </c>
      <c r="BD56" s="68">
        <v>0.75</v>
      </c>
    </row>
    <row r="57" spans="3:56" x14ac:dyDescent="0.25">
      <c r="C57" s="108"/>
      <c r="D57" s="41" t="s">
        <v>31</v>
      </c>
      <c r="E57" s="68">
        <v>0.22</v>
      </c>
      <c r="F57" s="68">
        <v>0.22</v>
      </c>
      <c r="G57" s="68">
        <v>0.22</v>
      </c>
      <c r="H57" s="68">
        <v>0.22</v>
      </c>
      <c r="I57" s="68">
        <v>0.22</v>
      </c>
      <c r="J57" s="68">
        <v>0.22</v>
      </c>
      <c r="K57" s="68">
        <v>0.22</v>
      </c>
      <c r="L57" s="68">
        <v>0.22</v>
      </c>
      <c r="M57" s="68">
        <v>0.22</v>
      </c>
      <c r="N57" s="68">
        <v>0.22</v>
      </c>
      <c r="O57" s="68">
        <v>0.22</v>
      </c>
      <c r="P57" s="68">
        <v>0.22</v>
      </c>
      <c r="Q57" s="68">
        <v>0.23250000000000001</v>
      </c>
      <c r="R57" s="68">
        <v>0.26</v>
      </c>
      <c r="S57" s="68">
        <v>0.26</v>
      </c>
      <c r="T57" s="68">
        <v>0.26</v>
      </c>
      <c r="U57" s="68">
        <v>0.26</v>
      </c>
      <c r="V57" s="68">
        <v>0.26</v>
      </c>
      <c r="W57" s="68">
        <v>0.28000000000000003</v>
      </c>
      <c r="X57" s="68">
        <v>0.30000000000000004</v>
      </c>
      <c r="Y57" s="68">
        <v>0.30000000000000004</v>
      </c>
      <c r="Z57" s="68">
        <v>0.30000000000000004</v>
      </c>
      <c r="AA57" s="68">
        <v>0.30000000000000004</v>
      </c>
      <c r="AB57" s="68">
        <v>0.30000000000000004</v>
      </c>
      <c r="AC57" s="68">
        <v>0.30000000000000004</v>
      </c>
      <c r="AD57" s="68">
        <v>0.28000000000000003</v>
      </c>
      <c r="AE57" s="68">
        <v>0.27</v>
      </c>
      <c r="AF57" s="68">
        <v>0.27</v>
      </c>
      <c r="AG57" s="68">
        <v>0.27</v>
      </c>
      <c r="AH57" s="68">
        <v>0.27</v>
      </c>
      <c r="AI57" s="68">
        <v>0.27</v>
      </c>
      <c r="AJ57" s="68">
        <v>0.27</v>
      </c>
      <c r="AK57" s="68">
        <v>0.27</v>
      </c>
      <c r="AL57" s="68">
        <v>0.27</v>
      </c>
      <c r="AM57" s="68">
        <v>0.27</v>
      </c>
      <c r="AN57" s="68">
        <v>0.27</v>
      </c>
      <c r="AO57" s="68">
        <v>0.27</v>
      </c>
      <c r="AP57" s="68">
        <v>0.27</v>
      </c>
      <c r="AQ57" s="68">
        <v>0.27</v>
      </c>
      <c r="AR57" s="68">
        <v>0.26</v>
      </c>
      <c r="AS57" s="68">
        <v>0.26</v>
      </c>
      <c r="AT57" s="68">
        <v>0.26</v>
      </c>
      <c r="AU57" s="68">
        <v>0.26</v>
      </c>
      <c r="AV57" s="68">
        <v>0.26</v>
      </c>
      <c r="AW57" s="68">
        <v>0.26</v>
      </c>
      <c r="AX57" s="68">
        <v>0.26</v>
      </c>
      <c r="AY57" s="68">
        <v>0.26</v>
      </c>
      <c r="AZ57" s="68">
        <v>0.26</v>
      </c>
      <c r="BA57" s="68">
        <v>0.26</v>
      </c>
      <c r="BB57" s="68">
        <v>0.26</v>
      </c>
      <c r="BC57" s="68">
        <v>0.26</v>
      </c>
      <c r="BD57" s="68">
        <v>0.26</v>
      </c>
    </row>
    <row r="58" spans="3:56" x14ac:dyDescent="0.25">
      <c r="C58" s="108"/>
      <c r="D58" s="41" t="s">
        <v>24</v>
      </c>
      <c r="E58" s="69">
        <v>2</v>
      </c>
      <c r="F58" s="69">
        <v>2</v>
      </c>
      <c r="G58" s="69">
        <v>2</v>
      </c>
      <c r="H58" s="69">
        <v>2</v>
      </c>
      <c r="I58" s="69">
        <v>2</v>
      </c>
      <c r="J58" s="69">
        <v>2</v>
      </c>
      <c r="K58" s="69">
        <v>2</v>
      </c>
      <c r="L58" s="69">
        <v>2</v>
      </c>
      <c r="M58" s="69">
        <v>2</v>
      </c>
      <c r="N58" s="69">
        <v>2</v>
      </c>
      <c r="O58" s="69">
        <v>2</v>
      </c>
      <c r="P58" s="69">
        <v>2</v>
      </c>
      <c r="Q58" s="69">
        <v>2</v>
      </c>
      <c r="R58" s="69">
        <v>2</v>
      </c>
      <c r="S58" s="69">
        <v>2</v>
      </c>
      <c r="T58" s="69">
        <v>2</v>
      </c>
      <c r="U58" s="69">
        <v>2</v>
      </c>
      <c r="V58" s="69">
        <v>2</v>
      </c>
      <c r="W58" s="69">
        <v>2</v>
      </c>
      <c r="X58" s="69">
        <v>2</v>
      </c>
      <c r="Y58" s="69">
        <v>2</v>
      </c>
      <c r="Z58" s="69">
        <v>2</v>
      </c>
      <c r="AA58" s="69">
        <v>2</v>
      </c>
      <c r="AB58" s="69">
        <v>2</v>
      </c>
      <c r="AC58" s="69">
        <v>2</v>
      </c>
      <c r="AD58" s="69">
        <v>2</v>
      </c>
      <c r="AE58" s="69">
        <v>2</v>
      </c>
      <c r="AF58" s="69">
        <v>2</v>
      </c>
      <c r="AG58" s="69">
        <v>2</v>
      </c>
      <c r="AH58" s="69">
        <v>2</v>
      </c>
      <c r="AI58" s="69">
        <v>2</v>
      </c>
      <c r="AJ58" s="69">
        <v>2</v>
      </c>
      <c r="AK58" s="69">
        <v>2</v>
      </c>
      <c r="AL58" s="69">
        <v>2</v>
      </c>
      <c r="AM58" s="69">
        <v>2</v>
      </c>
      <c r="AN58" s="69">
        <v>2</v>
      </c>
      <c r="AO58" s="69">
        <v>2</v>
      </c>
      <c r="AP58" s="69">
        <v>2</v>
      </c>
      <c r="AQ58" s="69">
        <v>2</v>
      </c>
      <c r="AR58" s="69">
        <v>2</v>
      </c>
      <c r="AS58" s="69">
        <v>2</v>
      </c>
      <c r="AT58" s="69">
        <v>2</v>
      </c>
      <c r="AU58" s="69">
        <v>2</v>
      </c>
      <c r="AV58" s="69">
        <v>2</v>
      </c>
      <c r="AW58" s="69">
        <v>2</v>
      </c>
      <c r="AX58" s="69">
        <v>2</v>
      </c>
      <c r="AY58" s="69">
        <v>2</v>
      </c>
      <c r="AZ58" s="69">
        <v>2</v>
      </c>
      <c r="BA58" s="69">
        <v>2</v>
      </c>
      <c r="BB58" s="69">
        <v>2</v>
      </c>
      <c r="BC58" s="69">
        <v>2</v>
      </c>
      <c r="BD58" s="69">
        <v>2</v>
      </c>
    </row>
    <row r="59" spans="3:56" x14ac:dyDescent="0.25">
      <c r="C59" s="108"/>
      <c r="D59" s="41" t="s">
        <v>33</v>
      </c>
      <c r="E59" s="83">
        <f>(E54*E55)/3600/40/E56/(1-E57)/E58</f>
        <v>49.356999999999999</v>
      </c>
      <c r="F59" s="83">
        <f t="shared" ref="F59:BD59" si="13">(F54*F55)/3600/40/F56/(1-F57)/F58</f>
        <v>37.697679012345667</v>
      </c>
      <c r="G59" s="83">
        <f t="shared" si="13"/>
        <v>27.492996201329532</v>
      </c>
      <c r="H59" s="83">
        <f t="shared" si="13"/>
        <v>26.068850902184231</v>
      </c>
      <c r="I59" s="83">
        <f t="shared" si="13"/>
        <v>25.293148765432097</v>
      </c>
      <c r="J59" s="83">
        <f t="shared" si="13"/>
        <v>24.066951566951566</v>
      </c>
      <c r="K59" s="83">
        <f t="shared" si="13"/>
        <v>20.736585944919277</v>
      </c>
      <c r="L59" s="83">
        <f t="shared" si="13"/>
        <v>20.298081671415005</v>
      </c>
      <c r="M59" s="83">
        <f t="shared" si="13"/>
        <v>20.858319088319089</v>
      </c>
      <c r="N59" s="84">
        <f t="shared" si="13"/>
        <v>24.153357075023738</v>
      </c>
      <c r="O59" s="83">
        <f t="shared" si="13"/>
        <v>28.925090218423552</v>
      </c>
      <c r="P59" s="83">
        <f t="shared" si="13"/>
        <v>27.912108262108262</v>
      </c>
      <c r="Q59" s="83">
        <f t="shared" si="13"/>
        <v>23.170466883821938</v>
      </c>
      <c r="R59" s="83">
        <f t="shared" si="13"/>
        <v>22.766366366366366</v>
      </c>
      <c r="S59" s="83">
        <f t="shared" si="13"/>
        <v>22.796096096096093</v>
      </c>
      <c r="T59" s="83">
        <f t="shared" si="13"/>
        <v>25.210810810810809</v>
      </c>
      <c r="U59" s="83">
        <f t="shared" si="13"/>
        <v>24.578228228228227</v>
      </c>
      <c r="V59" s="83">
        <f t="shared" si="13"/>
        <v>28.421621621621622</v>
      </c>
      <c r="W59" s="83">
        <f t="shared" si="13"/>
        <v>28.729012345679013</v>
      </c>
      <c r="X59" s="83">
        <f t="shared" si="13"/>
        <v>29.006825396825395</v>
      </c>
      <c r="Y59" s="83">
        <f t="shared" si="13"/>
        <v>28.238571428571436</v>
      </c>
      <c r="Z59" s="83">
        <f t="shared" si="13"/>
        <v>24.360634920634922</v>
      </c>
      <c r="AA59" s="83">
        <f t="shared" si="13"/>
        <v>30.180158730158734</v>
      </c>
      <c r="AB59" s="83">
        <f t="shared" si="13"/>
        <v>28.477777777777774</v>
      </c>
      <c r="AC59" s="83">
        <f t="shared" si="13"/>
        <v>26.923809523809528</v>
      </c>
      <c r="AD59" s="83">
        <f t="shared" si="13"/>
        <v>22.561882716049382</v>
      </c>
      <c r="AE59" s="83">
        <f t="shared" si="13"/>
        <v>19.403196347031965</v>
      </c>
      <c r="AF59" s="83">
        <f t="shared" si="13"/>
        <v>21.715372907153725</v>
      </c>
      <c r="AG59" s="83">
        <f t="shared" si="13"/>
        <v>19.507001522070009</v>
      </c>
      <c r="AH59" s="83">
        <f t="shared" si="13"/>
        <v>23.222222222222221</v>
      </c>
      <c r="AI59" s="83">
        <f t="shared" si="13"/>
        <v>23.977321156773211</v>
      </c>
      <c r="AJ59" s="83">
        <f t="shared" si="13"/>
        <v>26.969254185692542</v>
      </c>
      <c r="AK59" s="83">
        <f t="shared" si="13"/>
        <v>28.169710806697104</v>
      </c>
      <c r="AL59" s="83">
        <f t="shared" si="13"/>
        <v>27.861643835616434</v>
      </c>
      <c r="AM59" s="83">
        <f t="shared" si="13"/>
        <v>25.375196526628567</v>
      </c>
      <c r="AN59" s="83">
        <f t="shared" si="13"/>
        <v>22.448027260763386</v>
      </c>
      <c r="AO59" s="83">
        <f t="shared" si="13"/>
        <v>22.854057417349573</v>
      </c>
      <c r="AP59" s="83">
        <f t="shared" si="13"/>
        <v>23.951337768755184</v>
      </c>
      <c r="AQ59" s="83">
        <f t="shared" si="13"/>
        <v>26.058830512939906</v>
      </c>
      <c r="AR59" s="83">
        <f t="shared" si="13"/>
        <v>23.935625932246857</v>
      </c>
      <c r="AS59" s="83">
        <f t="shared" si="13"/>
        <v>25.273084391324613</v>
      </c>
      <c r="AT59" s="83">
        <f t="shared" si="13"/>
        <v>26.053483459593942</v>
      </c>
      <c r="AU59" s="83">
        <f t="shared" si="13"/>
        <v>27.617751059865789</v>
      </c>
      <c r="AV59" s="83">
        <f t="shared" si="13"/>
        <v>37.274947228803299</v>
      </c>
      <c r="AW59" s="83">
        <f t="shared" si="13"/>
        <v>39.852955573300413</v>
      </c>
      <c r="AX59" s="83">
        <f t="shared" si="13"/>
        <v>39.081857804214522</v>
      </c>
      <c r="AY59" s="83">
        <f t="shared" si="13"/>
        <v>89.483771293175678</v>
      </c>
      <c r="AZ59" s="83">
        <f t="shared" si="13"/>
        <v>123.333622301134</v>
      </c>
      <c r="BA59" s="83">
        <f t="shared" si="13"/>
        <v>111.3039133762764</v>
      </c>
      <c r="BB59" s="83">
        <f t="shared" si="13"/>
        <v>92.532200742661104</v>
      </c>
      <c r="BC59" s="83">
        <f t="shared" si="13"/>
        <v>52.841644722905507</v>
      </c>
      <c r="BD59" s="83">
        <f t="shared" si="13"/>
        <v>47.544494100927018</v>
      </c>
    </row>
    <row r="60" spans="3:56" x14ac:dyDescent="0.25">
      <c r="C60" s="108"/>
      <c r="E60" s="41"/>
      <c r="F60" s="41"/>
      <c r="G60" s="41"/>
    </row>
    <row r="61" spans="3:56" x14ac:dyDescent="0.25">
      <c r="C61" s="108"/>
      <c r="D61" s="49" t="s">
        <v>34</v>
      </c>
      <c r="E61" s="65">
        <v>0</v>
      </c>
      <c r="F61" s="65">
        <v>0</v>
      </c>
      <c r="G61" s="65">
        <v>0</v>
      </c>
      <c r="H61" s="65">
        <v>0</v>
      </c>
      <c r="I61" s="65">
        <v>0</v>
      </c>
      <c r="J61" s="65">
        <v>0</v>
      </c>
      <c r="K61" s="65">
        <v>0</v>
      </c>
      <c r="L61" s="65">
        <v>0</v>
      </c>
      <c r="M61" s="65">
        <v>0</v>
      </c>
      <c r="N61" s="65">
        <v>0</v>
      </c>
      <c r="O61" s="65">
        <v>0</v>
      </c>
      <c r="P61" s="65">
        <v>0</v>
      </c>
      <c r="Q61" s="65">
        <v>0</v>
      </c>
      <c r="R61" s="65">
        <v>0</v>
      </c>
      <c r="S61" s="65">
        <v>0</v>
      </c>
      <c r="T61" s="65">
        <v>0</v>
      </c>
      <c r="U61" s="65">
        <v>0</v>
      </c>
      <c r="V61" s="65">
        <v>0</v>
      </c>
      <c r="W61" s="65">
        <v>0</v>
      </c>
      <c r="X61" s="65">
        <v>0</v>
      </c>
      <c r="Y61" s="65">
        <v>0</v>
      </c>
      <c r="Z61" s="65">
        <v>0</v>
      </c>
      <c r="AA61" s="65">
        <v>0</v>
      </c>
      <c r="AB61" s="65">
        <v>0</v>
      </c>
      <c r="AC61" s="65">
        <v>0</v>
      </c>
      <c r="AD61" s="65">
        <v>0</v>
      </c>
      <c r="AE61" s="65">
        <v>0</v>
      </c>
      <c r="AF61" s="65">
        <v>0</v>
      </c>
      <c r="AG61" s="65">
        <v>0</v>
      </c>
      <c r="AH61" s="65">
        <v>0</v>
      </c>
      <c r="AI61" s="65">
        <v>0</v>
      </c>
      <c r="AJ61" s="65">
        <v>0</v>
      </c>
      <c r="AK61" s="65">
        <v>0</v>
      </c>
      <c r="AL61" s="65">
        <v>0</v>
      </c>
      <c r="AM61" s="65">
        <v>0</v>
      </c>
      <c r="AN61" s="65">
        <v>0</v>
      </c>
      <c r="AO61" s="65">
        <v>0</v>
      </c>
      <c r="AP61" s="65">
        <v>0</v>
      </c>
      <c r="AQ61" s="65">
        <v>0</v>
      </c>
      <c r="AR61" s="65">
        <v>0</v>
      </c>
      <c r="AS61" s="65">
        <v>0</v>
      </c>
      <c r="AT61" s="65">
        <v>0</v>
      </c>
      <c r="AU61" s="65">
        <v>0</v>
      </c>
      <c r="AV61" s="65">
        <v>0</v>
      </c>
      <c r="AW61" s="65">
        <v>0</v>
      </c>
      <c r="AX61" s="65">
        <v>0</v>
      </c>
      <c r="AY61" s="65">
        <v>0</v>
      </c>
      <c r="AZ61" s="65">
        <v>0</v>
      </c>
      <c r="BA61" s="65">
        <v>0</v>
      </c>
      <c r="BB61" s="65">
        <v>0</v>
      </c>
      <c r="BC61" s="65">
        <v>0</v>
      </c>
      <c r="BD61" s="65">
        <v>0</v>
      </c>
    </row>
    <row r="62" spans="3:56" x14ac:dyDescent="0.25">
      <c r="C62" s="108"/>
      <c r="D62" s="49" t="s">
        <v>35</v>
      </c>
      <c r="E62" s="65">
        <v>0</v>
      </c>
      <c r="F62" s="65">
        <v>0</v>
      </c>
      <c r="G62" s="65">
        <v>0</v>
      </c>
      <c r="H62" s="65">
        <v>0</v>
      </c>
      <c r="I62" s="65">
        <v>0</v>
      </c>
      <c r="J62" s="65">
        <v>0</v>
      </c>
      <c r="K62" s="65">
        <v>0</v>
      </c>
      <c r="L62" s="65">
        <v>0</v>
      </c>
      <c r="M62" s="65">
        <v>0</v>
      </c>
      <c r="N62" s="65">
        <v>0</v>
      </c>
      <c r="O62" s="65">
        <v>0</v>
      </c>
      <c r="P62" s="65">
        <v>0</v>
      </c>
      <c r="Q62" s="65">
        <v>0</v>
      </c>
      <c r="R62" s="65">
        <v>0</v>
      </c>
      <c r="S62" s="65">
        <v>0</v>
      </c>
      <c r="T62" s="65">
        <v>0</v>
      </c>
      <c r="U62" s="65">
        <v>0</v>
      </c>
      <c r="V62" s="65">
        <v>0</v>
      </c>
      <c r="W62" s="65">
        <v>0</v>
      </c>
      <c r="X62" s="65">
        <v>0</v>
      </c>
      <c r="Y62" s="65">
        <v>0</v>
      </c>
      <c r="Z62" s="65">
        <v>0</v>
      </c>
      <c r="AA62" s="65">
        <v>0</v>
      </c>
      <c r="AB62" s="65">
        <v>0</v>
      </c>
      <c r="AC62" s="65">
        <v>0</v>
      </c>
      <c r="AD62" s="65">
        <v>0</v>
      </c>
      <c r="AE62" s="65">
        <v>0</v>
      </c>
      <c r="AF62" s="65">
        <v>0</v>
      </c>
      <c r="AG62" s="65">
        <v>0</v>
      </c>
      <c r="AH62" s="65">
        <v>0</v>
      </c>
      <c r="AI62" s="65">
        <v>0</v>
      </c>
      <c r="AJ62" s="65">
        <v>0</v>
      </c>
      <c r="AK62" s="65">
        <v>0</v>
      </c>
      <c r="AL62" s="65">
        <v>0</v>
      </c>
      <c r="AM62" s="65">
        <v>0</v>
      </c>
      <c r="AN62" s="65">
        <v>0</v>
      </c>
      <c r="AO62" s="65">
        <v>0</v>
      </c>
      <c r="AP62" s="65">
        <v>0</v>
      </c>
      <c r="AQ62" s="65">
        <v>0</v>
      </c>
      <c r="AR62" s="65">
        <v>0</v>
      </c>
      <c r="AS62" s="65">
        <v>0</v>
      </c>
      <c r="AT62" s="65">
        <v>0</v>
      </c>
      <c r="AU62" s="65">
        <v>0</v>
      </c>
      <c r="AV62" s="65">
        <v>0</v>
      </c>
      <c r="AW62" s="65">
        <v>0</v>
      </c>
      <c r="AX62" s="65">
        <v>0</v>
      </c>
      <c r="AY62" s="65">
        <v>0</v>
      </c>
      <c r="AZ62" s="65">
        <v>0</v>
      </c>
      <c r="BA62" s="65">
        <v>0</v>
      </c>
      <c r="BB62" s="65">
        <v>0</v>
      </c>
      <c r="BC62" s="65">
        <v>0</v>
      </c>
      <c r="BD62" s="65">
        <v>0</v>
      </c>
    </row>
    <row r="63" spans="3:56" x14ac:dyDescent="0.25">
      <c r="C63" s="108"/>
      <c r="D63" s="49" t="s">
        <v>36</v>
      </c>
      <c r="E63" s="65">
        <v>0</v>
      </c>
      <c r="F63" s="65">
        <v>0</v>
      </c>
      <c r="G63" s="65">
        <v>0</v>
      </c>
      <c r="H63" s="65">
        <v>0</v>
      </c>
      <c r="I63" s="65">
        <v>0</v>
      </c>
      <c r="J63" s="65">
        <v>0</v>
      </c>
      <c r="K63" s="65">
        <v>0</v>
      </c>
      <c r="L63" s="65">
        <v>0</v>
      </c>
      <c r="M63" s="65">
        <v>0</v>
      </c>
      <c r="N63" s="65">
        <v>0</v>
      </c>
      <c r="O63" s="65">
        <v>0</v>
      </c>
      <c r="P63" s="65">
        <v>0</v>
      </c>
      <c r="Q63" s="65">
        <v>0</v>
      </c>
      <c r="R63" s="65">
        <v>0</v>
      </c>
      <c r="S63" s="65">
        <v>0</v>
      </c>
      <c r="T63" s="65">
        <v>0</v>
      </c>
      <c r="U63" s="65">
        <v>0</v>
      </c>
      <c r="V63" s="65">
        <v>0</v>
      </c>
      <c r="W63" s="65">
        <v>0</v>
      </c>
      <c r="X63" s="65">
        <v>0</v>
      </c>
      <c r="Y63" s="65">
        <v>0</v>
      </c>
      <c r="Z63" s="65">
        <v>0</v>
      </c>
      <c r="AA63" s="65">
        <v>0</v>
      </c>
      <c r="AB63" s="65">
        <v>0</v>
      </c>
      <c r="AC63" s="65">
        <v>0</v>
      </c>
      <c r="AD63" s="65">
        <v>0</v>
      </c>
      <c r="AE63" s="65">
        <v>0</v>
      </c>
      <c r="AF63" s="65">
        <v>0</v>
      </c>
      <c r="AG63" s="65">
        <v>0</v>
      </c>
      <c r="AH63" s="65">
        <v>0</v>
      </c>
      <c r="AI63" s="65">
        <v>0</v>
      </c>
      <c r="AJ63" s="65">
        <v>0</v>
      </c>
      <c r="AK63" s="65">
        <v>0</v>
      </c>
      <c r="AL63" s="65">
        <v>0</v>
      </c>
      <c r="AM63" s="65">
        <v>0</v>
      </c>
      <c r="AN63" s="65">
        <v>0</v>
      </c>
      <c r="AO63" s="65">
        <v>0</v>
      </c>
      <c r="AP63" s="65">
        <v>0</v>
      </c>
      <c r="AQ63" s="65">
        <v>0</v>
      </c>
      <c r="AR63" s="65">
        <v>0</v>
      </c>
      <c r="AS63" s="65">
        <v>0</v>
      </c>
      <c r="AT63" s="65">
        <v>0</v>
      </c>
      <c r="AU63" s="65">
        <v>0</v>
      </c>
      <c r="AV63" s="65">
        <v>0</v>
      </c>
      <c r="AW63" s="65">
        <v>0</v>
      </c>
      <c r="AX63" s="65">
        <v>0</v>
      </c>
      <c r="AY63" s="65">
        <v>0</v>
      </c>
      <c r="AZ63" s="65">
        <v>0</v>
      </c>
      <c r="BA63" s="65">
        <v>0</v>
      </c>
      <c r="BB63" s="65">
        <v>0</v>
      </c>
      <c r="BC63" s="65">
        <v>0</v>
      </c>
      <c r="BD63" s="65">
        <v>0</v>
      </c>
    </row>
    <row r="64" spans="3:56" x14ac:dyDescent="0.25">
      <c r="C64" s="108"/>
      <c r="D64" s="49" t="s">
        <v>37</v>
      </c>
      <c r="E64" s="65">
        <v>0</v>
      </c>
      <c r="F64" s="65">
        <v>0</v>
      </c>
      <c r="G64" s="65">
        <v>0</v>
      </c>
      <c r="H64" s="65">
        <v>0</v>
      </c>
      <c r="I64" s="65">
        <v>0</v>
      </c>
      <c r="J64" s="65">
        <v>0</v>
      </c>
      <c r="K64" s="65">
        <v>0</v>
      </c>
      <c r="L64" s="65">
        <v>0</v>
      </c>
      <c r="M64" s="65">
        <v>0</v>
      </c>
      <c r="N64" s="65">
        <v>0</v>
      </c>
      <c r="O64" s="65">
        <v>0</v>
      </c>
      <c r="P64" s="65">
        <v>0</v>
      </c>
      <c r="Q64" s="65">
        <v>0</v>
      </c>
      <c r="R64" s="65">
        <v>0</v>
      </c>
      <c r="S64" s="65">
        <v>0</v>
      </c>
      <c r="T64" s="65">
        <v>0</v>
      </c>
      <c r="U64" s="65">
        <v>0</v>
      </c>
      <c r="V64" s="65">
        <v>0</v>
      </c>
      <c r="W64" s="65">
        <v>0</v>
      </c>
      <c r="X64" s="65">
        <v>0</v>
      </c>
      <c r="Y64" s="65">
        <v>0</v>
      </c>
      <c r="Z64" s="65">
        <v>0</v>
      </c>
      <c r="AA64" s="65">
        <v>0</v>
      </c>
      <c r="AB64" s="65">
        <v>0</v>
      </c>
      <c r="AC64" s="65">
        <v>0</v>
      </c>
      <c r="AD64" s="65">
        <v>0</v>
      </c>
      <c r="AE64" s="65">
        <v>0</v>
      </c>
      <c r="AF64" s="65">
        <v>0</v>
      </c>
      <c r="AG64" s="65">
        <v>0</v>
      </c>
      <c r="AH64" s="65">
        <v>0</v>
      </c>
      <c r="AI64" s="65">
        <v>0</v>
      </c>
      <c r="AJ64" s="65">
        <v>0</v>
      </c>
      <c r="AK64" s="65">
        <v>0</v>
      </c>
      <c r="AL64" s="65">
        <v>0</v>
      </c>
      <c r="AM64" s="65">
        <v>0</v>
      </c>
      <c r="AN64" s="65">
        <v>0</v>
      </c>
      <c r="AO64" s="65">
        <v>0</v>
      </c>
      <c r="AP64" s="65">
        <v>0</v>
      </c>
      <c r="AQ64" s="65">
        <v>0</v>
      </c>
      <c r="AR64" s="65">
        <v>0</v>
      </c>
      <c r="AS64" s="65">
        <v>0</v>
      </c>
      <c r="AT64" s="65">
        <v>0</v>
      </c>
      <c r="AU64" s="65">
        <v>0</v>
      </c>
      <c r="AV64" s="65">
        <v>0</v>
      </c>
      <c r="AW64" s="65">
        <v>0</v>
      </c>
      <c r="AX64" s="65">
        <v>0</v>
      </c>
      <c r="AY64" s="65">
        <v>0</v>
      </c>
      <c r="AZ64" s="65">
        <v>0</v>
      </c>
      <c r="BA64" s="65">
        <v>0</v>
      </c>
      <c r="BB64" s="65">
        <v>0</v>
      </c>
      <c r="BC64" s="65">
        <v>0</v>
      </c>
      <c r="BD64" s="65">
        <v>0</v>
      </c>
    </row>
    <row r="65" spans="3:56" x14ac:dyDescent="0.25">
      <c r="C65" s="108"/>
      <c r="D65" s="49" t="s">
        <v>38</v>
      </c>
      <c r="E65" s="65">
        <v>0</v>
      </c>
      <c r="F65" s="65">
        <v>0</v>
      </c>
      <c r="G65" s="65">
        <v>0</v>
      </c>
      <c r="H65" s="65">
        <v>0</v>
      </c>
      <c r="I65" s="65">
        <v>0</v>
      </c>
      <c r="J65" s="65">
        <v>0</v>
      </c>
      <c r="K65" s="65">
        <v>0</v>
      </c>
      <c r="L65" s="65">
        <v>0</v>
      </c>
      <c r="M65" s="65">
        <v>0</v>
      </c>
      <c r="N65" s="65">
        <v>0</v>
      </c>
      <c r="O65" s="65">
        <v>0</v>
      </c>
      <c r="P65" s="65">
        <v>0</v>
      </c>
      <c r="Q65" s="65">
        <v>0</v>
      </c>
      <c r="R65" s="65">
        <v>0</v>
      </c>
      <c r="S65" s="65">
        <v>0</v>
      </c>
      <c r="T65" s="65">
        <v>0</v>
      </c>
      <c r="U65" s="65">
        <v>0</v>
      </c>
      <c r="V65" s="65">
        <v>0</v>
      </c>
      <c r="W65" s="65">
        <v>0</v>
      </c>
      <c r="X65" s="65">
        <v>0</v>
      </c>
      <c r="Y65" s="65">
        <v>0</v>
      </c>
      <c r="Z65" s="65">
        <v>0</v>
      </c>
      <c r="AA65" s="65">
        <v>0</v>
      </c>
      <c r="AB65" s="65">
        <v>0</v>
      </c>
      <c r="AC65" s="65">
        <v>0</v>
      </c>
      <c r="AD65" s="65">
        <v>0</v>
      </c>
      <c r="AE65" s="65">
        <v>0</v>
      </c>
      <c r="AF65" s="65">
        <v>0</v>
      </c>
      <c r="AG65" s="65">
        <v>0</v>
      </c>
      <c r="AH65" s="65">
        <v>0</v>
      </c>
      <c r="AI65" s="65">
        <v>0</v>
      </c>
      <c r="AJ65" s="65">
        <v>0</v>
      </c>
      <c r="AK65" s="65">
        <v>0</v>
      </c>
      <c r="AL65" s="65">
        <v>0</v>
      </c>
      <c r="AM65" s="65">
        <v>0</v>
      </c>
      <c r="AN65" s="65">
        <v>0</v>
      </c>
      <c r="AO65" s="65">
        <v>0</v>
      </c>
      <c r="AP65" s="65">
        <v>0</v>
      </c>
      <c r="AQ65" s="65">
        <v>0</v>
      </c>
      <c r="AR65" s="65">
        <v>0</v>
      </c>
      <c r="AS65" s="65">
        <v>0</v>
      </c>
      <c r="AT65" s="65">
        <v>0</v>
      </c>
      <c r="AU65" s="65">
        <v>0</v>
      </c>
      <c r="AV65" s="65">
        <v>0</v>
      </c>
      <c r="AW65" s="65">
        <v>0</v>
      </c>
      <c r="AX65" s="65">
        <v>0</v>
      </c>
      <c r="AY65" s="65">
        <v>0</v>
      </c>
      <c r="AZ65" s="65">
        <v>0</v>
      </c>
      <c r="BA65" s="65">
        <v>0</v>
      </c>
      <c r="BB65" s="65">
        <v>0</v>
      </c>
      <c r="BC65" s="65">
        <v>0</v>
      </c>
      <c r="BD65" s="65">
        <v>0</v>
      </c>
    </row>
    <row r="66" spans="3:56" x14ac:dyDescent="0.25">
      <c r="C66" s="108"/>
      <c r="D66" s="49" t="s">
        <v>39</v>
      </c>
      <c r="E66" s="65">
        <v>29</v>
      </c>
      <c r="F66" s="65">
        <v>21</v>
      </c>
      <c r="G66" s="65">
        <v>17</v>
      </c>
      <c r="H66" s="65">
        <v>17</v>
      </c>
      <c r="I66" s="65">
        <v>17</v>
      </c>
      <c r="J66" s="65">
        <v>17</v>
      </c>
      <c r="K66" s="65">
        <v>17</v>
      </c>
      <c r="L66" s="65">
        <v>17</v>
      </c>
      <c r="M66" s="65">
        <v>17</v>
      </c>
      <c r="N66" s="65">
        <v>17</v>
      </c>
      <c r="O66" s="65">
        <v>20</v>
      </c>
      <c r="P66" s="65">
        <v>20</v>
      </c>
      <c r="Q66" s="65">
        <v>20</v>
      </c>
      <c r="R66" s="65">
        <v>21</v>
      </c>
      <c r="S66" s="65">
        <v>19</v>
      </c>
      <c r="T66" s="65">
        <v>19</v>
      </c>
      <c r="U66" s="65">
        <v>19</v>
      </c>
      <c r="V66" s="65">
        <v>19</v>
      </c>
      <c r="W66" s="65">
        <v>18</v>
      </c>
      <c r="X66" s="65">
        <v>18</v>
      </c>
      <c r="Y66" s="65">
        <v>22.28</v>
      </c>
      <c r="Z66" s="65">
        <v>21.3888</v>
      </c>
      <c r="AA66" s="65">
        <v>27.067968</v>
      </c>
      <c r="AB66" s="65">
        <v>26.66194848</v>
      </c>
      <c r="AC66" s="65">
        <v>26.262019252799998</v>
      </c>
      <c r="AD66" s="65">
        <v>21.868088964007999</v>
      </c>
      <c r="AE66" s="65">
        <v>21.540067629547877</v>
      </c>
      <c r="AF66" s="65">
        <v>20.21696661510466</v>
      </c>
      <c r="AG66" s="65">
        <v>19.913712115878091</v>
      </c>
      <c r="AH66" s="65">
        <v>19.615006434139922</v>
      </c>
      <c r="AI66" s="65">
        <v>24.570781337627821</v>
      </c>
      <c r="AJ66" s="65">
        <v>22.202219617563404</v>
      </c>
      <c r="AK66" s="65">
        <v>21.869186323299953</v>
      </c>
      <c r="AL66" s="65">
        <v>26.041148528450453</v>
      </c>
      <c r="AM66" s="65">
        <v>25.650531300523696</v>
      </c>
      <c r="AN66" s="65">
        <v>25.26577333101584</v>
      </c>
      <c r="AO66" s="65">
        <v>24.886786731050602</v>
      </c>
      <c r="AP66" s="65">
        <v>24.513484930084843</v>
      </c>
      <c r="AQ66" s="65">
        <v>24.145782656133569</v>
      </c>
      <c r="AR66" s="65">
        <v>23.783595916291567</v>
      </c>
      <c r="AS66" s="65">
        <v>23.426841977547195</v>
      </c>
      <c r="AT66" s="65">
        <v>23.075439347883986</v>
      </c>
      <c r="AU66" s="65">
        <v>45.229307757665723</v>
      </c>
      <c r="AV66" s="65">
        <v>44.550868141300739</v>
      </c>
      <c r="AW66" s="65">
        <v>53.437096437768218</v>
      </c>
      <c r="AX66" s="65">
        <v>52.10116902682401</v>
      </c>
      <c r="AY66" s="65">
        <v>73.298639801153413</v>
      </c>
      <c r="AZ66" s="65">
        <v>74.466173806124573</v>
      </c>
      <c r="BA66" s="65">
        <v>64.742865115818347</v>
      </c>
      <c r="BB66" s="65">
        <v>61.505721860027428</v>
      </c>
      <c r="BC66" s="65">
        <v>58.430435767026054</v>
      </c>
      <c r="BD66" s="65">
        <v>55.508913978674755</v>
      </c>
    </row>
    <row r="67" spans="3:56" x14ac:dyDescent="0.25">
      <c r="C67" s="108"/>
      <c r="D67" s="49" t="s">
        <v>40</v>
      </c>
      <c r="E67" s="65">
        <v>26.95</v>
      </c>
      <c r="F67" s="65">
        <v>15.7</v>
      </c>
      <c r="G67" s="65">
        <v>10.074999999999999</v>
      </c>
      <c r="H67" s="65">
        <v>10.074999999999999</v>
      </c>
      <c r="I67" s="65">
        <v>10.074999999999999</v>
      </c>
      <c r="J67" s="65">
        <v>10.074999999999999</v>
      </c>
      <c r="K67" s="65">
        <v>6.7</v>
      </c>
      <c r="L67" s="65">
        <v>7.875</v>
      </c>
      <c r="M67" s="65">
        <v>6.75</v>
      </c>
      <c r="N67" s="65">
        <v>5.625</v>
      </c>
      <c r="O67" s="65">
        <v>4.5</v>
      </c>
      <c r="P67" s="65">
        <v>4.5</v>
      </c>
      <c r="Q67" s="65">
        <v>4.5</v>
      </c>
      <c r="R67" s="65">
        <v>4.5</v>
      </c>
      <c r="S67" s="65">
        <v>4.5</v>
      </c>
      <c r="T67" s="65">
        <v>4.5</v>
      </c>
      <c r="U67" s="65">
        <v>4.5</v>
      </c>
      <c r="V67" s="65">
        <v>4.5</v>
      </c>
      <c r="W67" s="65">
        <v>4.5</v>
      </c>
      <c r="X67" s="65">
        <v>4.5</v>
      </c>
      <c r="Y67" s="65">
        <v>4.32</v>
      </c>
      <c r="Z67" s="65">
        <v>4.1472000000000007</v>
      </c>
      <c r="AA67" s="65">
        <v>4.0849920000000006</v>
      </c>
      <c r="AB67" s="65">
        <v>4.0237171200000006</v>
      </c>
      <c r="AC67" s="65">
        <v>3.9633613632000007</v>
      </c>
      <c r="AD67" s="65">
        <v>3.9039109427520007</v>
      </c>
      <c r="AE67" s="65">
        <v>3.8453522786107208</v>
      </c>
      <c r="AF67" s="65">
        <v>3.7876719944315602</v>
      </c>
      <c r="AG67" s="65">
        <v>3.7308569145150869</v>
      </c>
      <c r="AH67" s="65">
        <v>3.6748940607973606</v>
      </c>
      <c r="AI67" s="65">
        <v>3.6197706498854001</v>
      </c>
      <c r="AJ67" s="65">
        <v>3.5654740901371191</v>
      </c>
      <c r="AK67" s="65">
        <v>3.5119919787850624</v>
      </c>
      <c r="AL67" s="65">
        <v>3.4593120991032866</v>
      </c>
      <c r="AM67" s="65">
        <v>3.4074224176167371</v>
      </c>
      <c r="AN67" s="65">
        <v>3.3563110813524859</v>
      </c>
      <c r="AO67" s="65">
        <v>3.3059664151321986</v>
      </c>
      <c r="AP67" s="65">
        <v>3.2563769189052154</v>
      </c>
      <c r="AQ67" s="65">
        <v>3.207531265121637</v>
      </c>
      <c r="AR67" s="65">
        <v>3.1594182961448123</v>
      </c>
      <c r="AS67" s="65">
        <v>3.11202702170264</v>
      </c>
      <c r="AT67" s="65">
        <v>3.0653466163771004</v>
      </c>
      <c r="AU67" s="65">
        <v>3.0193664171314438</v>
      </c>
      <c r="AV67" s="65">
        <v>20.286575920874473</v>
      </c>
      <c r="AW67" s="65">
        <v>19.779411522852612</v>
      </c>
      <c r="AX67" s="65">
        <v>19.284926234781295</v>
      </c>
      <c r="AY67" s="65">
        <v>18.802803078911762</v>
      </c>
      <c r="AZ67" s="65">
        <v>41.113983001938969</v>
      </c>
      <c r="BA67" s="65">
        <v>39.05828385184202</v>
      </c>
      <c r="BB67" s="65">
        <v>37.105369659249916</v>
      </c>
      <c r="BC67" s="65">
        <v>35.250101176287423</v>
      </c>
      <c r="BD67" s="65">
        <v>33.487596117473053</v>
      </c>
    </row>
    <row r="68" spans="3:56" x14ac:dyDescent="0.25">
      <c r="C68" s="108"/>
      <c r="D68" s="50" t="s">
        <v>41</v>
      </c>
      <c r="E68" s="54">
        <f t="shared" ref="E68:BD68" si="14">(SUM(E61:E67)*E70)/((40*(1-E69)+40))</f>
        <v>0</v>
      </c>
      <c r="F68" s="54">
        <f t="shared" si="14"/>
        <v>0</v>
      </c>
      <c r="G68" s="54">
        <f t="shared" si="14"/>
        <v>0</v>
      </c>
      <c r="H68" s="54">
        <f t="shared" si="14"/>
        <v>-3.5315217391304343</v>
      </c>
      <c r="I68" s="54">
        <f t="shared" si="14"/>
        <v>0</v>
      </c>
      <c r="J68" s="54">
        <f t="shared" si="14"/>
        <v>0</v>
      </c>
      <c r="K68" s="54">
        <f t="shared" si="14"/>
        <v>-4.1217391304347828</v>
      </c>
      <c r="L68" s="54">
        <f t="shared" si="14"/>
        <v>-3.2445652173913042</v>
      </c>
      <c r="M68" s="54">
        <f t="shared" si="14"/>
        <v>-2.0652173913043477</v>
      </c>
      <c r="N68" s="54">
        <f t="shared" si="14"/>
        <v>0</v>
      </c>
      <c r="O68" s="54">
        <f t="shared" si="14"/>
        <v>2.1304347826086958</v>
      </c>
      <c r="P68" s="54">
        <f t="shared" si="14"/>
        <v>0</v>
      </c>
      <c r="Q68" s="54">
        <f t="shared" si="14"/>
        <v>0</v>
      </c>
      <c r="R68" s="54">
        <f t="shared" si="14"/>
        <v>0</v>
      </c>
      <c r="S68" s="54">
        <f t="shared" si="14"/>
        <v>0</v>
      </c>
      <c r="T68" s="54">
        <f t="shared" si="14"/>
        <v>0</v>
      </c>
      <c r="U68" s="54">
        <f t="shared" si="14"/>
        <v>4.0869565217391308</v>
      </c>
      <c r="V68" s="54">
        <f t="shared" si="14"/>
        <v>4.0869565217391308</v>
      </c>
      <c r="W68" s="54">
        <f t="shared" si="14"/>
        <v>3.9130434782608696</v>
      </c>
      <c r="X68" s="54">
        <f t="shared" si="14"/>
        <v>2.9347826086956523</v>
      </c>
      <c r="Y68" s="54">
        <f t="shared" si="14"/>
        <v>0</v>
      </c>
      <c r="Z68" s="54">
        <f t="shared" si="14"/>
        <v>-2.2205217391304348</v>
      </c>
      <c r="AA68" s="54">
        <f t="shared" si="14"/>
        <v>0</v>
      </c>
      <c r="AB68" s="54">
        <f t="shared" si="14"/>
        <v>0</v>
      </c>
      <c r="AC68" s="54">
        <f t="shared" si="14"/>
        <v>-0.65707349165217388</v>
      </c>
      <c r="AD68" s="54">
        <f t="shared" si="14"/>
        <v>-0.56026086753826088</v>
      </c>
      <c r="AE68" s="54">
        <f t="shared" si="14"/>
        <v>-2.2074278181007476</v>
      </c>
      <c r="AF68" s="54">
        <f t="shared" si="14"/>
        <v>0</v>
      </c>
      <c r="AG68" s="54">
        <f t="shared" si="14"/>
        <v>0</v>
      </c>
      <c r="AH68" s="54">
        <f t="shared" si="14"/>
        <v>3.0378131080352975</v>
      </c>
      <c r="AI68" s="54">
        <f t="shared" si="14"/>
        <v>0</v>
      </c>
      <c r="AJ68" s="54">
        <f t="shared" si="14"/>
        <v>4.48133803612183</v>
      </c>
      <c r="AK68" s="54">
        <f t="shared" si="14"/>
        <v>4.4141179655800027</v>
      </c>
      <c r="AL68" s="54">
        <f t="shared" si="14"/>
        <v>1.2826287229371192</v>
      </c>
      <c r="AM68" s="54">
        <f t="shared" si="14"/>
        <v>0</v>
      </c>
      <c r="AN68" s="54">
        <f t="shared" si="14"/>
        <v>0</v>
      </c>
      <c r="AO68" s="54">
        <f t="shared" si="14"/>
        <v>0</v>
      </c>
      <c r="AP68" s="54">
        <f t="shared" si="14"/>
        <v>0</v>
      </c>
      <c r="AQ68" s="54">
        <f t="shared" si="14"/>
        <v>0</v>
      </c>
      <c r="AR68" s="54">
        <f t="shared" si="14"/>
        <v>0</v>
      </c>
      <c r="AS68" s="54">
        <f t="shared" si="14"/>
        <v>0</v>
      </c>
      <c r="AT68" s="54">
        <f t="shared" si="14"/>
        <v>0</v>
      </c>
      <c r="AU68" s="54">
        <f t="shared" si="14"/>
        <v>0</v>
      </c>
      <c r="AV68" s="54">
        <f t="shared" si="14"/>
        <v>0</v>
      </c>
      <c r="AW68" s="54">
        <f t="shared" si="14"/>
        <v>0</v>
      </c>
      <c r="AX68" s="54">
        <f t="shared" si="14"/>
        <v>0</v>
      </c>
      <c r="AY68" s="54">
        <f t="shared" si="14"/>
        <v>0</v>
      </c>
      <c r="AZ68" s="54">
        <f t="shared" si="14"/>
        <v>15.075672627138726</v>
      </c>
      <c r="BA68" s="54">
        <f t="shared" si="14"/>
        <v>18.052373733506151</v>
      </c>
      <c r="BB68" s="54">
        <f t="shared" si="14"/>
        <v>0</v>
      </c>
      <c r="BC68" s="54">
        <f t="shared" si="14"/>
        <v>0</v>
      </c>
      <c r="BD68" s="54">
        <f t="shared" si="14"/>
        <v>0</v>
      </c>
    </row>
    <row r="69" spans="3:56" x14ac:dyDescent="0.25">
      <c r="C69" s="108"/>
      <c r="D69" s="50" t="s">
        <v>42</v>
      </c>
      <c r="E69" s="67">
        <v>0.85</v>
      </c>
      <c r="F69" s="67">
        <v>0.85</v>
      </c>
      <c r="G69" s="67">
        <v>0.85</v>
      </c>
      <c r="H69" s="67">
        <v>0.85</v>
      </c>
      <c r="I69" s="67">
        <v>0.85</v>
      </c>
      <c r="J69" s="67">
        <v>0.85</v>
      </c>
      <c r="K69" s="67">
        <v>0.85</v>
      </c>
      <c r="L69" s="67">
        <v>0.85</v>
      </c>
      <c r="M69" s="67">
        <v>0.85</v>
      </c>
      <c r="N69" s="67">
        <v>0.85</v>
      </c>
      <c r="O69" s="67">
        <v>0.85</v>
      </c>
      <c r="P69" s="67">
        <v>0.85</v>
      </c>
      <c r="Q69" s="67">
        <v>0.85</v>
      </c>
      <c r="R69" s="67">
        <v>0.85</v>
      </c>
      <c r="S69" s="67">
        <v>0.85</v>
      </c>
      <c r="T69" s="67">
        <v>0.85</v>
      </c>
      <c r="U69" s="67">
        <v>0.85</v>
      </c>
      <c r="V69" s="67">
        <v>0.85</v>
      </c>
      <c r="W69" s="67">
        <v>0.85</v>
      </c>
      <c r="X69" s="67">
        <v>0.85</v>
      </c>
      <c r="Y69" s="67">
        <v>0.85</v>
      </c>
      <c r="Z69" s="67">
        <v>0.85</v>
      </c>
      <c r="AA69" s="67">
        <v>0.85</v>
      </c>
      <c r="AB69" s="67">
        <v>0.85</v>
      </c>
      <c r="AC69" s="67">
        <v>0.85</v>
      </c>
      <c r="AD69" s="67">
        <v>0.85</v>
      </c>
      <c r="AE69" s="67">
        <v>0.85</v>
      </c>
      <c r="AF69" s="67">
        <v>0.85</v>
      </c>
      <c r="AG69" s="67">
        <v>0.85</v>
      </c>
      <c r="AH69" s="67">
        <v>0.85</v>
      </c>
      <c r="AI69" s="67">
        <v>0.85</v>
      </c>
      <c r="AJ69" s="67">
        <v>0.85</v>
      </c>
      <c r="AK69" s="67">
        <v>0.85</v>
      </c>
      <c r="AL69" s="67">
        <v>0.85</v>
      </c>
      <c r="AM69" s="67">
        <v>0.85</v>
      </c>
      <c r="AN69" s="67">
        <v>0.85</v>
      </c>
      <c r="AO69" s="67">
        <v>0.85</v>
      </c>
      <c r="AP69" s="67">
        <v>0.85</v>
      </c>
      <c r="AQ69" s="67">
        <v>0.85</v>
      </c>
      <c r="AR69" s="67">
        <v>0.85</v>
      </c>
      <c r="AS69" s="67">
        <v>0.85</v>
      </c>
      <c r="AT69" s="67">
        <v>0.85</v>
      </c>
      <c r="AU69" s="67">
        <v>0.85</v>
      </c>
      <c r="AV69" s="67">
        <v>0.85</v>
      </c>
      <c r="AW69" s="67">
        <v>0.85</v>
      </c>
      <c r="AX69" s="67">
        <v>0.85</v>
      </c>
      <c r="AY69" s="67">
        <v>0.85</v>
      </c>
      <c r="AZ69" s="67">
        <v>0.85</v>
      </c>
      <c r="BA69" s="67">
        <v>0.85</v>
      </c>
      <c r="BB69" s="67">
        <v>0.85</v>
      </c>
      <c r="BC69" s="67">
        <v>0.85</v>
      </c>
      <c r="BD69" s="67">
        <v>0.85</v>
      </c>
    </row>
    <row r="70" spans="3:56" x14ac:dyDescent="0.25">
      <c r="C70" s="108"/>
      <c r="D70" s="50" t="s">
        <v>43</v>
      </c>
      <c r="E70" s="65">
        <v>0</v>
      </c>
      <c r="F70" s="65">
        <v>0</v>
      </c>
      <c r="G70" s="65">
        <v>0</v>
      </c>
      <c r="H70" s="65">
        <v>-6</v>
      </c>
      <c r="I70" s="65">
        <v>0</v>
      </c>
      <c r="J70" s="65">
        <v>0</v>
      </c>
      <c r="K70" s="65">
        <v>-8</v>
      </c>
      <c r="L70" s="65">
        <v>-6</v>
      </c>
      <c r="M70" s="65">
        <v>-4</v>
      </c>
      <c r="N70" s="65">
        <v>0</v>
      </c>
      <c r="O70" s="65">
        <v>4</v>
      </c>
      <c r="P70" s="65">
        <v>0</v>
      </c>
      <c r="Q70" s="65">
        <v>0</v>
      </c>
      <c r="R70" s="65">
        <v>0</v>
      </c>
      <c r="S70" s="65">
        <v>0</v>
      </c>
      <c r="T70" s="65">
        <v>0</v>
      </c>
      <c r="U70" s="65">
        <v>8</v>
      </c>
      <c r="V70" s="65">
        <v>8</v>
      </c>
      <c r="W70" s="65">
        <v>8</v>
      </c>
      <c r="X70" s="65">
        <v>6</v>
      </c>
      <c r="Y70" s="65">
        <v>0</v>
      </c>
      <c r="Z70" s="65">
        <v>-4</v>
      </c>
      <c r="AA70" s="65">
        <v>0</v>
      </c>
      <c r="AB70" s="65">
        <v>0</v>
      </c>
      <c r="AC70" s="65">
        <v>-1</v>
      </c>
      <c r="AD70" s="65">
        <v>-1</v>
      </c>
      <c r="AE70" s="65">
        <v>-4</v>
      </c>
      <c r="AF70" s="65">
        <v>0</v>
      </c>
      <c r="AG70" s="65">
        <v>0</v>
      </c>
      <c r="AH70" s="65">
        <v>6</v>
      </c>
      <c r="AI70" s="65">
        <v>0</v>
      </c>
      <c r="AJ70" s="65">
        <v>8</v>
      </c>
      <c r="AK70" s="65">
        <v>8</v>
      </c>
      <c r="AL70" s="65">
        <v>2</v>
      </c>
      <c r="AM70" s="65">
        <v>0</v>
      </c>
      <c r="AN70" s="65">
        <v>0</v>
      </c>
      <c r="AO70" s="65">
        <v>0</v>
      </c>
      <c r="AP70" s="65">
        <v>0</v>
      </c>
      <c r="AQ70" s="65">
        <v>0</v>
      </c>
      <c r="AR70" s="65">
        <v>0</v>
      </c>
      <c r="AS70" s="65">
        <v>0</v>
      </c>
      <c r="AT70" s="65">
        <v>0</v>
      </c>
      <c r="AU70" s="65">
        <v>0</v>
      </c>
      <c r="AV70" s="65">
        <v>0</v>
      </c>
      <c r="AW70" s="65">
        <v>0</v>
      </c>
      <c r="AX70" s="65">
        <v>0</v>
      </c>
      <c r="AY70" s="65">
        <v>0</v>
      </c>
      <c r="AZ70" s="65">
        <v>6</v>
      </c>
      <c r="BA70" s="65">
        <v>8</v>
      </c>
      <c r="BB70" s="65">
        <v>0</v>
      </c>
      <c r="BC70" s="65">
        <v>0</v>
      </c>
      <c r="BD70" s="65">
        <v>0</v>
      </c>
    </row>
    <row r="71" spans="3:56" x14ac:dyDescent="0.25">
      <c r="C71" s="108"/>
      <c r="D71" s="51" t="s">
        <v>44</v>
      </c>
      <c r="E71" s="61">
        <f t="shared" ref="E71:L71" si="15">SUM(E61:E68)</f>
        <v>55.95</v>
      </c>
      <c r="F71" s="61">
        <f t="shared" si="15"/>
        <v>36.700000000000003</v>
      </c>
      <c r="G71" s="61">
        <f t="shared" si="15"/>
        <v>27.074999999999999</v>
      </c>
      <c r="H71" s="61">
        <f t="shared" si="15"/>
        <v>23.543478260869566</v>
      </c>
      <c r="I71" s="61">
        <f t="shared" si="15"/>
        <v>27.074999999999999</v>
      </c>
      <c r="J71" s="61">
        <f t="shared" si="15"/>
        <v>27.074999999999999</v>
      </c>
      <c r="K71" s="61">
        <f t="shared" si="15"/>
        <v>19.578260869565216</v>
      </c>
      <c r="L71" s="61">
        <f t="shared" si="15"/>
        <v>21.630434782608695</v>
      </c>
      <c r="M71" s="61">
        <f t="shared" ref="M71:BD71" si="16">SUM(M61:M68)</f>
        <v>21.684782608695652</v>
      </c>
      <c r="N71" s="61">
        <f t="shared" si="16"/>
        <v>22.625</v>
      </c>
      <c r="O71" s="61">
        <f t="shared" si="16"/>
        <v>26.630434782608695</v>
      </c>
      <c r="P71" s="61">
        <f t="shared" si="16"/>
        <v>24.5</v>
      </c>
      <c r="Q71" s="61">
        <f t="shared" si="16"/>
        <v>24.5</v>
      </c>
      <c r="R71" s="61">
        <f t="shared" si="16"/>
        <v>25.5</v>
      </c>
      <c r="S71" s="61">
        <f t="shared" si="16"/>
        <v>23.5</v>
      </c>
      <c r="T71" s="61">
        <f t="shared" si="16"/>
        <v>23.5</v>
      </c>
      <c r="U71" s="61">
        <f t="shared" si="16"/>
        <v>27.586956521739133</v>
      </c>
      <c r="V71" s="61">
        <f t="shared" si="16"/>
        <v>27.586956521739133</v>
      </c>
      <c r="W71" s="61">
        <f t="shared" si="16"/>
        <v>26.413043478260871</v>
      </c>
      <c r="X71" s="61">
        <f t="shared" si="16"/>
        <v>25.434782608695652</v>
      </c>
      <c r="Y71" s="61">
        <f t="shared" si="16"/>
        <v>26.6</v>
      </c>
      <c r="Z71" s="61">
        <f t="shared" si="16"/>
        <v>23.315478260869568</v>
      </c>
      <c r="AA71" s="61">
        <f t="shared" si="16"/>
        <v>31.15296</v>
      </c>
      <c r="AB71" s="61">
        <f t="shared" si="16"/>
        <v>30.6856656</v>
      </c>
      <c r="AC71" s="61">
        <f t="shared" si="16"/>
        <v>29.568307124347825</v>
      </c>
      <c r="AD71" s="61">
        <f t="shared" si="16"/>
        <v>25.21173903922174</v>
      </c>
      <c r="AE71" s="61">
        <f t="shared" si="16"/>
        <v>23.177992090057852</v>
      </c>
      <c r="AF71" s="61">
        <f t="shared" si="16"/>
        <v>24.004638609536219</v>
      </c>
      <c r="AG71" s="61">
        <f t="shared" si="16"/>
        <v>23.644569030393178</v>
      </c>
      <c r="AH71" s="61">
        <f t="shared" si="16"/>
        <v>26.32771360297258</v>
      </c>
      <c r="AI71" s="61">
        <f t="shared" si="16"/>
        <v>28.190551987513221</v>
      </c>
      <c r="AJ71" s="61">
        <f t="shared" si="16"/>
        <v>30.249031743822353</v>
      </c>
      <c r="AK71" s="61">
        <f t="shared" si="16"/>
        <v>29.795296267665016</v>
      </c>
      <c r="AL71" s="61">
        <f t="shared" si="16"/>
        <v>30.783089350490858</v>
      </c>
      <c r="AM71" s="61">
        <f t="shared" si="16"/>
        <v>29.057953718140432</v>
      </c>
      <c r="AN71" s="61">
        <f t="shared" si="16"/>
        <v>28.622084412368327</v>
      </c>
      <c r="AO71" s="61">
        <f t="shared" si="16"/>
        <v>28.192753146182802</v>
      </c>
      <c r="AP71" s="61">
        <f t="shared" si="16"/>
        <v>27.769861848990057</v>
      </c>
      <c r="AQ71" s="61">
        <f t="shared" si="16"/>
        <v>27.353313921255207</v>
      </c>
      <c r="AR71" s="61">
        <f t="shared" si="16"/>
        <v>26.943014212436381</v>
      </c>
      <c r="AS71" s="61">
        <f t="shared" si="16"/>
        <v>26.538868999249836</v>
      </c>
      <c r="AT71" s="61">
        <f t="shared" si="16"/>
        <v>26.140785964261084</v>
      </c>
      <c r="AU71" s="61">
        <f t="shared" si="16"/>
        <v>48.248674174797166</v>
      </c>
      <c r="AV71" s="61">
        <f t="shared" si="16"/>
        <v>64.837444062175209</v>
      </c>
      <c r="AW71" s="61">
        <f t="shared" si="16"/>
        <v>73.216507960620831</v>
      </c>
      <c r="AX71" s="61">
        <f t="shared" si="16"/>
        <v>71.386095261605305</v>
      </c>
      <c r="AY71" s="61">
        <f t="shared" si="16"/>
        <v>92.101442880065179</v>
      </c>
      <c r="AZ71" s="61">
        <f t="shared" si="16"/>
        <v>130.65582943520226</v>
      </c>
      <c r="BA71" s="61">
        <f t="shared" si="16"/>
        <v>121.85352270116653</v>
      </c>
      <c r="BB71" s="61">
        <f t="shared" si="16"/>
        <v>98.611091519277352</v>
      </c>
      <c r="BC71" s="61">
        <f t="shared" si="16"/>
        <v>93.680536943313484</v>
      </c>
      <c r="BD71" s="61">
        <f t="shared" si="16"/>
        <v>88.996510096147802</v>
      </c>
    </row>
    <row r="72" spans="3:56" x14ac:dyDescent="0.25">
      <c r="C72" s="108"/>
      <c r="D72" s="52" t="s">
        <v>45</v>
      </c>
      <c r="E72" s="56">
        <f>E71-E59</f>
        <v>6.5930000000000035</v>
      </c>
      <c r="F72" s="56">
        <f t="shared" ref="F72:BD72" si="17">F71-F59</f>
        <v>-0.99767901234566381</v>
      </c>
      <c r="G72" s="56">
        <f t="shared" si="17"/>
        <v>-0.41799620132953308</v>
      </c>
      <c r="H72" s="56">
        <f t="shared" si="17"/>
        <v>-2.5253726413146644</v>
      </c>
      <c r="I72" s="56">
        <f t="shared" si="17"/>
        <v>1.7818512345679025</v>
      </c>
      <c r="J72" s="56">
        <f t="shared" si="17"/>
        <v>3.0080484330484332</v>
      </c>
      <c r="K72" s="56">
        <f t="shared" si="17"/>
        <v>-1.1583250753540604</v>
      </c>
      <c r="L72" s="56">
        <f t="shared" si="17"/>
        <v>1.3323531111936902</v>
      </c>
      <c r="M72" s="56">
        <f t="shared" si="17"/>
        <v>0.82646352037656357</v>
      </c>
      <c r="N72" s="56">
        <f t="shared" si="17"/>
        <v>-1.5283570750237381</v>
      </c>
      <c r="O72" s="56">
        <f t="shared" si="17"/>
        <v>-2.2946554358148568</v>
      </c>
      <c r="P72" s="56">
        <f t="shared" si="17"/>
        <v>-3.4121082621082621</v>
      </c>
      <c r="Q72" s="56">
        <f t="shared" si="17"/>
        <v>1.3295331161780624</v>
      </c>
      <c r="R72" s="56">
        <f t="shared" si="17"/>
        <v>2.7336336336336338</v>
      </c>
      <c r="S72" s="56">
        <f t="shared" si="17"/>
        <v>0.70390390390390678</v>
      </c>
      <c r="T72" s="56">
        <f t="shared" si="17"/>
        <v>-1.7108108108108091</v>
      </c>
      <c r="U72" s="56">
        <f t="shared" si="17"/>
        <v>3.0087282935109059</v>
      </c>
      <c r="V72" s="56">
        <f t="shared" si="17"/>
        <v>-0.83466509988248916</v>
      </c>
      <c r="W72" s="56">
        <f t="shared" si="17"/>
        <v>-2.3159688674181425</v>
      </c>
      <c r="X72" s="56">
        <f t="shared" si="17"/>
        <v>-3.5720427881297425</v>
      </c>
      <c r="Y72" s="56">
        <f t="shared" si="17"/>
        <v>-1.638571428571435</v>
      </c>
      <c r="Z72" s="56">
        <f t="shared" si="17"/>
        <v>-1.0451566597653539</v>
      </c>
      <c r="AA72" s="56">
        <f t="shared" si="17"/>
        <v>0.97280126984126625</v>
      </c>
      <c r="AB72" s="56">
        <f t="shared" si="17"/>
        <v>2.2078878222222258</v>
      </c>
      <c r="AC72" s="56">
        <f t="shared" si="17"/>
        <v>2.6444976005382976</v>
      </c>
      <c r="AD72" s="56">
        <f t="shared" si="17"/>
        <v>2.649856323172358</v>
      </c>
      <c r="AE72" s="56">
        <f t="shared" si="17"/>
        <v>3.7747957430258872</v>
      </c>
      <c r="AF72" s="56">
        <f t="shared" si="17"/>
        <v>2.2892657023824938</v>
      </c>
      <c r="AG72" s="56">
        <f t="shared" si="17"/>
        <v>4.1375675083231691</v>
      </c>
      <c r="AH72" s="56">
        <f t="shared" si="17"/>
        <v>3.1054913807503581</v>
      </c>
      <c r="AI72" s="56">
        <f t="shared" si="17"/>
        <v>4.2132308307400095</v>
      </c>
      <c r="AJ72" s="56">
        <f t="shared" si="17"/>
        <v>3.2797775581298119</v>
      </c>
      <c r="AK72" s="56">
        <f t="shared" si="17"/>
        <v>1.6255854609679119</v>
      </c>
      <c r="AL72" s="56">
        <f t="shared" si="17"/>
        <v>2.9214455148744243</v>
      </c>
      <c r="AM72" s="56">
        <f t="shared" si="17"/>
        <v>3.6827571915118646</v>
      </c>
      <c r="AN72" s="56">
        <f t="shared" si="17"/>
        <v>6.1740571516049414</v>
      </c>
      <c r="AO72" s="56">
        <f t="shared" si="17"/>
        <v>5.3386957288332297</v>
      </c>
      <c r="AP72" s="56">
        <f t="shared" si="17"/>
        <v>3.818524080234873</v>
      </c>
      <c r="AQ72" s="56">
        <f t="shared" si="17"/>
        <v>1.2944834083153012</v>
      </c>
      <c r="AR72" s="56">
        <f t="shared" si="17"/>
        <v>3.0073882801895238</v>
      </c>
      <c r="AS72" s="56">
        <f t="shared" si="17"/>
        <v>1.2657846079252231</v>
      </c>
      <c r="AT72" s="56">
        <f t="shared" si="17"/>
        <v>8.7302504667142955E-2</v>
      </c>
      <c r="AU72" s="56">
        <f t="shared" si="17"/>
        <v>20.630923114931377</v>
      </c>
      <c r="AV72" s="56">
        <f t="shared" si="17"/>
        <v>27.56249683337191</v>
      </c>
      <c r="AW72" s="56">
        <f t="shared" si="17"/>
        <v>33.363552387320418</v>
      </c>
      <c r="AX72" s="56">
        <f t="shared" si="17"/>
        <v>32.304237457390784</v>
      </c>
      <c r="AY72" s="56">
        <f t="shared" si="17"/>
        <v>2.6176715868895002</v>
      </c>
      <c r="AZ72" s="56">
        <f t="shared" si="17"/>
        <v>7.3222071340682646</v>
      </c>
      <c r="BA72" s="56">
        <f t="shared" si="17"/>
        <v>10.549609324890127</v>
      </c>
      <c r="BB72" s="56">
        <f t="shared" si="17"/>
        <v>6.0788907766162481</v>
      </c>
      <c r="BC72" s="56">
        <f t="shared" si="17"/>
        <v>40.838892220407978</v>
      </c>
      <c r="BD72" s="56">
        <f t="shared" si="17"/>
        <v>41.452015995220783</v>
      </c>
    </row>
    <row r="73" spans="3:56" x14ac:dyDescent="0.25">
      <c r="E73" s="41"/>
      <c r="F73" s="41"/>
      <c r="G73" s="41"/>
    </row>
    <row r="74" spans="3:56" ht="15" customHeight="1" thickBot="1" x14ac:dyDescent="0.3">
      <c r="D74" s="46" t="s">
        <v>25</v>
      </c>
      <c r="E74" s="82">
        <f t="shared" ref="E74:BD74" si="18">E2</f>
        <v>44569</v>
      </c>
      <c r="F74" s="82">
        <f t="shared" si="18"/>
        <v>44576</v>
      </c>
      <c r="G74" s="82">
        <f t="shared" si="18"/>
        <v>44583</v>
      </c>
      <c r="H74" s="82">
        <f t="shared" si="18"/>
        <v>44590</v>
      </c>
      <c r="I74" s="82">
        <f t="shared" si="18"/>
        <v>44597</v>
      </c>
      <c r="J74" s="82">
        <f t="shared" si="18"/>
        <v>44604</v>
      </c>
      <c r="K74" s="82">
        <f t="shared" si="18"/>
        <v>44611</v>
      </c>
      <c r="L74" s="82">
        <f t="shared" si="18"/>
        <v>44618</v>
      </c>
      <c r="M74" s="82">
        <f t="shared" si="18"/>
        <v>44625</v>
      </c>
      <c r="N74" s="82">
        <f t="shared" si="18"/>
        <v>44632</v>
      </c>
      <c r="O74" s="82">
        <f t="shared" si="18"/>
        <v>44639</v>
      </c>
      <c r="P74" s="82">
        <f t="shared" si="18"/>
        <v>44646</v>
      </c>
      <c r="Q74" s="82">
        <f t="shared" si="18"/>
        <v>44653</v>
      </c>
      <c r="R74" s="82">
        <f t="shared" si="18"/>
        <v>44660</v>
      </c>
      <c r="S74" s="82">
        <f t="shared" si="18"/>
        <v>44667</v>
      </c>
      <c r="T74" s="82">
        <f t="shared" si="18"/>
        <v>44674</v>
      </c>
      <c r="U74" s="82">
        <f t="shared" si="18"/>
        <v>44681</v>
      </c>
      <c r="V74" s="82">
        <f t="shared" si="18"/>
        <v>44688</v>
      </c>
      <c r="W74" s="82">
        <f t="shared" si="18"/>
        <v>44695</v>
      </c>
      <c r="X74" s="82">
        <f t="shared" si="18"/>
        <v>44702</v>
      </c>
      <c r="Y74" s="82">
        <f t="shared" si="18"/>
        <v>44709</v>
      </c>
      <c r="Z74" s="82">
        <f t="shared" si="18"/>
        <v>44716</v>
      </c>
      <c r="AA74" s="82">
        <f t="shared" si="18"/>
        <v>44723</v>
      </c>
      <c r="AB74" s="82">
        <f t="shared" si="18"/>
        <v>44730</v>
      </c>
      <c r="AC74" s="82">
        <f t="shared" si="18"/>
        <v>44737</v>
      </c>
      <c r="AD74" s="82">
        <f t="shared" si="18"/>
        <v>44744</v>
      </c>
      <c r="AE74" s="82">
        <f t="shared" si="18"/>
        <v>44751</v>
      </c>
      <c r="AF74" s="82">
        <f t="shared" si="18"/>
        <v>44758</v>
      </c>
      <c r="AG74" s="82">
        <f t="shared" si="18"/>
        <v>44765</v>
      </c>
      <c r="AH74" s="82">
        <f t="shared" si="18"/>
        <v>44772</v>
      </c>
      <c r="AI74" s="82">
        <f t="shared" si="18"/>
        <v>44779</v>
      </c>
      <c r="AJ74" s="82">
        <f t="shared" si="18"/>
        <v>44786</v>
      </c>
      <c r="AK74" s="82">
        <f t="shared" si="18"/>
        <v>44793</v>
      </c>
      <c r="AL74" s="82">
        <f t="shared" si="18"/>
        <v>44800</v>
      </c>
      <c r="AM74" s="82">
        <f t="shared" si="18"/>
        <v>44807</v>
      </c>
      <c r="AN74" s="82">
        <f t="shared" si="18"/>
        <v>44814</v>
      </c>
      <c r="AO74" s="82">
        <f t="shared" si="18"/>
        <v>44821</v>
      </c>
      <c r="AP74" s="82">
        <f t="shared" si="18"/>
        <v>44828</v>
      </c>
      <c r="AQ74" s="82">
        <f t="shared" si="18"/>
        <v>44835</v>
      </c>
      <c r="AR74" s="82">
        <f t="shared" si="18"/>
        <v>44842</v>
      </c>
      <c r="AS74" s="82">
        <f t="shared" si="18"/>
        <v>44849</v>
      </c>
      <c r="AT74" s="82">
        <f t="shared" si="18"/>
        <v>44856</v>
      </c>
      <c r="AU74" s="82">
        <f t="shared" si="18"/>
        <v>44863</v>
      </c>
      <c r="AV74" s="82">
        <f t="shared" si="18"/>
        <v>44870</v>
      </c>
      <c r="AW74" s="82">
        <f t="shared" si="18"/>
        <v>44877</v>
      </c>
      <c r="AX74" s="82">
        <f t="shared" si="18"/>
        <v>44884</v>
      </c>
      <c r="AY74" s="82">
        <f t="shared" si="18"/>
        <v>44891</v>
      </c>
      <c r="AZ74" s="82">
        <f t="shared" si="18"/>
        <v>44898</v>
      </c>
      <c r="BA74" s="82">
        <f t="shared" si="18"/>
        <v>44905</v>
      </c>
      <c r="BB74" s="82">
        <f t="shared" si="18"/>
        <v>44912</v>
      </c>
      <c r="BC74" s="82">
        <f t="shared" si="18"/>
        <v>44919</v>
      </c>
      <c r="BD74" s="82">
        <f t="shared" si="18"/>
        <v>44926</v>
      </c>
    </row>
    <row r="75" spans="3:56" ht="15" customHeight="1" x14ac:dyDescent="0.25">
      <c r="C75" s="111" t="s">
        <v>126</v>
      </c>
      <c r="D75" s="41" t="s">
        <v>27</v>
      </c>
      <c r="E75" s="70">
        <v>4768.0372273522371</v>
      </c>
      <c r="F75" s="70">
        <v>4024.9234482040247</v>
      </c>
      <c r="G75" s="70">
        <v>3037.6939105784122</v>
      </c>
      <c r="H75" s="70">
        <v>2761.3933243606998</v>
      </c>
      <c r="I75" s="70">
        <v>2658.4910761072133</v>
      </c>
      <c r="J75" s="70">
        <v>2404.9903060664292</v>
      </c>
      <c r="K75" s="70">
        <v>1848.9349793308979</v>
      </c>
      <c r="L75" s="70">
        <v>2208.8728816480634</v>
      </c>
      <c r="M75" s="70">
        <v>2249.2295000000004</v>
      </c>
      <c r="N75" s="70">
        <v>2605.9117500000002</v>
      </c>
      <c r="O75" s="70">
        <v>3034.9175000000005</v>
      </c>
      <c r="P75" s="70">
        <v>3059.1443210754287</v>
      </c>
      <c r="Q75" s="70">
        <v>2408.7582952380958</v>
      </c>
      <c r="R75" s="70">
        <v>2348.531949752381</v>
      </c>
      <c r="S75" s="70">
        <v>2384.2910000000002</v>
      </c>
      <c r="T75" s="70">
        <v>2576.9493375000002</v>
      </c>
      <c r="U75" s="70">
        <v>2553.6950000000002</v>
      </c>
      <c r="V75" s="70">
        <v>2896.3711287156257</v>
      </c>
      <c r="W75" s="70">
        <v>2803.72075</v>
      </c>
      <c r="X75" s="70">
        <v>3331.6764999999996</v>
      </c>
      <c r="Y75" s="70">
        <v>3175.3667750000004</v>
      </c>
      <c r="Z75" s="70">
        <v>2797.9672499999997</v>
      </c>
      <c r="AA75" s="70">
        <v>3466.4507500000004</v>
      </c>
      <c r="AB75" s="70">
        <v>3270.9795000000004</v>
      </c>
      <c r="AC75" s="70">
        <v>3092.3155000000006</v>
      </c>
      <c r="AD75" s="70">
        <v>2665.3665000000001</v>
      </c>
      <c r="AE75" s="70">
        <v>2324.15</v>
      </c>
      <c r="AF75" s="70">
        <v>2601.1217500000002</v>
      </c>
      <c r="AG75" s="70">
        <v>2336.6102499999997</v>
      </c>
      <c r="AH75" s="70">
        <v>2781.62</v>
      </c>
      <c r="AI75" s="70">
        <v>2872.0387500000006</v>
      </c>
      <c r="AJ75" s="70">
        <v>3230.2867499999998</v>
      </c>
      <c r="AK75" s="70">
        <v>3374.2035000000001</v>
      </c>
      <c r="AL75" s="70">
        <v>3337.1677500000001</v>
      </c>
      <c r="AM75" s="70">
        <v>2510.7720614760465</v>
      </c>
      <c r="AN75" s="70">
        <v>2221.1406174699605</v>
      </c>
      <c r="AO75" s="70">
        <v>2261.3156431965012</v>
      </c>
      <c r="AP75" s="70">
        <v>2369.8870525656744</v>
      </c>
      <c r="AQ75" s="70">
        <v>2578.4148523921585</v>
      </c>
      <c r="AR75" s="70">
        <v>2400.775340518896</v>
      </c>
      <c r="AS75" s="70">
        <v>2534.9242153639188</v>
      </c>
      <c r="AT75" s="70">
        <v>2613.1992871823172</v>
      </c>
      <c r="AU75" s="70">
        <v>2770.0974226785711</v>
      </c>
      <c r="AV75" s="70">
        <v>2867.2944932281425</v>
      </c>
      <c r="AW75" s="70">
        <v>3065.6021952967553</v>
      </c>
      <c r="AX75" s="70">
        <v>3006.2871713620725</v>
      </c>
      <c r="AY75" s="70">
        <v>7158.6788845271376</v>
      </c>
      <c r="AZ75" s="70">
        <v>9993.1539528948761</v>
      </c>
      <c r="BA75" s="70">
        <v>8675.9696949293102</v>
      </c>
      <c r="BB75" s="70">
        <v>7212.7434256013803</v>
      </c>
      <c r="BC75" s="70">
        <v>4064.7289450762064</v>
      </c>
      <c r="BD75" s="70">
        <v>3657.2571191613888</v>
      </c>
    </row>
    <row r="76" spans="3:56" x14ac:dyDescent="0.25">
      <c r="C76" s="106"/>
      <c r="D76" s="41" t="s">
        <v>22</v>
      </c>
      <c r="E76" s="70">
        <v>395.25384118144297</v>
      </c>
      <c r="F76" s="70">
        <v>393.32590910093279</v>
      </c>
      <c r="G76" s="70">
        <v>394.99424828107027</v>
      </c>
      <c r="H76" s="70">
        <v>395.85516467065867</v>
      </c>
      <c r="I76" s="70">
        <v>396.01527022306499</v>
      </c>
      <c r="J76" s="70">
        <v>396.29911131898973</v>
      </c>
      <c r="K76" s="70">
        <v>398.87093813108135</v>
      </c>
      <c r="L76" s="70">
        <v>394.5574009074565</v>
      </c>
      <c r="M76" s="70">
        <v>394.73684210526312</v>
      </c>
      <c r="N76" s="70">
        <v>382.89473684210526</v>
      </c>
      <c r="O76" s="70">
        <v>382.89473684210526</v>
      </c>
      <c r="P76" s="70">
        <v>382.8947368421052</v>
      </c>
      <c r="Q76" s="70">
        <v>382.8947368421052</v>
      </c>
      <c r="R76" s="70">
        <v>382.89473684210526</v>
      </c>
      <c r="S76" s="70">
        <v>382.8947368421052</v>
      </c>
      <c r="T76" s="70">
        <v>382.8947368421052</v>
      </c>
      <c r="U76" s="70">
        <v>382.89473684210526</v>
      </c>
      <c r="V76" s="70">
        <v>382.8947368421052</v>
      </c>
      <c r="W76" s="70">
        <v>382.89473684210526</v>
      </c>
      <c r="X76" s="70">
        <v>381.52173913043481</v>
      </c>
      <c r="Y76" s="70">
        <v>381.5217391304347</v>
      </c>
      <c r="Z76" s="70">
        <v>381.52173913043475</v>
      </c>
      <c r="AA76" s="70">
        <v>381.52173913043475</v>
      </c>
      <c r="AB76" s="70">
        <v>381.52173913043475</v>
      </c>
      <c r="AC76" s="70">
        <v>381.52173913043475</v>
      </c>
      <c r="AD76" s="70">
        <v>381.52173913043481</v>
      </c>
      <c r="AE76" s="70">
        <v>381.52173913043475</v>
      </c>
      <c r="AF76" s="70">
        <v>381.52173913043481</v>
      </c>
      <c r="AG76" s="70">
        <v>381.52173913043481</v>
      </c>
      <c r="AH76" s="70">
        <v>381.52173913043481</v>
      </c>
      <c r="AI76" s="70">
        <v>381.5217391304347</v>
      </c>
      <c r="AJ76" s="70">
        <v>381.52173913043481</v>
      </c>
      <c r="AK76" s="70">
        <v>381.52173913043481</v>
      </c>
      <c r="AL76" s="70">
        <v>381.52173913043481</v>
      </c>
      <c r="AM76" s="70">
        <v>382.89473684210526</v>
      </c>
      <c r="AN76" s="70">
        <v>382.8947368421052</v>
      </c>
      <c r="AO76" s="70">
        <v>382.89473684210532</v>
      </c>
      <c r="AP76" s="70">
        <v>382.89473684210532</v>
      </c>
      <c r="AQ76" s="70">
        <v>382.8947368421052</v>
      </c>
      <c r="AR76" s="70">
        <v>382.89473684210526</v>
      </c>
      <c r="AS76" s="70">
        <v>382.89473684210532</v>
      </c>
      <c r="AT76" s="70">
        <v>382.8947368421052</v>
      </c>
      <c r="AU76" s="70">
        <v>382.89473684210526</v>
      </c>
      <c r="AV76" s="70">
        <v>383.8235294117647</v>
      </c>
      <c r="AW76" s="70">
        <v>383.82352941176464</v>
      </c>
      <c r="AX76" s="70">
        <v>383.82352941176475</v>
      </c>
      <c r="AY76" s="70">
        <v>383.82352941176475</v>
      </c>
      <c r="AZ76" s="70">
        <v>383.82352941176475</v>
      </c>
      <c r="BA76" s="70">
        <v>383.82352941176475</v>
      </c>
      <c r="BB76" s="70">
        <v>383.82352941176464</v>
      </c>
      <c r="BC76" s="70">
        <v>383.82352941176475</v>
      </c>
      <c r="BD76" s="70">
        <v>383.82352941176481</v>
      </c>
    </row>
    <row r="77" spans="3:56" x14ac:dyDescent="0.25">
      <c r="C77" s="106"/>
      <c r="D77" s="41" t="s">
        <v>23</v>
      </c>
      <c r="E77" s="68">
        <v>0.9</v>
      </c>
      <c r="F77" s="68">
        <v>0.9</v>
      </c>
      <c r="G77" s="68">
        <v>0.9</v>
      </c>
      <c r="H77" s="68">
        <v>0.9</v>
      </c>
      <c r="I77" s="68">
        <v>0.9</v>
      </c>
      <c r="J77" s="68">
        <v>0.9</v>
      </c>
      <c r="K77" s="68">
        <v>0.9</v>
      </c>
      <c r="L77" s="68">
        <v>0.9</v>
      </c>
      <c r="M77" s="68">
        <v>0.9</v>
      </c>
      <c r="N77" s="68">
        <v>0.9</v>
      </c>
      <c r="O77" s="68">
        <v>0.9</v>
      </c>
      <c r="P77" s="68">
        <v>0.9</v>
      </c>
      <c r="Q77" s="68">
        <v>0.9</v>
      </c>
      <c r="R77" s="68">
        <v>0.9</v>
      </c>
      <c r="S77" s="68">
        <v>0.9</v>
      </c>
      <c r="T77" s="68">
        <v>0.9</v>
      </c>
      <c r="U77" s="68">
        <v>0.9</v>
      </c>
      <c r="V77" s="68">
        <v>0.9</v>
      </c>
      <c r="W77" s="68">
        <v>0.9</v>
      </c>
      <c r="X77" s="68">
        <v>0.9</v>
      </c>
      <c r="Y77" s="68">
        <v>0.9</v>
      </c>
      <c r="Z77" s="68">
        <v>0.9</v>
      </c>
      <c r="AA77" s="68">
        <v>0.9</v>
      </c>
      <c r="AB77" s="68">
        <v>0.9</v>
      </c>
      <c r="AC77" s="68">
        <v>0.9</v>
      </c>
      <c r="AD77" s="68">
        <v>0.9</v>
      </c>
      <c r="AE77" s="68">
        <v>0.9</v>
      </c>
      <c r="AF77" s="68">
        <v>0.9</v>
      </c>
      <c r="AG77" s="68">
        <v>0.9</v>
      </c>
      <c r="AH77" s="68">
        <v>0.9</v>
      </c>
      <c r="AI77" s="68">
        <v>0.9</v>
      </c>
      <c r="AJ77" s="68">
        <v>0.9</v>
      </c>
      <c r="AK77" s="68">
        <v>0.9</v>
      </c>
      <c r="AL77" s="68">
        <v>0.9</v>
      </c>
      <c r="AM77" s="68">
        <v>0.9</v>
      </c>
      <c r="AN77" s="68">
        <v>0.9</v>
      </c>
      <c r="AO77" s="68">
        <v>0.9</v>
      </c>
      <c r="AP77" s="68">
        <v>0.9</v>
      </c>
      <c r="AQ77" s="68">
        <v>0.9</v>
      </c>
      <c r="AR77" s="68">
        <v>0.9</v>
      </c>
      <c r="AS77" s="68">
        <v>0.9</v>
      </c>
      <c r="AT77" s="68">
        <v>0.9</v>
      </c>
      <c r="AU77" s="68">
        <v>0.9</v>
      </c>
      <c r="AV77" s="68">
        <v>0.9</v>
      </c>
      <c r="AW77" s="68">
        <v>0.9</v>
      </c>
      <c r="AX77" s="68">
        <v>0.9</v>
      </c>
      <c r="AY77" s="68">
        <v>0.9</v>
      </c>
      <c r="AZ77" s="68">
        <v>0.9</v>
      </c>
      <c r="BA77" s="68">
        <v>0.9</v>
      </c>
      <c r="BB77" s="68">
        <v>0.9</v>
      </c>
      <c r="BC77" s="68">
        <v>0.9</v>
      </c>
      <c r="BD77" s="68">
        <v>0.9</v>
      </c>
    </row>
    <row r="78" spans="3:56" x14ac:dyDescent="0.25">
      <c r="C78" s="106"/>
      <c r="D78" s="41" t="s">
        <v>26</v>
      </c>
      <c r="E78" s="68">
        <v>0.35</v>
      </c>
      <c r="F78" s="68">
        <v>0.35</v>
      </c>
      <c r="G78" s="68">
        <v>0.33999999999999997</v>
      </c>
      <c r="H78" s="68">
        <v>0.33999999999999997</v>
      </c>
      <c r="I78" s="68">
        <v>0.32999999999999996</v>
      </c>
      <c r="J78" s="68">
        <v>0.32999999999999996</v>
      </c>
      <c r="K78" s="68">
        <v>0.32999999999999996</v>
      </c>
      <c r="L78" s="68">
        <v>0.32999999999999996</v>
      </c>
      <c r="M78" s="68">
        <v>0.32999999999999996</v>
      </c>
      <c r="N78" s="68">
        <v>0.32</v>
      </c>
      <c r="O78" s="68">
        <v>0.32</v>
      </c>
      <c r="P78" s="68">
        <v>0.32</v>
      </c>
      <c r="Q78" s="68">
        <v>0.33250000000000002</v>
      </c>
      <c r="R78" s="68">
        <v>0.36249999999999999</v>
      </c>
      <c r="S78" s="68">
        <v>0.35</v>
      </c>
      <c r="T78" s="68">
        <v>0.33999999999999997</v>
      </c>
      <c r="U78" s="68">
        <v>0.33999999999999997</v>
      </c>
      <c r="V78" s="68">
        <v>0.32999999999999996</v>
      </c>
      <c r="W78" s="68">
        <v>0.35</v>
      </c>
      <c r="X78" s="68">
        <v>0.37</v>
      </c>
      <c r="Y78" s="68">
        <v>0.37</v>
      </c>
      <c r="Z78" s="68">
        <v>0.37</v>
      </c>
      <c r="AA78" s="68">
        <v>0.36000000000000004</v>
      </c>
      <c r="AB78" s="68">
        <v>0.36000000000000004</v>
      </c>
      <c r="AC78" s="68">
        <v>0.36000000000000004</v>
      </c>
      <c r="AD78" s="68">
        <v>0.34</v>
      </c>
      <c r="AE78" s="68">
        <v>0.35</v>
      </c>
      <c r="AF78" s="68">
        <v>0.35</v>
      </c>
      <c r="AG78" s="68">
        <v>0.33999999999999997</v>
      </c>
      <c r="AH78" s="68">
        <v>0.33999999999999997</v>
      </c>
      <c r="AI78" s="68">
        <v>0.32999999999999996</v>
      </c>
      <c r="AJ78" s="68">
        <v>0.32999999999999996</v>
      </c>
      <c r="AK78" s="68">
        <v>0.32999999999999996</v>
      </c>
      <c r="AL78" s="68">
        <v>0.32999999999999996</v>
      </c>
      <c r="AM78" s="68">
        <v>0.32999999999999996</v>
      </c>
      <c r="AN78" s="68">
        <v>0.32</v>
      </c>
      <c r="AO78" s="68">
        <v>0.32</v>
      </c>
      <c r="AP78" s="68">
        <v>0.32</v>
      </c>
      <c r="AQ78" s="68">
        <v>0.32</v>
      </c>
      <c r="AR78" s="68">
        <v>0.31</v>
      </c>
      <c r="AS78" s="68">
        <v>0.31</v>
      </c>
      <c r="AT78" s="68">
        <v>0.3</v>
      </c>
      <c r="AU78" s="68">
        <v>0.3</v>
      </c>
      <c r="AV78" s="68">
        <v>0.29000000000000004</v>
      </c>
      <c r="AW78" s="68">
        <v>0.29000000000000004</v>
      </c>
      <c r="AX78" s="68">
        <v>0.29000000000000004</v>
      </c>
      <c r="AY78" s="68">
        <v>0.29000000000000004</v>
      </c>
      <c r="AZ78" s="68">
        <v>0.27</v>
      </c>
      <c r="BA78" s="68">
        <v>0.27</v>
      </c>
      <c r="BB78" s="68">
        <v>0.27</v>
      </c>
      <c r="BC78" s="68">
        <v>0.27</v>
      </c>
      <c r="BD78" s="68">
        <v>0.27</v>
      </c>
    </row>
    <row r="79" spans="3:56" x14ac:dyDescent="0.25">
      <c r="C79" s="106"/>
      <c r="D79" s="41" t="s">
        <v>33</v>
      </c>
      <c r="E79" s="83">
        <f t="shared" ref="E79:BD79" si="19">(E75*E76)/3600/40/E77/(1-E78)</f>
        <v>22.371617153455471</v>
      </c>
      <c r="F79" s="83">
        <f t="shared" si="19"/>
        <v>18.792814272631876</v>
      </c>
      <c r="G79" s="83">
        <f t="shared" si="19"/>
        <v>14.027679839095871</v>
      </c>
      <c r="H79" s="83">
        <f t="shared" si="19"/>
        <v>12.779552575936007</v>
      </c>
      <c r="I79" s="83">
        <f t="shared" si="19"/>
        <v>12.124597635551465</v>
      </c>
      <c r="J79" s="83">
        <f t="shared" si="19"/>
        <v>10.976316577124917</v>
      </c>
      <c r="K79" s="83">
        <f t="shared" si="19"/>
        <v>8.4932562851147821</v>
      </c>
      <c r="L79" s="83">
        <f t="shared" si="19"/>
        <v>10.036935036830011</v>
      </c>
      <c r="M79" s="83">
        <f t="shared" si="19"/>
        <v>10.224960268103926</v>
      </c>
      <c r="N79" s="84">
        <f t="shared" si="19"/>
        <v>11.322053079044119</v>
      </c>
      <c r="O79" s="83">
        <f t="shared" si="19"/>
        <v>13.185978775190636</v>
      </c>
      <c r="P79" s="83">
        <f t="shared" si="19"/>
        <v>13.291238423431796</v>
      </c>
      <c r="Q79" s="83">
        <f t="shared" si="19"/>
        <v>10.661451814530778</v>
      </c>
      <c r="R79" s="83">
        <f t="shared" si="19"/>
        <v>10.884053774700003</v>
      </c>
      <c r="S79" s="83">
        <f t="shared" si="19"/>
        <v>10.837280092592591</v>
      </c>
      <c r="T79" s="83">
        <f t="shared" si="19"/>
        <v>11.535497783827859</v>
      </c>
      <c r="U79" s="83">
        <f t="shared" si="19"/>
        <v>11.431401690516271</v>
      </c>
      <c r="V79" s="83">
        <f t="shared" si="19"/>
        <v>12.771849791858308</v>
      </c>
      <c r="W79" s="83">
        <f t="shared" si="19"/>
        <v>12.743707487535611</v>
      </c>
      <c r="X79" s="83">
        <f t="shared" si="19"/>
        <v>15.568134093915342</v>
      </c>
      <c r="Y79" s="83">
        <f t="shared" si="19"/>
        <v>14.83773582175926</v>
      </c>
      <c r="Z79" s="83">
        <f t="shared" si="19"/>
        <v>13.074237351190472</v>
      </c>
      <c r="AA79" s="83">
        <f t="shared" si="19"/>
        <v>15.944809977213545</v>
      </c>
      <c r="AB79" s="83">
        <f t="shared" si="19"/>
        <v>15.045690917968754</v>
      </c>
      <c r="AC79" s="83">
        <f t="shared" si="19"/>
        <v>14.223881022135423</v>
      </c>
      <c r="AD79" s="83">
        <f t="shared" si="19"/>
        <v>11.888506155303034</v>
      </c>
      <c r="AE79" s="83">
        <f t="shared" si="19"/>
        <v>10.526041666666664</v>
      </c>
      <c r="AF79" s="83">
        <f t="shared" si="19"/>
        <v>11.780442708333334</v>
      </c>
      <c r="AG79" s="83">
        <f t="shared" si="19"/>
        <v>10.422133443813129</v>
      </c>
      <c r="AH79" s="83">
        <f t="shared" si="19"/>
        <v>12.40703914141414</v>
      </c>
      <c r="AI79" s="83">
        <f t="shared" si="19"/>
        <v>12.619140624999998</v>
      </c>
      <c r="AJ79" s="83">
        <f t="shared" si="19"/>
        <v>14.1932077891791</v>
      </c>
      <c r="AK79" s="83">
        <f t="shared" si="19"/>
        <v>14.825548041044776</v>
      </c>
      <c r="AL79" s="83">
        <f t="shared" si="19"/>
        <v>14.662820662313436</v>
      </c>
      <c r="AM79" s="83">
        <f t="shared" si="19"/>
        <v>11.071510592286034</v>
      </c>
      <c r="AN79" s="83">
        <f t="shared" si="19"/>
        <v>9.6503160427499974</v>
      </c>
      <c r="AO79" s="83">
        <f t="shared" si="19"/>
        <v>9.8248667633290285</v>
      </c>
      <c r="AP79" s="83">
        <f t="shared" si="19"/>
        <v>10.296583144263417</v>
      </c>
      <c r="AQ79" s="83">
        <f t="shared" si="19"/>
        <v>11.202585743197069</v>
      </c>
      <c r="AR79" s="83">
        <f t="shared" si="19"/>
        <v>10.279614446065915</v>
      </c>
      <c r="AS79" s="83">
        <f t="shared" si="19"/>
        <v>10.854011678704241</v>
      </c>
      <c r="AT79" s="83">
        <f t="shared" si="19"/>
        <v>11.02932378066193</v>
      </c>
      <c r="AU79" s="83">
        <f t="shared" si="19"/>
        <v>11.691531345717653</v>
      </c>
      <c r="AV79" s="83">
        <f t="shared" si="19"/>
        <v>11.960257914425133</v>
      </c>
      <c r="AW79" s="83">
        <f t="shared" si="19"/>
        <v>12.787452773118313</v>
      </c>
      <c r="AX79" s="83">
        <f t="shared" si="19"/>
        <v>12.540033826046573</v>
      </c>
      <c r="AY79" s="83">
        <f t="shared" si="19"/>
        <v>29.860778510092601</v>
      </c>
      <c r="AZ79" s="83">
        <f t="shared" si="19"/>
        <v>40.54210658882166</v>
      </c>
      <c r="BA79" s="83">
        <f t="shared" si="19"/>
        <v>35.198305739232197</v>
      </c>
      <c r="BB79" s="83">
        <f t="shared" si="19"/>
        <v>29.262014188607974</v>
      </c>
      <c r="BC79" s="83">
        <f t="shared" si="19"/>
        <v>16.490556927546386</v>
      </c>
      <c r="BD79" s="83">
        <f t="shared" si="19"/>
        <v>14.837448581967989</v>
      </c>
    </row>
    <row r="80" spans="3:56" x14ac:dyDescent="0.25">
      <c r="C80" s="106"/>
      <c r="E80" s="42"/>
      <c r="F80" s="42"/>
      <c r="G80" s="42"/>
      <c r="H80" s="42"/>
      <c r="I80" s="42"/>
      <c r="J80" s="42"/>
      <c r="K80" s="42"/>
      <c r="L80" s="42"/>
      <c r="M80" s="42"/>
    </row>
    <row r="81" spans="3:56" x14ac:dyDescent="0.25">
      <c r="C81" s="106"/>
      <c r="D81" s="49" t="s">
        <v>34</v>
      </c>
      <c r="E81" s="65">
        <v>0.75</v>
      </c>
      <c r="F81" s="65">
        <v>0</v>
      </c>
      <c r="G81" s="65">
        <v>0</v>
      </c>
      <c r="H81" s="65">
        <v>13.5</v>
      </c>
      <c r="I81" s="65">
        <v>13.5</v>
      </c>
      <c r="J81" s="65">
        <v>13.5</v>
      </c>
      <c r="K81" s="65">
        <v>13.5</v>
      </c>
      <c r="L81" s="65">
        <v>13.125</v>
      </c>
      <c r="M81" s="65">
        <v>9.125</v>
      </c>
      <c r="N81" s="65">
        <v>7.625</v>
      </c>
      <c r="O81" s="65">
        <v>5.625</v>
      </c>
      <c r="P81" s="65">
        <v>5.63</v>
      </c>
      <c r="Q81" s="65">
        <v>5.625</v>
      </c>
      <c r="R81" s="65">
        <v>5.625</v>
      </c>
      <c r="S81" s="65">
        <v>5.625</v>
      </c>
      <c r="T81" s="65">
        <v>5.625</v>
      </c>
      <c r="U81" s="65">
        <v>7.625</v>
      </c>
      <c r="V81" s="65">
        <v>7.625</v>
      </c>
      <c r="W81" s="65">
        <v>7.625</v>
      </c>
      <c r="X81" s="65">
        <v>7.625</v>
      </c>
      <c r="Y81" s="65">
        <v>7.586875</v>
      </c>
      <c r="Z81" s="65">
        <v>7.5489406250000002</v>
      </c>
      <c r="AA81" s="65">
        <v>7.5111959218750002</v>
      </c>
      <c r="AB81" s="65">
        <v>7.473639942265625</v>
      </c>
      <c r="AC81" s="65">
        <v>7.4362717425542968</v>
      </c>
      <c r="AD81" s="65">
        <v>7.399090383841525</v>
      </c>
      <c r="AE81" s="65">
        <v>7.362094931922317</v>
      </c>
      <c r="AF81" s="65">
        <v>7.3252844572627058</v>
      </c>
      <c r="AG81" s="65">
        <v>7.2886580349763923</v>
      </c>
      <c r="AH81" s="65">
        <v>7.2522147448015106</v>
      </c>
      <c r="AI81" s="65">
        <v>7.2159536710775027</v>
      </c>
      <c r="AJ81" s="65">
        <v>7.1798739027221155</v>
      </c>
      <c r="AK81" s="65">
        <v>7.143974533208505</v>
      </c>
      <c r="AL81" s="65">
        <v>7.1082546605424621</v>
      </c>
      <c r="AM81" s="65">
        <v>7.0727133872397498</v>
      </c>
      <c r="AN81" s="65">
        <v>7.0373498203035512</v>
      </c>
      <c r="AO81" s="65">
        <v>7.0021630712020331</v>
      </c>
      <c r="AP81" s="65">
        <v>6.967152255846023</v>
      </c>
      <c r="AQ81" s="65">
        <v>6.932316494566793</v>
      </c>
      <c r="AR81" s="65">
        <v>6.8976549120939588</v>
      </c>
      <c r="AS81" s="65">
        <v>6.8631666375334888</v>
      </c>
      <c r="AT81" s="65">
        <v>6.8288508043458211</v>
      </c>
      <c r="AU81" s="65">
        <v>6.7947065503240918</v>
      </c>
      <c r="AV81" s="65">
        <v>6.7607330175724716</v>
      </c>
      <c r="AW81" s="65">
        <v>6.7269293524846097</v>
      </c>
      <c r="AX81" s="65">
        <v>6.6932947057221863</v>
      </c>
      <c r="AY81" s="65">
        <v>6.6598282321935756</v>
      </c>
      <c r="AZ81" s="65">
        <v>6.6265290910326078</v>
      </c>
      <c r="BA81" s="65">
        <v>6.5271311546671189</v>
      </c>
      <c r="BB81" s="65">
        <v>6.4292241873471125</v>
      </c>
      <c r="BC81" s="65">
        <v>6.3327858245369057</v>
      </c>
      <c r="BD81" s="65">
        <v>6.2377940371688521</v>
      </c>
    </row>
    <row r="82" spans="3:56" x14ac:dyDescent="0.25">
      <c r="C82" s="106"/>
      <c r="D82" s="49" t="s">
        <v>35</v>
      </c>
      <c r="E82" s="65">
        <v>1.75</v>
      </c>
      <c r="F82" s="65">
        <v>0</v>
      </c>
      <c r="G82" s="65">
        <v>0</v>
      </c>
      <c r="H82" s="65">
        <v>1</v>
      </c>
      <c r="I82" s="65">
        <v>1</v>
      </c>
      <c r="J82" s="65">
        <v>1</v>
      </c>
      <c r="K82" s="65">
        <v>2</v>
      </c>
      <c r="L82" s="65">
        <v>2</v>
      </c>
      <c r="M82" s="65">
        <v>5</v>
      </c>
      <c r="N82" s="65">
        <v>5</v>
      </c>
      <c r="O82" s="65">
        <v>3</v>
      </c>
      <c r="P82" s="65">
        <v>3</v>
      </c>
      <c r="Q82" s="65">
        <v>3</v>
      </c>
      <c r="R82" s="65">
        <v>3</v>
      </c>
      <c r="S82" s="65">
        <v>3</v>
      </c>
      <c r="T82" s="65">
        <v>3</v>
      </c>
      <c r="U82" s="65">
        <v>5</v>
      </c>
      <c r="V82" s="65">
        <v>5</v>
      </c>
      <c r="W82" s="65">
        <v>5</v>
      </c>
      <c r="X82" s="65">
        <v>5</v>
      </c>
      <c r="Y82" s="65">
        <v>4.9749999999999996</v>
      </c>
      <c r="Z82" s="65">
        <v>4.9501249999999999</v>
      </c>
      <c r="AA82" s="65">
        <v>4.9253743749999996</v>
      </c>
      <c r="AB82" s="65">
        <v>4.9007475031249994</v>
      </c>
      <c r="AC82" s="65">
        <v>4.8762437656093747</v>
      </c>
      <c r="AD82" s="65">
        <v>1.8518625467813274</v>
      </c>
      <c r="AE82" s="65">
        <v>1.8426032340474208</v>
      </c>
      <c r="AF82" s="65">
        <v>1.8333902178771837</v>
      </c>
      <c r="AG82" s="65">
        <v>1.8242232667877978</v>
      </c>
      <c r="AH82" s="65">
        <v>1.8151021504538587</v>
      </c>
      <c r="AI82" s="65">
        <v>1.8060266397015894</v>
      </c>
      <c r="AJ82" s="65">
        <v>3.7969965065030813</v>
      </c>
      <c r="AK82" s="65">
        <v>3.7780115239705658</v>
      </c>
      <c r="AL82" s="65">
        <v>3.7591214663507131</v>
      </c>
      <c r="AM82" s="65">
        <v>3.7403258590189594</v>
      </c>
      <c r="AN82" s="65">
        <v>3.7216242297238646</v>
      </c>
      <c r="AO82" s="65">
        <v>3.7030161085752451</v>
      </c>
      <c r="AP82" s="65">
        <v>3.6845010280323689</v>
      </c>
      <c r="AQ82" s="65">
        <v>3.666078522892207</v>
      </c>
      <c r="AR82" s="65">
        <v>3.6477481302777459</v>
      </c>
      <c r="AS82" s="65">
        <v>3.6295093896263571</v>
      </c>
      <c r="AT82" s="65">
        <v>3.6113618426782255</v>
      </c>
      <c r="AU82" s="65">
        <v>3.5933050334648344</v>
      </c>
      <c r="AV82" s="65">
        <v>23.575338508297509</v>
      </c>
      <c r="AW82" s="65">
        <v>23.457461815756023</v>
      </c>
      <c r="AX82" s="65">
        <v>33.340174506677243</v>
      </c>
      <c r="AY82" s="65">
        <v>33.173473634143861</v>
      </c>
      <c r="AZ82" s="65">
        <v>33.007606265973138</v>
      </c>
      <c r="BA82" s="65">
        <v>26.512492171983538</v>
      </c>
      <c r="BB82" s="65">
        <v>21.114804789403784</v>
      </c>
      <c r="BC82" s="65">
        <v>7.7980827175627283</v>
      </c>
      <c r="BD82" s="65">
        <v>7.6811114767992876</v>
      </c>
    </row>
    <row r="83" spans="3:56" x14ac:dyDescent="0.25">
      <c r="C83" s="106"/>
      <c r="D83" s="49" t="s">
        <v>36</v>
      </c>
      <c r="E83" s="65">
        <v>0</v>
      </c>
      <c r="F83" s="65">
        <v>0</v>
      </c>
      <c r="G83" s="65">
        <v>0</v>
      </c>
      <c r="H83" s="65">
        <v>0</v>
      </c>
      <c r="I83" s="65">
        <v>0</v>
      </c>
      <c r="J83" s="65">
        <v>0</v>
      </c>
      <c r="K83" s="65">
        <v>0</v>
      </c>
      <c r="L83" s="65">
        <v>0</v>
      </c>
      <c r="M83" s="65">
        <v>0</v>
      </c>
      <c r="N83" s="65">
        <v>0</v>
      </c>
      <c r="O83" s="65">
        <v>0</v>
      </c>
      <c r="P83" s="65">
        <v>0</v>
      </c>
      <c r="Q83" s="65">
        <v>0</v>
      </c>
      <c r="R83" s="65">
        <v>0</v>
      </c>
      <c r="S83" s="65">
        <v>0</v>
      </c>
      <c r="T83" s="65">
        <v>0</v>
      </c>
      <c r="U83" s="65">
        <v>0</v>
      </c>
      <c r="V83" s="65">
        <v>0</v>
      </c>
      <c r="W83" s="65">
        <v>0</v>
      </c>
      <c r="X83" s="65">
        <v>0</v>
      </c>
      <c r="Y83" s="65">
        <v>0</v>
      </c>
      <c r="Z83" s="65">
        <v>0</v>
      </c>
      <c r="AA83" s="65">
        <v>0</v>
      </c>
      <c r="AB83" s="65">
        <v>0</v>
      </c>
      <c r="AC83" s="65">
        <v>0</v>
      </c>
      <c r="AD83" s="65">
        <v>0</v>
      </c>
      <c r="AE83" s="65">
        <v>0</v>
      </c>
      <c r="AF83" s="65">
        <v>0</v>
      </c>
      <c r="AG83" s="65">
        <v>0</v>
      </c>
      <c r="AH83" s="65">
        <v>0</v>
      </c>
      <c r="AI83" s="65">
        <v>0</v>
      </c>
      <c r="AJ83" s="65">
        <v>0</v>
      </c>
      <c r="AK83" s="65">
        <v>0</v>
      </c>
      <c r="AL83" s="65">
        <v>0</v>
      </c>
      <c r="AM83" s="65">
        <v>0</v>
      </c>
      <c r="AN83" s="65">
        <v>0</v>
      </c>
      <c r="AO83" s="65">
        <v>0</v>
      </c>
      <c r="AP83" s="65">
        <v>0</v>
      </c>
      <c r="AQ83" s="65">
        <v>0</v>
      </c>
      <c r="AR83" s="65">
        <v>0</v>
      </c>
      <c r="AS83" s="65">
        <v>0</v>
      </c>
      <c r="AT83" s="65">
        <v>0</v>
      </c>
      <c r="AU83" s="65">
        <v>0</v>
      </c>
      <c r="AV83" s="65">
        <v>0</v>
      </c>
      <c r="AW83" s="65">
        <v>0</v>
      </c>
      <c r="AX83" s="65">
        <v>0</v>
      </c>
      <c r="AY83" s="65">
        <v>0</v>
      </c>
      <c r="AZ83" s="65">
        <v>0</v>
      </c>
      <c r="BA83" s="65">
        <v>0</v>
      </c>
      <c r="BB83" s="65">
        <v>0</v>
      </c>
      <c r="BC83" s="65">
        <v>0</v>
      </c>
      <c r="BD83" s="65">
        <v>0</v>
      </c>
    </row>
    <row r="84" spans="3:56" x14ac:dyDescent="0.25">
      <c r="C84" s="106"/>
      <c r="D84" s="49" t="s">
        <v>37</v>
      </c>
      <c r="E84" s="65">
        <v>0</v>
      </c>
      <c r="F84" s="65">
        <v>0</v>
      </c>
      <c r="G84" s="65">
        <v>0</v>
      </c>
      <c r="H84" s="65">
        <v>0</v>
      </c>
      <c r="I84" s="65">
        <v>0</v>
      </c>
      <c r="J84" s="65">
        <v>0</v>
      </c>
      <c r="K84" s="65">
        <v>0</v>
      </c>
      <c r="L84" s="65">
        <v>0</v>
      </c>
      <c r="M84" s="65">
        <v>0</v>
      </c>
      <c r="N84" s="65">
        <v>0</v>
      </c>
      <c r="O84" s="65">
        <v>0</v>
      </c>
      <c r="P84" s="65">
        <v>0</v>
      </c>
      <c r="Q84" s="65">
        <v>0</v>
      </c>
      <c r="R84" s="65">
        <v>0</v>
      </c>
      <c r="S84" s="65">
        <v>0</v>
      </c>
      <c r="T84" s="65">
        <v>0</v>
      </c>
      <c r="U84" s="65">
        <v>0</v>
      </c>
      <c r="V84" s="65">
        <v>0</v>
      </c>
      <c r="W84" s="65">
        <v>0</v>
      </c>
      <c r="X84" s="65">
        <v>0</v>
      </c>
      <c r="Y84" s="65">
        <v>0</v>
      </c>
      <c r="Z84" s="65">
        <v>0</v>
      </c>
      <c r="AA84" s="65">
        <v>0</v>
      </c>
      <c r="AB84" s="65">
        <v>0</v>
      </c>
      <c r="AC84" s="65">
        <v>0</v>
      </c>
      <c r="AD84" s="65">
        <v>0</v>
      </c>
      <c r="AE84" s="65">
        <v>0</v>
      </c>
      <c r="AF84" s="65">
        <v>0</v>
      </c>
      <c r="AG84" s="65">
        <v>0</v>
      </c>
      <c r="AH84" s="65">
        <v>0</v>
      </c>
      <c r="AI84" s="65">
        <v>0</v>
      </c>
      <c r="AJ84" s="65">
        <v>0</v>
      </c>
      <c r="AK84" s="65">
        <v>0</v>
      </c>
      <c r="AL84" s="65">
        <v>0</v>
      </c>
      <c r="AM84" s="65">
        <v>0</v>
      </c>
      <c r="AN84" s="65">
        <v>0</v>
      </c>
      <c r="AO84" s="65">
        <v>0</v>
      </c>
      <c r="AP84" s="65">
        <v>0</v>
      </c>
      <c r="AQ84" s="65">
        <v>0</v>
      </c>
      <c r="AR84" s="65">
        <v>0</v>
      </c>
      <c r="AS84" s="65">
        <v>0</v>
      </c>
      <c r="AT84" s="65">
        <v>0</v>
      </c>
      <c r="AU84" s="65">
        <v>0</v>
      </c>
      <c r="AV84" s="65">
        <v>0</v>
      </c>
      <c r="AW84" s="65">
        <v>0</v>
      </c>
      <c r="AX84" s="65">
        <v>0</v>
      </c>
      <c r="AY84" s="65">
        <v>0</v>
      </c>
      <c r="AZ84" s="65">
        <v>0</v>
      </c>
      <c r="BA84" s="65">
        <v>0</v>
      </c>
      <c r="BB84" s="65">
        <v>0</v>
      </c>
      <c r="BC84" s="65">
        <v>0</v>
      </c>
      <c r="BD84" s="65">
        <v>0</v>
      </c>
    </row>
    <row r="85" spans="3:56" x14ac:dyDescent="0.25">
      <c r="C85" s="106"/>
      <c r="D85" s="49" t="s">
        <v>38</v>
      </c>
      <c r="E85" s="65">
        <v>0</v>
      </c>
      <c r="F85" s="65">
        <v>0</v>
      </c>
      <c r="G85" s="65">
        <v>0</v>
      </c>
      <c r="H85" s="65">
        <v>4</v>
      </c>
      <c r="I85" s="65">
        <v>4</v>
      </c>
      <c r="J85" s="65">
        <v>4</v>
      </c>
      <c r="K85" s="65">
        <v>3</v>
      </c>
      <c r="L85" s="65">
        <v>3</v>
      </c>
      <c r="M85" s="65">
        <v>0</v>
      </c>
      <c r="N85" s="65">
        <v>0</v>
      </c>
      <c r="O85" s="65">
        <v>0</v>
      </c>
      <c r="P85" s="65">
        <v>0</v>
      </c>
      <c r="Q85" s="65">
        <v>0</v>
      </c>
      <c r="R85" s="65">
        <v>0</v>
      </c>
      <c r="S85" s="65">
        <v>0</v>
      </c>
      <c r="T85" s="65">
        <v>0</v>
      </c>
      <c r="U85" s="65">
        <v>0</v>
      </c>
      <c r="V85" s="65">
        <v>0</v>
      </c>
      <c r="W85" s="65">
        <v>0</v>
      </c>
      <c r="X85" s="65">
        <v>0</v>
      </c>
      <c r="Y85" s="65">
        <v>0</v>
      </c>
      <c r="Z85" s="65">
        <v>0</v>
      </c>
      <c r="AA85" s="65">
        <v>0</v>
      </c>
      <c r="AB85" s="65">
        <v>0</v>
      </c>
      <c r="AC85" s="65">
        <v>0</v>
      </c>
      <c r="AD85" s="65">
        <v>0</v>
      </c>
      <c r="AE85" s="65">
        <v>0</v>
      </c>
      <c r="AF85" s="65">
        <v>0</v>
      </c>
      <c r="AG85" s="65">
        <v>0</v>
      </c>
      <c r="AH85" s="65">
        <v>0</v>
      </c>
      <c r="AI85" s="65">
        <v>0</v>
      </c>
      <c r="AJ85" s="65">
        <v>0</v>
      </c>
      <c r="AK85" s="65">
        <v>0</v>
      </c>
      <c r="AL85" s="65">
        <v>0</v>
      </c>
      <c r="AM85" s="65">
        <v>0</v>
      </c>
      <c r="AN85" s="65">
        <v>0</v>
      </c>
      <c r="AO85" s="65">
        <v>0</v>
      </c>
      <c r="AP85" s="65">
        <v>0</v>
      </c>
      <c r="AQ85" s="65">
        <v>0</v>
      </c>
      <c r="AR85" s="65">
        <v>0</v>
      </c>
      <c r="AS85" s="65">
        <v>0</v>
      </c>
      <c r="AT85" s="65">
        <v>0</v>
      </c>
      <c r="AU85" s="65">
        <v>0</v>
      </c>
      <c r="AV85" s="65">
        <v>0</v>
      </c>
      <c r="AW85" s="65">
        <v>0</v>
      </c>
      <c r="AX85" s="65">
        <v>0</v>
      </c>
      <c r="AY85" s="65">
        <v>0</v>
      </c>
      <c r="AZ85" s="65">
        <v>0</v>
      </c>
      <c r="BA85" s="65">
        <v>0</v>
      </c>
      <c r="BB85" s="65">
        <v>0</v>
      </c>
      <c r="BC85" s="65">
        <v>0</v>
      </c>
      <c r="BD85" s="65">
        <v>0</v>
      </c>
    </row>
    <row r="86" spans="3:56" x14ac:dyDescent="0.25">
      <c r="C86" s="106"/>
      <c r="D86" s="49" t="s">
        <v>39</v>
      </c>
      <c r="E86" s="65">
        <v>34</v>
      </c>
      <c r="F86" s="65">
        <v>28</v>
      </c>
      <c r="G86" s="65">
        <v>28</v>
      </c>
      <c r="H86" s="65">
        <v>0</v>
      </c>
      <c r="I86" s="65">
        <v>0</v>
      </c>
      <c r="J86" s="65">
        <v>0</v>
      </c>
      <c r="K86" s="65">
        <v>0</v>
      </c>
      <c r="L86" s="65">
        <v>0</v>
      </c>
      <c r="M86" s="65">
        <v>0</v>
      </c>
      <c r="N86" s="65">
        <v>0</v>
      </c>
      <c r="O86" s="65">
        <v>0</v>
      </c>
      <c r="P86" s="65">
        <v>0</v>
      </c>
      <c r="Q86" s="65">
        <v>0</v>
      </c>
      <c r="R86" s="65">
        <v>0</v>
      </c>
      <c r="S86" s="65">
        <v>0</v>
      </c>
      <c r="T86" s="65">
        <v>0</v>
      </c>
      <c r="U86" s="65">
        <v>0</v>
      </c>
      <c r="V86" s="65">
        <v>0</v>
      </c>
      <c r="W86" s="65">
        <v>0</v>
      </c>
      <c r="X86" s="65">
        <v>0</v>
      </c>
      <c r="Y86" s="65">
        <v>0</v>
      </c>
      <c r="Z86" s="65">
        <v>0</v>
      </c>
      <c r="AA86" s="65">
        <v>0</v>
      </c>
      <c r="AB86" s="65">
        <v>0</v>
      </c>
      <c r="AC86" s="65">
        <v>0</v>
      </c>
      <c r="AD86" s="65">
        <v>0</v>
      </c>
      <c r="AE86" s="65">
        <v>0</v>
      </c>
      <c r="AF86" s="65">
        <v>0</v>
      </c>
      <c r="AG86" s="65">
        <v>0</v>
      </c>
      <c r="AH86" s="65">
        <v>0</v>
      </c>
      <c r="AI86" s="65">
        <v>0</v>
      </c>
      <c r="AJ86" s="65">
        <v>0</v>
      </c>
      <c r="AK86" s="65">
        <v>0</v>
      </c>
      <c r="AL86" s="65">
        <v>0</v>
      </c>
      <c r="AM86" s="65">
        <v>0</v>
      </c>
      <c r="AN86" s="65">
        <v>0</v>
      </c>
      <c r="AO86" s="65">
        <v>0</v>
      </c>
      <c r="AP86" s="65">
        <v>0</v>
      </c>
      <c r="AQ86" s="65">
        <v>0</v>
      </c>
      <c r="AR86" s="65">
        <v>0</v>
      </c>
      <c r="AS86" s="65">
        <v>0</v>
      </c>
      <c r="AT86" s="65">
        <v>0</v>
      </c>
      <c r="AU86" s="65">
        <v>0</v>
      </c>
      <c r="AV86" s="65">
        <v>0</v>
      </c>
      <c r="AW86" s="65">
        <v>0</v>
      </c>
      <c r="AX86" s="65">
        <v>0</v>
      </c>
      <c r="AY86" s="65">
        <v>0</v>
      </c>
      <c r="AZ86" s="65">
        <v>0</v>
      </c>
      <c r="BA86" s="65">
        <v>0</v>
      </c>
      <c r="BB86" s="65">
        <v>0</v>
      </c>
      <c r="BC86" s="65">
        <v>0</v>
      </c>
      <c r="BD86" s="65">
        <v>0</v>
      </c>
    </row>
    <row r="87" spans="3:56" x14ac:dyDescent="0.25">
      <c r="C87" s="106"/>
      <c r="D87" s="49" t="s">
        <v>40</v>
      </c>
      <c r="E87" s="65">
        <v>0</v>
      </c>
      <c r="F87" s="65">
        <v>0</v>
      </c>
      <c r="G87" s="65">
        <v>0</v>
      </c>
      <c r="H87" s="65">
        <v>0</v>
      </c>
      <c r="I87" s="65">
        <v>0</v>
      </c>
      <c r="J87" s="65">
        <v>0</v>
      </c>
      <c r="K87" s="65">
        <v>0</v>
      </c>
      <c r="L87" s="65">
        <v>0</v>
      </c>
      <c r="M87" s="65">
        <v>0</v>
      </c>
      <c r="N87" s="65">
        <v>0</v>
      </c>
      <c r="O87" s="65">
        <v>0</v>
      </c>
      <c r="P87" s="65">
        <v>0</v>
      </c>
      <c r="Q87" s="65">
        <v>0</v>
      </c>
      <c r="R87" s="65">
        <v>0</v>
      </c>
      <c r="S87" s="65">
        <v>0</v>
      </c>
      <c r="T87" s="65">
        <v>0</v>
      </c>
      <c r="U87" s="65">
        <v>0</v>
      </c>
      <c r="V87" s="65">
        <v>0</v>
      </c>
      <c r="W87" s="65">
        <v>0</v>
      </c>
      <c r="X87" s="65">
        <v>0</v>
      </c>
      <c r="Y87" s="65">
        <v>0</v>
      </c>
      <c r="Z87" s="65">
        <v>0</v>
      </c>
      <c r="AA87" s="65">
        <v>0</v>
      </c>
      <c r="AB87" s="65">
        <v>0</v>
      </c>
      <c r="AC87" s="65">
        <v>0</v>
      </c>
      <c r="AD87" s="65">
        <v>0</v>
      </c>
      <c r="AE87" s="65">
        <v>0</v>
      </c>
      <c r="AF87" s="65">
        <v>0</v>
      </c>
      <c r="AG87" s="65">
        <v>0</v>
      </c>
      <c r="AH87" s="65">
        <v>0</v>
      </c>
      <c r="AI87" s="65">
        <v>0</v>
      </c>
      <c r="AJ87" s="65">
        <v>0</v>
      </c>
      <c r="AK87" s="65">
        <v>0</v>
      </c>
      <c r="AL87" s="65">
        <v>0</v>
      </c>
      <c r="AM87" s="65">
        <v>0</v>
      </c>
      <c r="AN87" s="65">
        <v>0</v>
      </c>
      <c r="AO87" s="65">
        <v>0</v>
      </c>
      <c r="AP87" s="65">
        <v>0</v>
      </c>
      <c r="AQ87" s="65">
        <v>0</v>
      </c>
      <c r="AR87" s="65">
        <v>0</v>
      </c>
      <c r="AS87" s="65">
        <v>0</v>
      </c>
      <c r="AT87" s="65">
        <v>0</v>
      </c>
      <c r="AU87" s="65">
        <v>0</v>
      </c>
      <c r="AV87" s="65">
        <v>0</v>
      </c>
      <c r="AW87" s="65">
        <v>0</v>
      </c>
      <c r="AX87" s="65">
        <v>0</v>
      </c>
      <c r="AY87" s="65">
        <v>0</v>
      </c>
      <c r="AZ87" s="65">
        <v>0</v>
      </c>
      <c r="BA87" s="65">
        <v>0</v>
      </c>
      <c r="BB87" s="65">
        <v>0</v>
      </c>
      <c r="BC87" s="65">
        <v>0</v>
      </c>
      <c r="BD87" s="65">
        <v>0</v>
      </c>
    </row>
    <row r="88" spans="3:56" x14ac:dyDescent="0.25">
      <c r="C88" s="106"/>
      <c r="D88" s="50" t="s">
        <v>41</v>
      </c>
      <c r="E88" s="54">
        <f t="shared" ref="E88:BD88" si="20">(SUM(E81:E87)*E90)/((40*(1-E89)+40))</f>
        <v>0</v>
      </c>
      <c r="F88" s="54">
        <f t="shared" si="20"/>
        <v>0</v>
      </c>
      <c r="G88" s="54">
        <f t="shared" si="20"/>
        <v>0</v>
      </c>
      <c r="H88" s="54">
        <f t="shared" si="20"/>
        <v>0</v>
      </c>
      <c r="I88" s="54">
        <f t="shared" si="20"/>
        <v>0</v>
      </c>
      <c r="J88" s="54">
        <f t="shared" si="20"/>
        <v>0</v>
      </c>
      <c r="K88" s="54">
        <f t="shared" si="20"/>
        <v>-2.4130434782608696</v>
      </c>
      <c r="L88" s="54">
        <f t="shared" si="20"/>
        <v>-1.576086956521739</v>
      </c>
      <c r="M88" s="54">
        <f t="shared" si="20"/>
        <v>-1.2282608695652173</v>
      </c>
      <c r="N88" s="54">
        <f t="shared" si="20"/>
        <v>-0.54891304347826086</v>
      </c>
      <c r="O88" s="54">
        <f t="shared" si="20"/>
        <v>0</v>
      </c>
      <c r="P88" s="54">
        <f t="shared" si="20"/>
        <v>0</v>
      </c>
      <c r="Q88" s="54">
        <f t="shared" si="20"/>
        <v>-0.75</v>
      </c>
      <c r="R88" s="54">
        <f t="shared" si="20"/>
        <v>0</v>
      </c>
      <c r="S88" s="54">
        <f t="shared" si="20"/>
        <v>-0.375</v>
      </c>
      <c r="T88" s="54">
        <f t="shared" si="20"/>
        <v>-0.75</v>
      </c>
      <c r="U88" s="54">
        <f t="shared" si="20"/>
        <v>-1.0978260869565217</v>
      </c>
      <c r="V88" s="54">
        <f t="shared" si="20"/>
        <v>0</v>
      </c>
      <c r="W88" s="54">
        <f t="shared" si="20"/>
        <v>0</v>
      </c>
      <c r="X88" s="54">
        <f t="shared" si="20"/>
        <v>0</v>
      </c>
      <c r="Y88" s="54">
        <f t="shared" si="20"/>
        <v>0</v>
      </c>
      <c r="Z88" s="54">
        <f t="shared" si="20"/>
        <v>0</v>
      </c>
      <c r="AA88" s="54">
        <f t="shared" si="20"/>
        <v>0</v>
      </c>
      <c r="AB88" s="54">
        <f t="shared" si="20"/>
        <v>0</v>
      </c>
      <c r="AC88" s="54">
        <f t="shared" si="20"/>
        <v>0</v>
      </c>
      <c r="AD88" s="54">
        <f t="shared" si="20"/>
        <v>0</v>
      </c>
      <c r="AE88" s="54">
        <f t="shared" si="20"/>
        <v>0</v>
      </c>
      <c r="AF88" s="54">
        <f t="shared" si="20"/>
        <v>0</v>
      </c>
      <c r="AG88" s="54">
        <f t="shared" si="20"/>
        <v>0</v>
      </c>
      <c r="AH88" s="54">
        <f t="shared" si="20"/>
        <v>0</v>
      </c>
      <c r="AI88" s="54">
        <f t="shared" si="20"/>
        <v>0</v>
      </c>
      <c r="AJ88" s="54">
        <f t="shared" si="20"/>
        <v>0</v>
      </c>
      <c r="AK88" s="54">
        <f t="shared" si="20"/>
        <v>0</v>
      </c>
      <c r="AL88" s="54">
        <f t="shared" si="20"/>
        <v>0</v>
      </c>
      <c r="AM88" s="54">
        <f t="shared" si="20"/>
        <v>0</v>
      </c>
      <c r="AN88" s="54">
        <f t="shared" si="20"/>
        <v>0</v>
      </c>
      <c r="AO88" s="54">
        <f t="shared" si="20"/>
        <v>0</v>
      </c>
      <c r="AP88" s="54">
        <f t="shared" si="20"/>
        <v>0</v>
      </c>
      <c r="AQ88" s="54">
        <f t="shared" si="20"/>
        <v>0</v>
      </c>
      <c r="AR88" s="54">
        <f t="shared" si="20"/>
        <v>0</v>
      </c>
      <c r="AS88" s="54">
        <f t="shared" si="20"/>
        <v>0</v>
      </c>
      <c r="AT88" s="54">
        <f t="shared" si="20"/>
        <v>0</v>
      </c>
      <c r="AU88" s="54">
        <f t="shared" si="20"/>
        <v>0</v>
      </c>
      <c r="AV88" s="54">
        <f t="shared" si="20"/>
        <v>0</v>
      </c>
      <c r="AW88" s="54">
        <f t="shared" si="20"/>
        <v>0</v>
      </c>
      <c r="AX88" s="54">
        <f t="shared" si="20"/>
        <v>0</v>
      </c>
      <c r="AY88" s="54">
        <f t="shared" si="20"/>
        <v>0</v>
      </c>
      <c r="AZ88" s="54">
        <f t="shared" si="20"/>
        <v>0</v>
      </c>
      <c r="BA88" s="54">
        <f t="shared" si="20"/>
        <v>0</v>
      </c>
      <c r="BB88" s="54">
        <f t="shared" si="20"/>
        <v>0</v>
      </c>
      <c r="BC88" s="54">
        <f t="shared" si="20"/>
        <v>0</v>
      </c>
      <c r="BD88" s="54">
        <f t="shared" si="20"/>
        <v>0</v>
      </c>
    </row>
    <row r="89" spans="3:56" x14ac:dyDescent="0.25">
      <c r="C89" s="106"/>
      <c r="D89" s="50" t="s">
        <v>42</v>
      </c>
      <c r="E89" s="67">
        <v>0.85</v>
      </c>
      <c r="F89" s="67">
        <v>0.85</v>
      </c>
      <c r="G89" s="67">
        <v>0.85</v>
      </c>
      <c r="H89" s="67">
        <v>0.85</v>
      </c>
      <c r="I89" s="67">
        <v>0.85</v>
      </c>
      <c r="J89" s="67">
        <v>0.85</v>
      </c>
      <c r="K89" s="67">
        <v>0.85</v>
      </c>
      <c r="L89" s="67">
        <v>0.85</v>
      </c>
      <c r="M89" s="67">
        <v>0.85</v>
      </c>
      <c r="N89" s="67">
        <v>0.85</v>
      </c>
      <c r="O89" s="67">
        <v>0.85</v>
      </c>
      <c r="P89" s="67">
        <v>0.85</v>
      </c>
      <c r="Q89" s="67">
        <v>0.85</v>
      </c>
      <c r="R89" s="67">
        <v>0.85</v>
      </c>
      <c r="S89" s="67">
        <v>0.85</v>
      </c>
      <c r="T89" s="67">
        <v>0.85</v>
      </c>
      <c r="U89" s="67">
        <v>0.85</v>
      </c>
      <c r="V89" s="67">
        <v>0.85</v>
      </c>
      <c r="W89" s="67">
        <v>0.85</v>
      </c>
      <c r="X89" s="67">
        <v>0.85</v>
      </c>
      <c r="Y89" s="67">
        <v>0.85</v>
      </c>
      <c r="Z89" s="67">
        <v>0.85</v>
      </c>
      <c r="AA89" s="67">
        <v>0.85</v>
      </c>
      <c r="AB89" s="67">
        <v>0.85</v>
      </c>
      <c r="AC89" s="67">
        <v>0.85</v>
      </c>
      <c r="AD89" s="67">
        <v>0.85</v>
      </c>
      <c r="AE89" s="67">
        <v>0.85</v>
      </c>
      <c r="AF89" s="67">
        <v>0.85</v>
      </c>
      <c r="AG89" s="67">
        <v>0.85</v>
      </c>
      <c r="AH89" s="67">
        <v>0.85</v>
      </c>
      <c r="AI89" s="67">
        <v>0.85</v>
      </c>
      <c r="AJ89" s="67">
        <v>0.85</v>
      </c>
      <c r="AK89" s="67">
        <v>0.85</v>
      </c>
      <c r="AL89" s="67">
        <v>0.85</v>
      </c>
      <c r="AM89" s="67">
        <v>0.85</v>
      </c>
      <c r="AN89" s="67">
        <v>0.85</v>
      </c>
      <c r="AO89" s="67">
        <v>0.85</v>
      </c>
      <c r="AP89" s="67">
        <v>0.85</v>
      </c>
      <c r="AQ89" s="67">
        <v>0.85</v>
      </c>
      <c r="AR89" s="67">
        <v>0.85</v>
      </c>
      <c r="AS89" s="67">
        <v>0.85</v>
      </c>
      <c r="AT89" s="67">
        <v>0.85</v>
      </c>
      <c r="AU89" s="67">
        <v>0.85</v>
      </c>
      <c r="AV89" s="67">
        <v>0.85</v>
      </c>
      <c r="AW89" s="67">
        <v>0.85</v>
      </c>
      <c r="AX89" s="67">
        <v>0.85</v>
      </c>
      <c r="AY89" s="67">
        <v>0.85</v>
      </c>
      <c r="AZ89" s="67">
        <v>0.85</v>
      </c>
      <c r="BA89" s="67">
        <v>0.85</v>
      </c>
      <c r="BB89" s="67">
        <v>0.85</v>
      </c>
      <c r="BC89" s="67">
        <v>0.85</v>
      </c>
      <c r="BD89" s="67">
        <v>0.85</v>
      </c>
    </row>
    <row r="90" spans="3:56" x14ac:dyDescent="0.25">
      <c r="C90" s="106"/>
      <c r="D90" s="50" t="s">
        <v>43</v>
      </c>
      <c r="E90" s="65">
        <v>0</v>
      </c>
      <c r="F90" s="65">
        <v>0</v>
      </c>
      <c r="G90" s="65">
        <v>0</v>
      </c>
      <c r="H90" s="65"/>
      <c r="I90" s="65"/>
      <c r="J90" s="65">
        <v>0</v>
      </c>
      <c r="K90" s="65">
        <v>-6</v>
      </c>
      <c r="L90" s="65">
        <v>-4</v>
      </c>
      <c r="M90" s="65">
        <v>-4</v>
      </c>
      <c r="N90" s="65">
        <v>-2</v>
      </c>
      <c r="O90" s="65">
        <v>0</v>
      </c>
      <c r="P90" s="65">
        <v>0</v>
      </c>
      <c r="Q90" s="65">
        <v>-4</v>
      </c>
      <c r="R90" s="65">
        <v>0</v>
      </c>
      <c r="S90" s="65">
        <v>-2</v>
      </c>
      <c r="T90" s="65">
        <v>-4</v>
      </c>
      <c r="U90" s="65">
        <v>-4</v>
      </c>
      <c r="V90" s="65">
        <v>0</v>
      </c>
      <c r="W90" s="65">
        <v>0</v>
      </c>
      <c r="X90" s="65">
        <v>0</v>
      </c>
      <c r="Y90" s="65">
        <v>0</v>
      </c>
      <c r="Z90" s="65">
        <v>0</v>
      </c>
      <c r="AA90" s="65">
        <v>0</v>
      </c>
      <c r="AB90" s="65">
        <v>0</v>
      </c>
      <c r="AC90" s="65">
        <v>0</v>
      </c>
      <c r="AD90" s="65">
        <v>0</v>
      </c>
      <c r="AE90" s="65">
        <v>0</v>
      </c>
      <c r="AF90" s="65">
        <v>0</v>
      </c>
      <c r="AG90" s="65">
        <v>0</v>
      </c>
      <c r="AH90" s="65">
        <v>0</v>
      </c>
      <c r="AI90" s="65">
        <v>0</v>
      </c>
      <c r="AJ90" s="65">
        <v>0</v>
      </c>
      <c r="AK90" s="65">
        <v>0</v>
      </c>
      <c r="AL90" s="65">
        <v>0</v>
      </c>
      <c r="AM90" s="65">
        <v>0</v>
      </c>
      <c r="AN90" s="65">
        <v>0</v>
      </c>
      <c r="AO90" s="65">
        <v>0</v>
      </c>
      <c r="AP90" s="65">
        <v>0</v>
      </c>
      <c r="AQ90" s="65">
        <v>0</v>
      </c>
      <c r="AR90" s="65">
        <v>0</v>
      </c>
      <c r="AS90" s="65">
        <v>0</v>
      </c>
      <c r="AT90" s="65">
        <v>0</v>
      </c>
      <c r="AU90" s="65">
        <v>0</v>
      </c>
      <c r="AV90" s="65">
        <v>0</v>
      </c>
      <c r="AW90" s="65">
        <v>0</v>
      </c>
      <c r="AX90" s="65">
        <v>0</v>
      </c>
      <c r="AY90" s="65">
        <v>0</v>
      </c>
      <c r="AZ90" s="65">
        <v>0</v>
      </c>
      <c r="BA90" s="65">
        <v>0</v>
      </c>
      <c r="BB90" s="65">
        <v>0</v>
      </c>
      <c r="BC90" s="65">
        <v>0</v>
      </c>
      <c r="BD90" s="65">
        <v>0</v>
      </c>
    </row>
    <row r="91" spans="3:56" x14ac:dyDescent="0.25">
      <c r="C91" s="106"/>
      <c r="D91" s="51" t="s">
        <v>44</v>
      </c>
      <c r="E91" s="61">
        <f t="shared" ref="E91:L91" si="21">SUM(E81:E88)</f>
        <v>36.5</v>
      </c>
      <c r="F91" s="61">
        <f t="shared" si="21"/>
        <v>28</v>
      </c>
      <c r="G91" s="61">
        <f t="shared" si="21"/>
        <v>28</v>
      </c>
      <c r="H91" s="61">
        <f t="shared" si="21"/>
        <v>18.5</v>
      </c>
      <c r="I91" s="61">
        <f t="shared" si="21"/>
        <v>18.5</v>
      </c>
      <c r="J91" s="61">
        <f t="shared" si="21"/>
        <v>18.5</v>
      </c>
      <c r="K91" s="61">
        <f t="shared" si="21"/>
        <v>16.086956521739129</v>
      </c>
      <c r="L91" s="61">
        <f t="shared" si="21"/>
        <v>16.548913043478262</v>
      </c>
      <c r="M91" s="61">
        <f t="shared" ref="M91:BD91" si="22">SUM(M81:M88)</f>
        <v>12.896739130434783</v>
      </c>
      <c r="N91" s="61">
        <f t="shared" si="22"/>
        <v>12.076086956521738</v>
      </c>
      <c r="O91" s="61">
        <f t="shared" si="22"/>
        <v>8.625</v>
      </c>
      <c r="P91" s="61">
        <f t="shared" si="22"/>
        <v>8.629999999999999</v>
      </c>
      <c r="Q91" s="61">
        <f t="shared" si="22"/>
        <v>7.875</v>
      </c>
      <c r="R91" s="61">
        <f t="shared" si="22"/>
        <v>8.625</v>
      </c>
      <c r="S91" s="61">
        <f t="shared" si="22"/>
        <v>8.25</v>
      </c>
      <c r="T91" s="61">
        <f t="shared" si="22"/>
        <v>7.875</v>
      </c>
      <c r="U91" s="61">
        <f t="shared" si="22"/>
        <v>11.527173913043478</v>
      </c>
      <c r="V91" s="61">
        <f t="shared" si="22"/>
        <v>12.625</v>
      </c>
      <c r="W91" s="61">
        <f t="shared" si="22"/>
        <v>12.625</v>
      </c>
      <c r="X91" s="61">
        <f t="shared" si="22"/>
        <v>12.625</v>
      </c>
      <c r="Y91" s="61">
        <f t="shared" si="22"/>
        <v>12.561875000000001</v>
      </c>
      <c r="Z91" s="61">
        <f t="shared" si="22"/>
        <v>12.499065625</v>
      </c>
      <c r="AA91" s="61">
        <f t="shared" si="22"/>
        <v>12.436570296875001</v>
      </c>
      <c r="AB91" s="61">
        <f t="shared" si="22"/>
        <v>12.374387445390624</v>
      </c>
      <c r="AC91" s="61">
        <f t="shared" si="22"/>
        <v>12.312515508163671</v>
      </c>
      <c r="AD91" s="61">
        <f t="shared" si="22"/>
        <v>9.2509529306228515</v>
      </c>
      <c r="AE91" s="61">
        <f t="shared" si="22"/>
        <v>9.204698165969738</v>
      </c>
      <c r="AF91" s="61">
        <f t="shared" si="22"/>
        <v>9.1586746751398902</v>
      </c>
      <c r="AG91" s="61">
        <f t="shared" si="22"/>
        <v>9.1128813017641903</v>
      </c>
      <c r="AH91" s="61">
        <f t="shared" si="22"/>
        <v>9.0673168952553702</v>
      </c>
      <c r="AI91" s="61">
        <f t="shared" si="22"/>
        <v>9.0219803107790923</v>
      </c>
      <c r="AJ91" s="61">
        <f t="shared" si="22"/>
        <v>10.976870409225196</v>
      </c>
      <c r="AK91" s="61">
        <f t="shared" si="22"/>
        <v>10.921986057179071</v>
      </c>
      <c r="AL91" s="61">
        <f t="shared" si="22"/>
        <v>10.867376126893175</v>
      </c>
      <c r="AM91" s="61">
        <f t="shared" si="22"/>
        <v>10.813039246258709</v>
      </c>
      <c r="AN91" s="61">
        <f t="shared" si="22"/>
        <v>10.758974050027415</v>
      </c>
      <c r="AO91" s="61">
        <f t="shared" si="22"/>
        <v>10.705179179777279</v>
      </c>
      <c r="AP91" s="61">
        <f t="shared" si="22"/>
        <v>10.651653283878392</v>
      </c>
      <c r="AQ91" s="61">
        <f t="shared" si="22"/>
        <v>10.598395017459</v>
      </c>
      <c r="AR91" s="61">
        <f t="shared" si="22"/>
        <v>10.545403042371705</v>
      </c>
      <c r="AS91" s="61">
        <f t="shared" si="22"/>
        <v>10.492676027159845</v>
      </c>
      <c r="AT91" s="61">
        <f t="shared" si="22"/>
        <v>10.440212647024047</v>
      </c>
      <c r="AU91" s="61">
        <f t="shared" si="22"/>
        <v>10.388011583788927</v>
      </c>
      <c r="AV91" s="61">
        <f t="shared" si="22"/>
        <v>30.336071525869983</v>
      </c>
      <c r="AW91" s="61">
        <f t="shared" si="22"/>
        <v>30.184391168240634</v>
      </c>
      <c r="AX91" s="61">
        <f t="shared" si="22"/>
        <v>40.033469212399432</v>
      </c>
      <c r="AY91" s="61">
        <f t="shared" si="22"/>
        <v>39.833301866337436</v>
      </c>
      <c r="AZ91" s="61">
        <f t="shared" si="22"/>
        <v>39.634135357005746</v>
      </c>
      <c r="BA91" s="61">
        <f t="shared" si="22"/>
        <v>33.039623326650656</v>
      </c>
      <c r="BB91" s="61">
        <f t="shared" si="22"/>
        <v>27.544028976750898</v>
      </c>
      <c r="BC91" s="61">
        <f t="shared" si="22"/>
        <v>14.130868542099634</v>
      </c>
      <c r="BD91" s="61">
        <f t="shared" si="22"/>
        <v>13.91890551396814</v>
      </c>
    </row>
    <row r="92" spans="3:56" x14ac:dyDescent="0.25">
      <c r="C92" s="106"/>
      <c r="D92" s="52" t="s">
        <v>45</v>
      </c>
      <c r="E92" s="56">
        <f>E91-E79</f>
        <v>14.128382846544529</v>
      </c>
      <c r="F92" s="56">
        <f t="shared" ref="F92:BD92" si="23">F91-F79</f>
        <v>9.2071857273681239</v>
      </c>
      <c r="G92" s="56">
        <f t="shared" si="23"/>
        <v>13.972320160904129</v>
      </c>
      <c r="H92" s="56">
        <f t="shared" si="23"/>
        <v>5.7204474240639929</v>
      </c>
      <c r="I92" s="56">
        <f t="shared" si="23"/>
        <v>6.3754023644485347</v>
      </c>
      <c r="J92" s="56">
        <f t="shared" si="23"/>
        <v>7.5236834228750826</v>
      </c>
      <c r="K92" s="56">
        <f t="shared" si="23"/>
        <v>7.5937002366243469</v>
      </c>
      <c r="L92" s="56">
        <f t="shared" si="23"/>
        <v>6.5119780066482509</v>
      </c>
      <c r="M92" s="56">
        <f t="shared" si="23"/>
        <v>2.6717788623308572</v>
      </c>
      <c r="N92" s="56">
        <f t="shared" si="23"/>
        <v>0.75403387747761919</v>
      </c>
      <c r="O92" s="56">
        <f t="shared" si="23"/>
        <v>-4.5609787751906357</v>
      </c>
      <c r="P92" s="56">
        <f t="shared" si="23"/>
        <v>-4.6612384234317972</v>
      </c>
      <c r="Q92" s="56">
        <f t="shared" si="23"/>
        <v>-2.7864518145307784</v>
      </c>
      <c r="R92" s="56">
        <f t="shared" si="23"/>
        <v>-2.2590537747000035</v>
      </c>
      <c r="S92" s="56">
        <f t="shared" si="23"/>
        <v>-2.5872800925925912</v>
      </c>
      <c r="T92" s="56">
        <f t="shared" si="23"/>
        <v>-3.660497783827859</v>
      </c>
      <c r="U92" s="56">
        <f t="shared" si="23"/>
        <v>9.5772222527207518E-2</v>
      </c>
      <c r="V92" s="56">
        <f t="shared" si="23"/>
        <v>-0.14684979185830827</v>
      </c>
      <c r="W92" s="56">
        <f t="shared" si="23"/>
        <v>-0.11870748753561067</v>
      </c>
      <c r="X92" s="56">
        <f t="shared" si="23"/>
        <v>-2.9431340939153419</v>
      </c>
      <c r="Y92" s="56">
        <f t="shared" si="23"/>
        <v>-2.2758608217592595</v>
      </c>
      <c r="Z92" s="56">
        <f t="shared" si="23"/>
        <v>-0.5751717261904723</v>
      </c>
      <c r="AA92" s="56">
        <f t="shared" si="23"/>
        <v>-3.5082396803385443</v>
      </c>
      <c r="AB92" s="56">
        <f t="shared" si="23"/>
        <v>-2.6713034725781295</v>
      </c>
      <c r="AC92" s="56">
        <f t="shared" si="23"/>
        <v>-1.9113655139717523</v>
      </c>
      <c r="AD92" s="56">
        <f t="shared" si="23"/>
        <v>-2.6375532246801825</v>
      </c>
      <c r="AE92" s="56">
        <f t="shared" si="23"/>
        <v>-1.3213435006969263</v>
      </c>
      <c r="AF92" s="56">
        <f t="shared" si="23"/>
        <v>-2.6217680331934439</v>
      </c>
      <c r="AG92" s="56">
        <f t="shared" si="23"/>
        <v>-1.3092521420489387</v>
      </c>
      <c r="AH92" s="56">
        <f t="shared" si="23"/>
        <v>-3.3397222461587699</v>
      </c>
      <c r="AI92" s="56">
        <f t="shared" si="23"/>
        <v>-3.5971603142209059</v>
      </c>
      <c r="AJ92" s="56">
        <f t="shared" si="23"/>
        <v>-3.2163373799539041</v>
      </c>
      <c r="AK92" s="56">
        <f t="shared" si="23"/>
        <v>-3.9035619838657052</v>
      </c>
      <c r="AL92" s="56">
        <f t="shared" si="23"/>
        <v>-3.7954445354202608</v>
      </c>
      <c r="AM92" s="56">
        <f t="shared" si="23"/>
        <v>-0.25847134602732424</v>
      </c>
      <c r="AN92" s="56">
        <f t="shared" si="23"/>
        <v>1.1086580072774179</v>
      </c>
      <c r="AO92" s="56">
        <f t="shared" si="23"/>
        <v>0.88031241644825009</v>
      </c>
      <c r="AP92" s="56">
        <f t="shared" si="23"/>
        <v>0.35507013961497513</v>
      </c>
      <c r="AQ92" s="56">
        <f t="shared" si="23"/>
        <v>-0.60419072573806964</v>
      </c>
      <c r="AR92" s="56">
        <f t="shared" si="23"/>
        <v>0.26578859630578933</v>
      </c>
      <c r="AS92" s="56">
        <f t="shared" si="23"/>
        <v>-0.36133565154439573</v>
      </c>
      <c r="AT92" s="56">
        <f t="shared" si="23"/>
        <v>-0.58911113363788203</v>
      </c>
      <c r="AU92" s="56">
        <f t="shared" si="23"/>
        <v>-1.303519761928726</v>
      </c>
      <c r="AV92" s="56">
        <f t="shared" si="23"/>
        <v>18.375813611444848</v>
      </c>
      <c r="AW92" s="56">
        <f t="shared" si="23"/>
        <v>17.396938395122319</v>
      </c>
      <c r="AX92" s="56">
        <f t="shared" si="23"/>
        <v>27.493435386352857</v>
      </c>
      <c r="AY92" s="56">
        <f t="shared" si="23"/>
        <v>9.9725233562448352</v>
      </c>
      <c r="AZ92" s="56">
        <f t="shared" si="23"/>
        <v>-0.90797123181591388</v>
      </c>
      <c r="BA92" s="56">
        <f t="shared" si="23"/>
        <v>-2.1586824125815411</v>
      </c>
      <c r="BB92" s="56">
        <f t="shared" si="23"/>
        <v>-1.7179852118570764</v>
      </c>
      <c r="BC92" s="56">
        <f t="shared" si="23"/>
        <v>-2.3596883854467521</v>
      </c>
      <c r="BD92" s="56">
        <f t="shared" si="23"/>
        <v>-0.91854306799984897</v>
      </c>
    </row>
    <row r="93" spans="3:56" x14ac:dyDescent="0.25">
      <c r="C93" s="48"/>
      <c r="D93" s="52"/>
      <c r="E93" s="56"/>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row>
    <row r="94" spans="3:56" ht="15.75" thickBot="1" x14ac:dyDescent="0.3">
      <c r="C94" s="48"/>
      <c r="D94" s="46" t="s">
        <v>55</v>
      </c>
      <c r="E94" s="82">
        <f>E74</f>
        <v>44569</v>
      </c>
      <c r="F94" s="82">
        <f t="shared" ref="F94:BD94" si="24">F74</f>
        <v>44576</v>
      </c>
      <c r="G94" s="82">
        <f t="shared" si="24"/>
        <v>44583</v>
      </c>
      <c r="H94" s="82">
        <f t="shared" si="24"/>
        <v>44590</v>
      </c>
      <c r="I94" s="82">
        <f t="shared" si="24"/>
        <v>44597</v>
      </c>
      <c r="J94" s="82">
        <f t="shared" si="24"/>
        <v>44604</v>
      </c>
      <c r="K94" s="82">
        <f t="shared" si="24"/>
        <v>44611</v>
      </c>
      <c r="L94" s="82">
        <f t="shared" si="24"/>
        <v>44618</v>
      </c>
      <c r="M94" s="82">
        <f t="shared" si="24"/>
        <v>44625</v>
      </c>
      <c r="N94" s="82">
        <f t="shared" si="24"/>
        <v>44632</v>
      </c>
      <c r="O94" s="82">
        <f t="shared" si="24"/>
        <v>44639</v>
      </c>
      <c r="P94" s="82">
        <f t="shared" si="24"/>
        <v>44646</v>
      </c>
      <c r="Q94" s="82">
        <f t="shared" si="24"/>
        <v>44653</v>
      </c>
      <c r="R94" s="82">
        <f t="shared" si="24"/>
        <v>44660</v>
      </c>
      <c r="S94" s="82">
        <f t="shared" si="24"/>
        <v>44667</v>
      </c>
      <c r="T94" s="82">
        <f t="shared" si="24"/>
        <v>44674</v>
      </c>
      <c r="U94" s="82">
        <f t="shared" si="24"/>
        <v>44681</v>
      </c>
      <c r="V94" s="82">
        <f t="shared" si="24"/>
        <v>44688</v>
      </c>
      <c r="W94" s="82">
        <f t="shared" si="24"/>
        <v>44695</v>
      </c>
      <c r="X94" s="82">
        <f t="shared" si="24"/>
        <v>44702</v>
      </c>
      <c r="Y94" s="82">
        <f t="shared" si="24"/>
        <v>44709</v>
      </c>
      <c r="Z94" s="82">
        <f t="shared" si="24"/>
        <v>44716</v>
      </c>
      <c r="AA94" s="82">
        <f t="shared" si="24"/>
        <v>44723</v>
      </c>
      <c r="AB94" s="82">
        <f t="shared" si="24"/>
        <v>44730</v>
      </c>
      <c r="AC94" s="82">
        <f t="shared" si="24"/>
        <v>44737</v>
      </c>
      <c r="AD94" s="82">
        <f t="shared" si="24"/>
        <v>44744</v>
      </c>
      <c r="AE94" s="82">
        <f t="shared" si="24"/>
        <v>44751</v>
      </c>
      <c r="AF94" s="82">
        <f t="shared" si="24"/>
        <v>44758</v>
      </c>
      <c r="AG94" s="82">
        <f t="shared" si="24"/>
        <v>44765</v>
      </c>
      <c r="AH94" s="82">
        <f t="shared" si="24"/>
        <v>44772</v>
      </c>
      <c r="AI94" s="82">
        <f t="shared" si="24"/>
        <v>44779</v>
      </c>
      <c r="AJ94" s="82">
        <f t="shared" si="24"/>
        <v>44786</v>
      </c>
      <c r="AK94" s="82">
        <f t="shared" si="24"/>
        <v>44793</v>
      </c>
      <c r="AL94" s="82">
        <f t="shared" si="24"/>
        <v>44800</v>
      </c>
      <c r="AM94" s="82">
        <f t="shared" si="24"/>
        <v>44807</v>
      </c>
      <c r="AN94" s="82">
        <f t="shared" si="24"/>
        <v>44814</v>
      </c>
      <c r="AO94" s="82">
        <f t="shared" si="24"/>
        <v>44821</v>
      </c>
      <c r="AP94" s="82">
        <f t="shared" si="24"/>
        <v>44828</v>
      </c>
      <c r="AQ94" s="82">
        <f t="shared" si="24"/>
        <v>44835</v>
      </c>
      <c r="AR94" s="82">
        <f t="shared" si="24"/>
        <v>44842</v>
      </c>
      <c r="AS94" s="82">
        <f t="shared" si="24"/>
        <v>44849</v>
      </c>
      <c r="AT94" s="82">
        <f t="shared" si="24"/>
        <v>44856</v>
      </c>
      <c r="AU94" s="82">
        <f t="shared" si="24"/>
        <v>44863</v>
      </c>
      <c r="AV94" s="82">
        <f t="shared" si="24"/>
        <v>44870</v>
      </c>
      <c r="AW94" s="82">
        <f t="shared" si="24"/>
        <v>44877</v>
      </c>
      <c r="AX94" s="82">
        <f t="shared" si="24"/>
        <v>44884</v>
      </c>
      <c r="AY94" s="82">
        <f t="shared" si="24"/>
        <v>44891</v>
      </c>
      <c r="AZ94" s="82">
        <f t="shared" si="24"/>
        <v>44898</v>
      </c>
      <c r="BA94" s="82">
        <f t="shared" si="24"/>
        <v>44905</v>
      </c>
      <c r="BB94" s="82">
        <f t="shared" si="24"/>
        <v>44912</v>
      </c>
      <c r="BC94" s="82">
        <f t="shared" si="24"/>
        <v>44919</v>
      </c>
      <c r="BD94" s="82">
        <f t="shared" si="24"/>
        <v>44926</v>
      </c>
    </row>
    <row r="95" spans="3:56" ht="15" customHeight="1" x14ac:dyDescent="0.25">
      <c r="C95" s="111" t="s">
        <v>56</v>
      </c>
      <c r="D95" s="52"/>
      <c r="E95" s="56"/>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row>
    <row r="96" spans="3:56" x14ac:dyDescent="0.25">
      <c r="C96" s="106"/>
      <c r="D96" s="41" t="s">
        <v>33</v>
      </c>
      <c r="E96" s="96">
        <v>4</v>
      </c>
      <c r="F96" s="96">
        <v>4</v>
      </c>
      <c r="G96" s="96">
        <v>4</v>
      </c>
      <c r="H96" s="96">
        <v>4</v>
      </c>
      <c r="I96" s="96">
        <v>4</v>
      </c>
      <c r="J96" s="96">
        <v>4</v>
      </c>
      <c r="K96" s="96">
        <v>4</v>
      </c>
      <c r="L96" s="96">
        <v>4</v>
      </c>
      <c r="M96" s="96">
        <v>4</v>
      </c>
      <c r="N96" s="96">
        <v>4</v>
      </c>
      <c r="O96" s="96">
        <v>4</v>
      </c>
      <c r="P96" s="96">
        <v>4</v>
      </c>
      <c r="Q96" s="96">
        <v>4</v>
      </c>
      <c r="R96" s="96">
        <v>4</v>
      </c>
      <c r="S96" s="96">
        <v>4</v>
      </c>
      <c r="T96" s="96">
        <v>4</v>
      </c>
      <c r="U96" s="96">
        <v>4</v>
      </c>
      <c r="V96" s="96">
        <v>4</v>
      </c>
      <c r="W96" s="96">
        <v>4</v>
      </c>
      <c r="X96" s="96">
        <v>4</v>
      </c>
      <c r="Y96" s="96">
        <v>4</v>
      </c>
      <c r="Z96" s="96">
        <v>4</v>
      </c>
      <c r="AA96" s="96">
        <v>4</v>
      </c>
      <c r="AB96" s="96">
        <v>4</v>
      </c>
      <c r="AC96" s="96">
        <v>4</v>
      </c>
      <c r="AD96" s="96">
        <v>4</v>
      </c>
      <c r="AE96" s="96">
        <v>4</v>
      </c>
      <c r="AF96" s="96">
        <v>4</v>
      </c>
      <c r="AG96" s="96">
        <v>4</v>
      </c>
      <c r="AH96" s="96">
        <v>4</v>
      </c>
      <c r="AI96" s="96">
        <v>4</v>
      </c>
      <c r="AJ96" s="96">
        <v>4</v>
      </c>
      <c r="AK96" s="96">
        <v>4</v>
      </c>
      <c r="AL96" s="96">
        <v>4</v>
      </c>
      <c r="AM96" s="96">
        <v>4</v>
      </c>
      <c r="AN96" s="96">
        <v>4</v>
      </c>
      <c r="AO96" s="96">
        <v>4</v>
      </c>
      <c r="AP96" s="96">
        <v>4</v>
      </c>
      <c r="AQ96" s="96">
        <v>4</v>
      </c>
      <c r="AR96" s="96">
        <v>4</v>
      </c>
      <c r="AS96" s="96">
        <v>4</v>
      </c>
      <c r="AT96" s="96">
        <v>4</v>
      </c>
      <c r="AU96" s="96">
        <v>4</v>
      </c>
      <c r="AV96" s="96">
        <v>4</v>
      </c>
      <c r="AW96" s="96">
        <v>4</v>
      </c>
      <c r="AX96" s="96">
        <v>4</v>
      </c>
      <c r="AY96" s="96">
        <v>4</v>
      </c>
      <c r="AZ96" s="96">
        <v>4</v>
      </c>
      <c r="BA96" s="96">
        <v>4</v>
      </c>
      <c r="BB96" s="96">
        <v>4</v>
      </c>
      <c r="BC96" s="96">
        <v>4</v>
      </c>
      <c r="BD96" s="96">
        <v>4</v>
      </c>
    </row>
    <row r="97" spans="3:56" x14ac:dyDescent="0.25">
      <c r="C97" s="106"/>
      <c r="D97" s="52"/>
      <c r="E97" s="56"/>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row>
    <row r="98" spans="3:56" x14ac:dyDescent="0.25">
      <c r="C98" s="106"/>
      <c r="D98" s="49" t="s">
        <v>34</v>
      </c>
      <c r="E98" s="96">
        <v>0</v>
      </c>
      <c r="F98" s="96">
        <v>0</v>
      </c>
      <c r="G98" s="96">
        <v>0</v>
      </c>
      <c r="H98" s="96">
        <v>5</v>
      </c>
      <c r="I98" s="96">
        <v>5</v>
      </c>
      <c r="J98" s="96">
        <v>5</v>
      </c>
      <c r="K98" s="96">
        <v>5</v>
      </c>
      <c r="L98" s="96">
        <v>5</v>
      </c>
      <c r="M98" s="96">
        <v>5</v>
      </c>
      <c r="N98" s="96">
        <v>5</v>
      </c>
      <c r="O98" s="96">
        <v>5</v>
      </c>
      <c r="P98" s="96">
        <v>5</v>
      </c>
      <c r="Q98" s="96">
        <v>5</v>
      </c>
      <c r="R98" s="96">
        <v>5</v>
      </c>
      <c r="S98" s="96">
        <v>5</v>
      </c>
      <c r="T98" s="96">
        <v>5</v>
      </c>
      <c r="U98" s="96">
        <v>4.4000000000000004</v>
      </c>
      <c r="V98" s="96">
        <v>4.4000000000000004</v>
      </c>
      <c r="W98" s="96">
        <v>4.5</v>
      </c>
      <c r="X98" s="96">
        <v>3.5</v>
      </c>
      <c r="Y98" s="96">
        <v>3.4824999999999999</v>
      </c>
      <c r="Z98" s="96">
        <v>3.4650875000000001</v>
      </c>
      <c r="AA98" s="96">
        <v>3.4477620625000003</v>
      </c>
      <c r="AB98" s="96">
        <v>3.4305232521875002</v>
      </c>
      <c r="AC98" s="96">
        <v>3.4133706359265625</v>
      </c>
      <c r="AD98" s="96">
        <v>3.3963037827469296</v>
      </c>
      <c r="AE98" s="96">
        <v>3.379322263833195</v>
      </c>
      <c r="AF98" s="96">
        <v>3.362425652514029</v>
      </c>
      <c r="AG98" s="96">
        <v>3.3456135242514589</v>
      </c>
      <c r="AH98" s="96">
        <v>3.3288854566302017</v>
      </c>
      <c r="AI98" s="96">
        <v>3.3122410293470508</v>
      </c>
      <c r="AJ98" s="96">
        <v>3.2956798242003154</v>
      </c>
      <c r="AK98" s="96">
        <v>3.2792014250793136</v>
      </c>
      <c r="AL98" s="96">
        <v>3.262805417953917</v>
      </c>
      <c r="AM98" s="96">
        <v>3.2464913908641475</v>
      </c>
      <c r="AN98" s="96">
        <v>3.2302589339098269</v>
      </c>
      <c r="AO98" s="96">
        <v>3.2141076392402779</v>
      </c>
      <c r="AP98" s="96">
        <v>3.1980371010440765</v>
      </c>
      <c r="AQ98" s="96">
        <v>3.182046915538856</v>
      </c>
      <c r="AR98" s="96">
        <v>3.1661366809611615</v>
      </c>
      <c r="AS98" s="96">
        <v>3.1503059975563557</v>
      </c>
      <c r="AT98" s="96">
        <v>3.1345544675685737</v>
      </c>
      <c r="AU98" s="96">
        <v>3.1188816952307308</v>
      </c>
      <c r="AV98" s="96">
        <v>3.1032872867545773</v>
      </c>
      <c r="AW98" s="96">
        <v>3.0877708503208043</v>
      </c>
      <c r="AX98" s="96">
        <v>3.0723319960692002</v>
      </c>
      <c r="AY98" s="96">
        <v>3.0569703360888543</v>
      </c>
      <c r="AZ98" s="96">
        <v>3.04168548440841</v>
      </c>
      <c r="BA98" s="96">
        <v>3.0264770569863679</v>
      </c>
      <c r="BB98" s="96">
        <v>3.011344671701436</v>
      </c>
      <c r="BC98" s="96">
        <v>2.9962879483429288</v>
      </c>
      <c r="BD98" s="96">
        <v>2.981306508601214</v>
      </c>
    </row>
    <row r="99" spans="3:56" x14ac:dyDescent="0.25">
      <c r="C99" s="106"/>
      <c r="D99" s="49" t="s">
        <v>35</v>
      </c>
      <c r="E99" s="96">
        <v>0</v>
      </c>
      <c r="F99" s="96">
        <v>0</v>
      </c>
      <c r="G99" s="96">
        <v>0</v>
      </c>
      <c r="H99" s="96">
        <v>0</v>
      </c>
      <c r="I99" s="96">
        <v>0</v>
      </c>
      <c r="J99" s="96">
        <v>0</v>
      </c>
      <c r="K99" s="96">
        <v>0</v>
      </c>
      <c r="L99" s="96">
        <v>0</v>
      </c>
      <c r="M99" s="96">
        <v>0</v>
      </c>
      <c r="N99" s="96">
        <v>0</v>
      </c>
      <c r="O99" s="96">
        <v>0</v>
      </c>
      <c r="P99" s="96">
        <v>0</v>
      </c>
      <c r="Q99" s="96">
        <v>0</v>
      </c>
      <c r="R99" s="96">
        <v>0</v>
      </c>
      <c r="S99" s="96">
        <v>0</v>
      </c>
      <c r="T99" s="96">
        <v>0</v>
      </c>
      <c r="U99" s="96">
        <v>0</v>
      </c>
      <c r="V99" s="96">
        <v>0</v>
      </c>
      <c r="W99" s="96">
        <v>0</v>
      </c>
      <c r="X99" s="96">
        <v>0</v>
      </c>
      <c r="Y99" s="96">
        <v>0</v>
      </c>
      <c r="Z99" s="96">
        <v>0</v>
      </c>
      <c r="AA99" s="96">
        <v>0</v>
      </c>
      <c r="AB99" s="96">
        <v>0</v>
      </c>
      <c r="AC99" s="96">
        <v>0</v>
      </c>
      <c r="AD99" s="96">
        <v>0</v>
      </c>
      <c r="AE99" s="96">
        <v>0</v>
      </c>
      <c r="AF99" s="96">
        <v>0</v>
      </c>
      <c r="AG99" s="96">
        <v>0</v>
      </c>
      <c r="AH99" s="96">
        <v>0</v>
      </c>
      <c r="AI99" s="96">
        <v>0</v>
      </c>
      <c r="AJ99" s="96">
        <v>0</v>
      </c>
      <c r="AK99" s="96">
        <v>0</v>
      </c>
      <c r="AL99" s="96">
        <v>0</v>
      </c>
      <c r="AM99" s="96">
        <v>0</v>
      </c>
      <c r="AN99" s="96">
        <v>0</v>
      </c>
      <c r="AO99" s="96">
        <v>0</v>
      </c>
      <c r="AP99" s="96">
        <v>0</v>
      </c>
      <c r="AQ99" s="96">
        <v>0</v>
      </c>
      <c r="AR99" s="96">
        <v>0</v>
      </c>
      <c r="AS99" s="96">
        <v>0</v>
      </c>
      <c r="AT99" s="96">
        <v>0</v>
      </c>
      <c r="AU99" s="96">
        <v>0</v>
      </c>
      <c r="AV99" s="96">
        <v>0</v>
      </c>
      <c r="AW99" s="96">
        <v>0</v>
      </c>
      <c r="AX99" s="96">
        <v>0</v>
      </c>
      <c r="AY99" s="96">
        <v>0</v>
      </c>
      <c r="AZ99" s="96">
        <v>0</v>
      </c>
      <c r="BA99" s="96">
        <v>0</v>
      </c>
      <c r="BB99" s="96">
        <v>0</v>
      </c>
      <c r="BC99" s="96">
        <v>0</v>
      </c>
      <c r="BD99" s="96">
        <v>0</v>
      </c>
    </row>
    <row r="100" spans="3:56" x14ac:dyDescent="0.25">
      <c r="C100" s="106"/>
      <c r="D100" s="49" t="s">
        <v>36</v>
      </c>
      <c r="E100" s="96">
        <v>0</v>
      </c>
      <c r="F100" s="96">
        <v>0</v>
      </c>
      <c r="G100" s="96">
        <v>0</v>
      </c>
      <c r="H100" s="96">
        <v>0</v>
      </c>
      <c r="I100" s="96">
        <v>0</v>
      </c>
      <c r="J100" s="96">
        <v>0</v>
      </c>
      <c r="K100" s="96">
        <v>0</v>
      </c>
      <c r="L100" s="96">
        <v>0</v>
      </c>
      <c r="M100" s="96">
        <v>0</v>
      </c>
      <c r="N100" s="96">
        <v>0</v>
      </c>
      <c r="O100" s="96">
        <v>0</v>
      </c>
      <c r="P100" s="96">
        <v>0</v>
      </c>
      <c r="Q100" s="96">
        <v>0</v>
      </c>
      <c r="R100" s="96">
        <v>0</v>
      </c>
      <c r="S100" s="96">
        <v>0</v>
      </c>
      <c r="T100" s="96">
        <v>0</v>
      </c>
      <c r="U100" s="96">
        <v>0</v>
      </c>
      <c r="V100" s="96">
        <v>0</v>
      </c>
      <c r="W100" s="96">
        <v>0</v>
      </c>
      <c r="X100" s="96">
        <v>0</v>
      </c>
      <c r="Y100" s="96">
        <v>0</v>
      </c>
      <c r="Z100" s="96">
        <v>0</v>
      </c>
      <c r="AA100" s="96">
        <v>0</v>
      </c>
      <c r="AB100" s="96">
        <v>0</v>
      </c>
      <c r="AC100" s="96">
        <v>0</v>
      </c>
      <c r="AD100" s="96">
        <v>0</v>
      </c>
      <c r="AE100" s="96">
        <v>0</v>
      </c>
      <c r="AF100" s="96">
        <v>0</v>
      </c>
      <c r="AG100" s="96">
        <v>0</v>
      </c>
      <c r="AH100" s="96">
        <v>0</v>
      </c>
      <c r="AI100" s="96">
        <v>0</v>
      </c>
      <c r="AJ100" s="96">
        <v>0</v>
      </c>
      <c r="AK100" s="96">
        <v>0</v>
      </c>
      <c r="AL100" s="96">
        <v>0</v>
      </c>
      <c r="AM100" s="96">
        <v>0</v>
      </c>
      <c r="AN100" s="96">
        <v>0</v>
      </c>
      <c r="AO100" s="96">
        <v>0</v>
      </c>
      <c r="AP100" s="96">
        <v>0</v>
      </c>
      <c r="AQ100" s="96">
        <v>0</v>
      </c>
      <c r="AR100" s="96">
        <v>0</v>
      </c>
      <c r="AS100" s="96">
        <v>0</v>
      </c>
      <c r="AT100" s="96">
        <v>0</v>
      </c>
      <c r="AU100" s="96">
        <v>0</v>
      </c>
      <c r="AV100" s="96">
        <v>0</v>
      </c>
      <c r="AW100" s="96">
        <v>0</v>
      </c>
      <c r="AX100" s="96">
        <v>0</v>
      </c>
      <c r="AY100" s="96">
        <v>0</v>
      </c>
      <c r="AZ100" s="96">
        <v>0</v>
      </c>
      <c r="BA100" s="96">
        <v>0</v>
      </c>
      <c r="BB100" s="96">
        <v>0</v>
      </c>
      <c r="BC100" s="96">
        <v>0</v>
      </c>
      <c r="BD100" s="96">
        <v>0</v>
      </c>
    </row>
    <row r="101" spans="3:56" x14ac:dyDescent="0.25">
      <c r="C101" s="106"/>
      <c r="D101" s="49" t="s">
        <v>37</v>
      </c>
      <c r="E101" s="96">
        <v>0</v>
      </c>
      <c r="F101" s="96">
        <v>0</v>
      </c>
      <c r="G101" s="96">
        <v>0</v>
      </c>
      <c r="H101" s="96">
        <v>0</v>
      </c>
      <c r="I101" s="96">
        <v>0</v>
      </c>
      <c r="J101" s="96">
        <v>0</v>
      </c>
      <c r="K101" s="96">
        <v>0</v>
      </c>
      <c r="L101" s="96">
        <v>0</v>
      </c>
      <c r="M101" s="96">
        <v>0</v>
      </c>
      <c r="N101" s="96">
        <v>0</v>
      </c>
      <c r="O101" s="96">
        <v>0</v>
      </c>
      <c r="P101" s="96">
        <v>0</v>
      </c>
      <c r="Q101" s="96">
        <v>0</v>
      </c>
      <c r="R101" s="96">
        <v>0</v>
      </c>
      <c r="S101" s="96">
        <v>0</v>
      </c>
      <c r="T101" s="96">
        <v>0</v>
      </c>
      <c r="U101" s="96">
        <v>0</v>
      </c>
      <c r="V101" s="96">
        <v>0</v>
      </c>
      <c r="W101" s="96">
        <v>0</v>
      </c>
      <c r="X101" s="96">
        <v>0</v>
      </c>
      <c r="Y101" s="96">
        <v>0</v>
      </c>
      <c r="Z101" s="96">
        <v>0</v>
      </c>
      <c r="AA101" s="96">
        <v>0</v>
      </c>
      <c r="AB101" s="96">
        <v>0</v>
      </c>
      <c r="AC101" s="96">
        <v>0</v>
      </c>
      <c r="AD101" s="96">
        <v>0</v>
      </c>
      <c r="AE101" s="96">
        <v>0</v>
      </c>
      <c r="AF101" s="96">
        <v>0</v>
      </c>
      <c r="AG101" s="96">
        <v>0</v>
      </c>
      <c r="AH101" s="96">
        <v>0</v>
      </c>
      <c r="AI101" s="96">
        <v>0</v>
      </c>
      <c r="AJ101" s="96">
        <v>0</v>
      </c>
      <c r="AK101" s="96">
        <v>0</v>
      </c>
      <c r="AL101" s="96">
        <v>0</v>
      </c>
      <c r="AM101" s="96">
        <v>0</v>
      </c>
      <c r="AN101" s="96">
        <v>0</v>
      </c>
      <c r="AO101" s="96">
        <v>0</v>
      </c>
      <c r="AP101" s="96">
        <v>0</v>
      </c>
      <c r="AQ101" s="96">
        <v>0</v>
      </c>
      <c r="AR101" s="96">
        <v>0</v>
      </c>
      <c r="AS101" s="96">
        <v>0</v>
      </c>
      <c r="AT101" s="96">
        <v>0</v>
      </c>
      <c r="AU101" s="96">
        <v>0</v>
      </c>
      <c r="AV101" s="96">
        <v>0</v>
      </c>
      <c r="AW101" s="96">
        <v>0</v>
      </c>
      <c r="AX101" s="96">
        <v>0</v>
      </c>
      <c r="AY101" s="96">
        <v>0</v>
      </c>
      <c r="AZ101" s="96">
        <v>0</v>
      </c>
      <c r="BA101" s="96">
        <v>0</v>
      </c>
      <c r="BB101" s="96">
        <v>0</v>
      </c>
      <c r="BC101" s="96">
        <v>0</v>
      </c>
      <c r="BD101" s="96">
        <v>0</v>
      </c>
    </row>
    <row r="102" spans="3:56" x14ac:dyDescent="0.25">
      <c r="C102" s="106"/>
      <c r="D102" s="49" t="s">
        <v>38</v>
      </c>
      <c r="E102" s="96">
        <v>0</v>
      </c>
      <c r="F102" s="96">
        <v>0</v>
      </c>
      <c r="G102" s="96">
        <v>0</v>
      </c>
      <c r="H102" s="96">
        <v>0</v>
      </c>
      <c r="I102" s="96">
        <v>0</v>
      </c>
      <c r="J102" s="96">
        <v>0</v>
      </c>
      <c r="K102" s="96">
        <v>0</v>
      </c>
      <c r="L102" s="96">
        <v>0</v>
      </c>
      <c r="M102" s="96">
        <v>0</v>
      </c>
      <c r="N102" s="96">
        <v>0</v>
      </c>
      <c r="O102" s="96">
        <v>0</v>
      </c>
      <c r="P102" s="96">
        <v>0</v>
      </c>
      <c r="Q102" s="96">
        <v>0</v>
      </c>
      <c r="R102" s="96">
        <v>0</v>
      </c>
      <c r="S102" s="96">
        <v>0</v>
      </c>
      <c r="T102" s="96">
        <v>0</v>
      </c>
      <c r="U102" s="96">
        <v>0</v>
      </c>
      <c r="V102" s="96">
        <v>0</v>
      </c>
      <c r="W102" s="96">
        <v>0</v>
      </c>
      <c r="X102" s="96">
        <v>0</v>
      </c>
      <c r="Y102" s="96">
        <v>0</v>
      </c>
      <c r="Z102" s="96">
        <v>0</v>
      </c>
      <c r="AA102" s="96">
        <v>0</v>
      </c>
      <c r="AB102" s="96">
        <v>0</v>
      </c>
      <c r="AC102" s="96">
        <v>0</v>
      </c>
      <c r="AD102" s="96">
        <v>0</v>
      </c>
      <c r="AE102" s="96">
        <v>0</v>
      </c>
      <c r="AF102" s="96">
        <v>0</v>
      </c>
      <c r="AG102" s="96">
        <v>0</v>
      </c>
      <c r="AH102" s="96">
        <v>0</v>
      </c>
      <c r="AI102" s="96">
        <v>0</v>
      </c>
      <c r="AJ102" s="96">
        <v>0</v>
      </c>
      <c r="AK102" s="96">
        <v>0</v>
      </c>
      <c r="AL102" s="96">
        <v>0</v>
      </c>
      <c r="AM102" s="96">
        <v>0</v>
      </c>
      <c r="AN102" s="96">
        <v>0</v>
      </c>
      <c r="AO102" s="96">
        <v>0</v>
      </c>
      <c r="AP102" s="96">
        <v>0</v>
      </c>
      <c r="AQ102" s="96">
        <v>0</v>
      </c>
      <c r="AR102" s="96">
        <v>0</v>
      </c>
      <c r="AS102" s="96">
        <v>0</v>
      </c>
      <c r="AT102" s="96">
        <v>0</v>
      </c>
      <c r="AU102" s="96">
        <v>0</v>
      </c>
      <c r="AV102" s="96">
        <v>0</v>
      </c>
      <c r="AW102" s="96">
        <v>0</v>
      </c>
      <c r="AX102" s="96">
        <v>0</v>
      </c>
      <c r="AY102" s="96">
        <v>0</v>
      </c>
      <c r="AZ102" s="96">
        <v>0</v>
      </c>
      <c r="BA102" s="96">
        <v>0</v>
      </c>
      <c r="BB102" s="96">
        <v>0</v>
      </c>
      <c r="BC102" s="96">
        <v>0</v>
      </c>
      <c r="BD102" s="96">
        <v>0</v>
      </c>
    </row>
    <row r="103" spans="3:56" x14ac:dyDescent="0.25">
      <c r="C103" s="106"/>
      <c r="D103" s="49" t="s">
        <v>39</v>
      </c>
      <c r="E103" s="96">
        <v>0</v>
      </c>
      <c r="F103" s="96">
        <v>0</v>
      </c>
      <c r="G103" s="96">
        <v>0</v>
      </c>
      <c r="H103" s="96">
        <v>0</v>
      </c>
      <c r="I103" s="96">
        <v>0</v>
      </c>
      <c r="J103" s="96">
        <v>0</v>
      </c>
      <c r="K103" s="96">
        <v>0</v>
      </c>
      <c r="L103" s="96">
        <v>0</v>
      </c>
      <c r="M103" s="96">
        <v>0</v>
      </c>
      <c r="N103" s="96">
        <v>0</v>
      </c>
      <c r="O103" s="96">
        <v>0</v>
      </c>
      <c r="P103" s="96">
        <v>0</v>
      </c>
      <c r="Q103" s="96">
        <v>0</v>
      </c>
      <c r="R103" s="96">
        <v>0</v>
      </c>
      <c r="S103" s="96">
        <v>0</v>
      </c>
      <c r="T103" s="96">
        <v>0</v>
      </c>
      <c r="U103" s="96">
        <v>0</v>
      </c>
      <c r="V103" s="96">
        <v>0</v>
      </c>
      <c r="W103" s="96">
        <v>0</v>
      </c>
      <c r="X103" s="96">
        <v>0</v>
      </c>
      <c r="Y103" s="96">
        <v>0</v>
      </c>
      <c r="Z103" s="96">
        <v>0</v>
      </c>
      <c r="AA103" s="96">
        <v>0</v>
      </c>
      <c r="AB103" s="96">
        <v>0</v>
      </c>
      <c r="AC103" s="96">
        <v>0</v>
      </c>
      <c r="AD103" s="96">
        <v>0</v>
      </c>
      <c r="AE103" s="96">
        <v>0</v>
      </c>
      <c r="AF103" s="96">
        <v>0</v>
      </c>
      <c r="AG103" s="96">
        <v>0</v>
      </c>
      <c r="AH103" s="96">
        <v>0</v>
      </c>
      <c r="AI103" s="96">
        <v>0</v>
      </c>
      <c r="AJ103" s="96">
        <v>0</v>
      </c>
      <c r="AK103" s="96">
        <v>0</v>
      </c>
      <c r="AL103" s="96">
        <v>0</v>
      </c>
      <c r="AM103" s="96">
        <v>0</v>
      </c>
      <c r="AN103" s="96">
        <v>0</v>
      </c>
      <c r="AO103" s="96">
        <v>0</v>
      </c>
      <c r="AP103" s="96">
        <v>0</v>
      </c>
      <c r="AQ103" s="96">
        <v>0</v>
      </c>
      <c r="AR103" s="96">
        <v>0</v>
      </c>
      <c r="AS103" s="96">
        <v>0</v>
      </c>
      <c r="AT103" s="96">
        <v>0</v>
      </c>
      <c r="AU103" s="96">
        <v>0</v>
      </c>
      <c r="AV103" s="96">
        <v>0</v>
      </c>
      <c r="AW103" s="96">
        <v>0</v>
      </c>
      <c r="AX103" s="96">
        <v>0</v>
      </c>
      <c r="AY103" s="96">
        <v>0</v>
      </c>
      <c r="AZ103" s="96">
        <v>0</v>
      </c>
      <c r="BA103" s="96">
        <v>0</v>
      </c>
      <c r="BB103" s="96">
        <v>0</v>
      </c>
      <c r="BC103" s="96">
        <v>0</v>
      </c>
      <c r="BD103" s="96">
        <v>0</v>
      </c>
    </row>
    <row r="104" spans="3:56" x14ac:dyDescent="0.25">
      <c r="C104" s="106"/>
      <c r="D104" s="49" t="s">
        <v>40</v>
      </c>
      <c r="E104" s="96">
        <v>0</v>
      </c>
      <c r="F104" s="96">
        <v>0</v>
      </c>
      <c r="G104" s="96">
        <v>0</v>
      </c>
      <c r="H104" s="96">
        <v>0</v>
      </c>
      <c r="I104" s="96">
        <v>0</v>
      </c>
      <c r="J104" s="96">
        <v>0</v>
      </c>
      <c r="K104" s="96">
        <v>0</v>
      </c>
      <c r="L104" s="96">
        <v>0</v>
      </c>
      <c r="M104" s="96">
        <v>0</v>
      </c>
      <c r="N104" s="96">
        <v>0</v>
      </c>
      <c r="O104" s="96">
        <v>0</v>
      </c>
      <c r="P104" s="96">
        <v>0</v>
      </c>
      <c r="Q104" s="96">
        <v>0</v>
      </c>
      <c r="R104" s="96">
        <v>0</v>
      </c>
      <c r="S104" s="96">
        <v>0</v>
      </c>
      <c r="T104" s="96">
        <v>0</v>
      </c>
      <c r="U104" s="96">
        <v>0</v>
      </c>
      <c r="V104" s="96">
        <v>0</v>
      </c>
      <c r="W104" s="96">
        <v>0</v>
      </c>
      <c r="X104" s="96">
        <v>0</v>
      </c>
      <c r="Y104" s="96">
        <v>0</v>
      </c>
      <c r="Z104" s="96">
        <v>0</v>
      </c>
      <c r="AA104" s="96">
        <v>0</v>
      </c>
      <c r="AB104" s="96">
        <v>0</v>
      </c>
      <c r="AC104" s="96">
        <v>0</v>
      </c>
      <c r="AD104" s="96">
        <v>0</v>
      </c>
      <c r="AE104" s="96">
        <v>0</v>
      </c>
      <c r="AF104" s="96">
        <v>0</v>
      </c>
      <c r="AG104" s="96">
        <v>0</v>
      </c>
      <c r="AH104" s="96">
        <v>0</v>
      </c>
      <c r="AI104" s="96">
        <v>0</v>
      </c>
      <c r="AJ104" s="96">
        <v>0</v>
      </c>
      <c r="AK104" s="96">
        <v>0</v>
      </c>
      <c r="AL104" s="96">
        <v>0</v>
      </c>
      <c r="AM104" s="96">
        <v>0</v>
      </c>
      <c r="AN104" s="96">
        <v>0</v>
      </c>
      <c r="AO104" s="96">
        <v>0</v>
      </c>
      <c r="AP104" s="96">
        <v>0</v>
      </c>
      <c r="AQ104" s="96">
        <v>0</v>
      </c>
      <c r="AR104" s="96">
        <v>0</v>
      </c>
      <c r="AS104" s="96">
        <v>0</v>
      </c>
      <c r="AT104" s="96">
        <v>0</v>
      </c>
      <c r="AU104" s="96">
        <v>0</v>
      </c>
      <c r="AV104" s="96">
        <v>0</v>
      </c>
      <c r="AW104" s="96">
        <v>0</v>
      </c>
      <c r="AX104" s="96">
        <v>0</v>
      </c>
      <c r="AY104" s="96">
        <v>0</v>
      </c>
      <c r="AZ104" s="96">
        <v>0</v>
      </c>
      <c r="BA104" s="96">
        <v>0</v>
      </c>
      <c r="BB104" s="96">
        <v>0</v>
      </c>
      <c r="BC104" s="96">
        <v>0</v>
      </c>
      <c r="BD104" s="96">
        <v>0</v>
      </c>
    </row>
    <row r="105" spans="3:56" x14ac:dyDescent="0.25">
      <c r="C105" s="106"/>
      <c r="D105" s="50" t="s">
        <v>41</v>
      </c>
      <c r="E105" s="56">
        <f t="shared" ref="E105:BD105" si="25">(SUM(E98:E104)*E107)/((40*(1-E106)+40))</f>
        <v>0</v>
      </c>
      <c r="F105" s="56">
        <f t="shared" si="25"/>
        <v>0</v>
      </c>
      <c r="G105" s="56">
        <f t="shared" si="25"/>
        <v>0</v>
      </c>
      <c r="H105" s="56">
        <f t="shared" si="25"/>
        <v>0</v>
      </c>
      <c r="I105" s="56">
        <f t="shared" si="25"/>
        <v>0</v>
      </c>
      <c r="J105" s="56">
        <f t="shared" si="25"/>
        <v>0</v>
      </c>
      <c r="K105" s="56">
        <f t="shared" si="25"/>
        <v>0</v>
      </c>
      <c r="L105" s="56">
        <f t="shared" si="25"/>
        <v>0</v>
      </c>
      <c r="M105" s="56">
        <f t="shared" si="25"/>
        <v>0</v>
      </c>
      <c r="N105" s="56">
        <f t="shared" si="25"/>
        <v>0</v>
      </c>
      <c r="O105" s="56">
        <f t="shared" si="25"/>
        <v>0</v>
      </c>
      <c r="P105" s="56">
        <f t="shared" si="25"/>
        <v>0</v>
      </c>
      <c r="Q105" s="56">
        <f t="shared" si="25"/>
        <v>0</v>
      </c>
      <c r="R105" s="56">
        <f t="shared" si="25"/>
        <v>0</v>
      </c>
      <c r="S105" s="56">
        <f t="shared" si="25"/>
        <v>0</v>
      </c>
      <c r="T105" s="56">
        <f t="shared" si="25"/>
        <v>0</v>
      </c>
      <c r="U105" s="56">
        <f t="shared" si="25"/>
        <v>0</v>
      </c>
      <c r="V105" s="56">
        <f t="shared" si="25"/>
        <v>0</v>
      </c>
      <c r="W105" s="56">
        <f t="shared" si="25"/>
        <v>0</v>
      </c>
      <c r="X105" s="56">
        <f t="shared" si="25"/>
        <v>0</v>
      </c>
      <c r="Y105" s="56">
        <f t="shared" si="25"/>
        <v>0</v>
      </c>
      <c r="Z105" s="56">
        <f t="shared" si="25"/>
        <v>0</v>
      </c>
      <c r="AA105" s="56">
        <f t="shared" si="25"/>
        <v>0</v>
      </c>
      <c r="AB105" s="56">
        <f t="shared" si="25"/>
        <v>0</v>
      </c>
      <c r="AC105" s="56">
        <f t="shared" si="25"/>
        <v>0</v>
      </c>
      <c r="AD105" s="56">
        <f t="shared" si="25"/>
        <v>0</v>
      </c>
      <c r="AE105" s="56">
        <f t="shared" si="25"/>
        <v>0</v>
      </c>
      <c r="AF105" s="56">
        <f t="shared" si="25"/>
        <v>0</v>
      </c>
      <c r="AG105" s="56">
        <f t="shared" si="25"/>
        <v>0</v>
      </c>
      <c r="AH105" s="56">
        <f t="shared" si="25"/>
        <v>0</v>
      </c>
      <c r="AI105" s="56">
        <f t="shared" si="25"/>
        <v>0</v>
      </c>
      <c r="AJ105" s="56">
        <f t="shared" si="25"/>
        <v>0</v>
      </c>
      <c r="AK105" s="56">
        <f t="shared" si="25"/>
        <v>0</v>
      </c>
      <c r="AL105" s="56">
        <f t="shared" si="25"/>
        <v>0</v>
      </c>
      <c r="AM105" s="56">
        <f t="shared" si="25"/>
        <v>0</v>
      </c>
      <c r="AN105" s="56">
        <f t="shared" si="25"/>
        <v>0</v>
      </c>
      <c r="AO105" s="56">
        <f t="shared" si="25"/>
        <v>0</v>
      </c>
      <c r="AP105" s="56">
        <f t="shared" si="25"/>
        <v>0</v>
      </c>
      <c r="AQ105" s="56">
        <f t="shared" si="25"/>
        <v>0</v>
      </c>
      <c r="AR105" s="56">
        <f t="shared" si="25"/>
        <v>0</v>
      </c>
      <c r="AS105" s="56">
        <f t="shared" si="25"/>
        <v>0</v>
      </c>
      <c r="AT105" s="56">
        <f t="shared" si="25"/>
        <v>0</v>
      </c>
      <c r="AU105" s="56">
        <f t="shared" si="25"/>
        <v>0</v>
      </c>
      <c r="AV105" s="56">
        <f t="shared" si="25"/>
        <v>0</v>
      </c>
      <c r="AW105" s="56">
        <f t="shared" si="25"/>
        <v>0</v>
      </c>
      <c r="AX105" s="56">
        <f t="shared" si="25"/>
        <v>0</v>
      </c>
      <c r="AY105" s="56">
        <f t="shared" si="25"/>
        <v>0</v>
      </c>
      <c r="AZ105" s="56">
        <f t="shared" si="25"/>
        <v>0</v>
      </c>
      <c r="BA105" s="56">
        <f t="shared" si="25"/>
        <v>0</v>
      </c>
      <c r="BB105" s="56">
        <f t="shared" si="25"/>
        <v>0</v>
      </c>
      <c r="BC105" s="56">
        <f t="shared" si="25"/>
        <v>0</v>
      </c>
      <c r="BD105" s="56">
        <f t="shared" si="25"/>
        <v>0</v>
      </c>
    </row>
    <row r="106" spans="3:56" x14ac:dyDescent="0.25">
      <c r="C106" s="106"/>
      <c r="D106" s="50" t="s">
        <v>42</v>
      </c>
      <c r="E106" s="67">
        <v>0.85</v>
      </c>
      <c r="F106" s="67">
        <v>0.85</v>
      </c>
      <c r="G106" s="67">
        <v>0.85</v>
      </c>
      <c r="H106" s="67">
        <v>0.85</v>
      </c>
      <c r="I106" s="67">
        <v>0.85</v>
      </c>
      <c r="J106" s="67">
        <v>0.85</v>
      </c>
      <c r="K106" s="67">
        <v>0.85</v>
      </c>
      <c r="L106" s="67">
        <v>0.85</v>
      </c>
      <c r="M106" s="67">
        <v>0.85</v>
      </c>
      <c r="N106" s="67">
        <v>0.85</v>
      </c>
      <c r="O106" s="67">
        <v>0.85</v>
      </c>
      <c r="P106" s="67">
        <v>0.85</v>
      </c>
      <c r="Q106" s="67">
        <v>0.85</v>
      </c>
      <c r="R106" s="67">
        <v>0.85</v>
      </c>
      <c r="S106" s="67">
        <v>0.85</v>
      </c>
      <c r="T106" s="67">
        <v>0.85</v>
      </c>
      <c r="U106" s="67">
        <v>0.85</v>
      </c>
      <c r="V106" s="67">
        <v>0.85</v>
      </c>
      <c r="W106" s="67">
        <v>0.85</v>
      </c>
      <c r="X106" s="67">
        <v>0.85</v>
      </c>
      <c r="Y106" s="67">
        <v>0.85</v>
      </c>
      <c r="Z106" s="67">
        <v>0.85</v>
      </c>
      <c r="AA106" s="67">
        <v>0.85</v>
      </c>
      <c r="AB106" s="67">
        <v>0.85</v>
      </c>
      <c r="AC106" s="67">
        <v>0.85</v>
      </c>
      <c r="AD106" s="67">
        <v>0.85</v>
      </c>
      <c r="AE106" s="67">
        <v>0.85</v>
      </c>
      <c r="AF106" s="67">
        <v>0.85</v>
      </c>
      <c r="AG106" s="67">
        <v>0.85</v>
      </c>
      <c r="AH106" s="67">
        <v>0.85</v>
      </c>
      <c r="AI106" s="67">
        <v>0.85</v>
      </c>
      <c r="AJ106" s="67">
        <v>0.85</v>
      </c>
      <c r="AK106" s="67">
        <v>0.85</v>
      </c>
      <c r="AL106" s="67">
        <v>0.85</v>
      </c>
      <c r="AM106" s="67">
        <v>0.85</v>
      </c>
      <c r="AN106" s="67">
        <v>0.85</v>
      </c>
      <c r="AO106" s="67">
        <v>0.85</v>
      </c>
      <c r="AP106" s="67">
        <v>0.85</v>
      </c>
      <c r="AQ106" s="67">
        <v>0.85</v>
      </c>
      <c r="AR106" s="67">
        <v>0.85</v>
      </c>
      <c r="AS106" s="67">
        <v>0.85</v>
      </c>
      <c r="AT106" s="67">
        <v>0.85</v>
      </c>
      <c r="AU106" s="67">
        <v>0.85</v>
      </c>
      <c r="AV106" s="67">
        <v>0.85</v>
      </c>
      <c r="AW106" s="67">
        <v>0.85</v>
      </c>
      <c r="AX106" s="67">
        <v>0.85</v>
      </c>
      <c r="AY106" s="67">
        <v>0.85</v>
      </c>
      <c r="AZ106" s="67">
        <v>0.85</v>
      </c>
      <c r="BA106" s="67">
        <v>0.85</v>
      </c>
      <c r="BB106" s="67">
        <v>0.85</v>
      </c>
      <c r="BC106" s="67">
        <v>0.85</v>
      </c>
      <c r="BD106" s="67">
        <v>0.85</v>
      </c>
    </row>
    <row r="107" spans="3:56" x14ac:dyDescent="0.25">
      <c r="C107" s="106"/>
      <c r="D107" s="50" t="s">
        <v>43</v>
      </c>
      <c r="E107" s="65"/>
      <c r="F107" s="65"/>
      <c r="G107" s="65"/>
      <c r="H107" s="65"/>
      <c r="I107" s="65"/>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c r="BA107" s="65"/>
      <c r="BB107" s="65"/>
      <c r="BC107" s="65"/>
      <c r="BD107" s="65"/>
    </row>
    <row r="108" spans="3:56" x14ac:dyDescent="0.25">
      <c r="C108" s="106"/>
      <c r="D108" s="51" t="s">
        <v>44</v>
      </c>
      <c r="E108" s="55">
        <f t="shared" ref="E108:BD108" si="26">SUM(E98:E105)</f>
        <v>0</v>
      </c>
      <c r="F108" s="55">
        <f t="shared" si="26"/>
        <v>0</v>
      </c>
      <c r="G108" s="55">
        <f t="shared" si="26"/>
        <v>0</v>
      </c>
      <c r="H108" s="55">
        <f t="shared" si="26"/>
        <v>5</v>
      </c>
      <c r="I108" s="55">
        <f t="shared" si="26"/>
        <v>5</v>
      </c>
      <c r="J108" s="55">
        <f t="shared" si="26"/>
        <v>5</v>
      </c>
      <c r="K108" s="55">
        <f t="shared" si="26"/>
        <v>5</v>
      </c>
      <c r="L108" s="55">
        <f t="shared" si="26"/>
        <v>5</v>
      </c>
      <c r="M108" s="55">
        <f t="shared" si="26"/>
        <v>5</v>
      </c>
      <c r="N108" s="55">
        <f t="shared" si="26"/>
        <v>5</v>
      </c>
      <c r="O108" s="55">
        <f t="shared" si="26"/>
        <v>5</v>
      </c>
      <c r="P108" s="55">
        <f t="shared" si="26"/>
        <v>5</v>
      </c>
      <c r="Q108" s="55">
        <f t="shared" si="26"/>
        <v>5</v>
      </c>
      <c r="R108" s="55">
        <f t="shared" si="26"/>
        <v>5</v>
      </c>
      <c r="S108" s="55">
        <f t="shared" si="26"/>
        <v>5</v>
      </c>
      <c r="T108" s="55">
        <f t="shared" si="26"/>
        <v>5</v>
      </c>
      <c r="U108" s="55">
        <f t="shared" si="26"/>
        <v>4.4000000000000004</v>
      </c>
      <c r="V108" s="55">
        <f t="shared" si="26"/>
        <v>4.4000000000000004</v>
      </c>
      <c r="W108" s="55">
        <f t="shared" si="26"/>
        <v>4.5</v>
      </c>
      <c r="X108" s="55">
        <f t="shared" si="26"/>
        <v>3.5</v>
      </c>
      <c r="Y108" s="55">
        <f t="shared" si="26"/>
        <v>3.4824999999999999</v>
      </c>
      <c r="Z108" s="55">
        <f t="shared" si="26"/>
        <v>3.4650875000000001</v>
      </c>
      <c r="AA108" s="55">
        <f t="shared" si="26"/>
        <v>3.4477620625000003</v>
      </c>
      <c r="AB108" s="55">
        <f t="shared" si="26"/>
        <v>3.4305232521875002</v>
      </c>
      <c r="AC108" s="55">
        <f t="shared" si="26"/>
        <v>3.4133706359265625</v>
      </c>
      <c r="AD108" s="55">
        <f t="shared" si="26"/>
        <v>3.3963037827469296</v>
      </c>
      <c r="AE108" s="55">
        <f t="shared" si="26"/>
        <v>3.379322263833195</v>
      </c>
      <c r="AF108" s="55">
        <f t="shared" si="26"/>
        <v>3.362425652514029</v>
      </c>
      <c r="AG108" s="55">
        <f t="shared" si="26"/>
        <v>3.3456135242514589</v>
      </c>
      <c r="AH108" s="55">
        <f t="shared" si="26"/>
        <v>3.3288854566302017</v>
      </c>
      <c r="AI108" s="55">
        <f t="shared" si="26"/>
        <v>3.3122410293470508</v>
      </c>
      <c r="AJ108" s="55">
        <f t="shared" si="26"/>
        <v>3.2956798242003154</v>
      </c>
      <c r="AK108" s="55">
        <f t="shared" si="26"/>
        <v>3.2792014250793136</v>
      </c>
      <c r="AL108" s="55">
        <f t="shared" si="26"/>
        <v>3.262805417953917</v>
      </c>
      <c r="AM108" s="55">
        <f t="shared" si="26"/>
        <v>3.2464913908641475</v>
      </c>
      <c r="AN108" s="55">
        <f t="shared" si="26"/>
        <v>3.2302589339098269</v>
      </c>
      <c r="AO108" s="55">
        <f t="shared" si="26"/>
        <v>3.2141076392402779</v>
      </c>
      <c r="AP108" s="55">
        <f t="shared" si="26"/>
        <v>3.1980371010440765</v>
      </c>
      <c r="AQ108" s="55">
        <f t="shared" si="26"/>
        <v>3.182046915538856</v>
      </c>
      <c r="AR108" s="55">
        <f t="shared" si="26"/>
        <v>3.1661366809611615</v>
      </c>
      <c r="AS108" s="55">
        <f t="shared" si="26"/>
        <v>3.1503059975563557</v>
      </c>
      <c r="AT108" s="55">
        <f t="shared" si="26"/>
        <v>3.1345544675685737</v>
      </c>
      <c r="AU108" s="55">
        <f t="shared" si="26"/>
        <v>3.1188816952307308</v>
      </c>
      <c r="AV108" s="55">
        <f t="shared" si="26"/>
        <v>3.1032872867545773</v>
      </c>
      <c r="AW108" s="55">
        <f t="shared" si="26"/>
        <v>3.0877708503208043</v>
      </c>
      <c r="AX108" s="55">
        <f t="shared" si="26"/>
        <v>3.0723319960692002</v>
      </c>
      <c r="AY108" s="55">
        <f t="shared" si="26"/>
        <v>3.0569703360888543</v>
      </c>
      <c r="AZ108" s="55">
        <f t="shared" si="26"/>
        <v>3.04168548440841</v>
      </c>
      <c r="BA108" s="55">
        <f t="shared" si="26"/>
        <v>3.0264770569863679</v>
      </c>
      <c r="BB108" s="55">
        <f t="shared" si="26"/>
        <v>3.011344671701436</v>
      </c>
      <c r="BC108" s="55">
        <f t="shared" si="26"/>
        <v>2.9962879483429288</v>
      </c>
      <c r="BD108" s="55">
        <f t="shared" si="26"/>
        <v>2.981306508601214</v>
      </c>
    </row>
    <row r="109" spans="3:56" x14ac:dyDescent="0.25">
      <c r="C109" s="106"/>
      <c r="D109" s="52" t="s">
        <v>45</v>
      </c>
      <c r="E109" s="56">
        <f>E108-E96</f>
        <v>-4</v>
      </c>
      <c r="F109" s="56">
        <f t="shared" ref="F109:BD109" si="27">F108-F96</f>
        <v>-4</v>
      </c>
      <c r="G109" s="56">
        <f t="shared" si="27"/>
        <v>-4</v>
      </c>
      <c r="H109" s="56">
        <f t="shared" si="27"/>
        <v>1</v>
      </c>
      <c r="I109" s="56">
        <f t="shared" si="27"/>
        <v>1</v>
      </c>
      <c r="J109" s="56">
        <f t="shared" si="27"/>
        <v>1</v>
      </c>
      <c r="K109" s="56">
        <f t="shared" si="27"/>
        <v>1</v>
      </c>
      <c r="L109" s="56">
        <f t="shared" si="27"/>
        <v>1</v>
      </c>
      <c r="M109" s="56">
        <f t="shared" si="27"/>
        <v>1</v>
      </c>
      <c r="N109" s="56">
        <f t="shared" si="27"/>
        <v>1</v>
      </c>
      <c r="O109" s="56">
        <f t="shared" si="27"/>
        <v>1</v>
      </c>
      <c r="P109" s="56">
        <f t="shared" si="27"/>
        <v>1</v>
      </c>
      <c r="Q109" s="56">
        <f t="shared" si="27"/>
        <v>1</v>
      </c>
      <c r="R109" s="56">
        <f t="shared" si="27"/>
        <v>1</v>
      </c>
      <c r="S109" s="56">
        <f t="shared" si="27"/>
        <v>1</v>
      </c>
      <c r="T109" s="56">
        <f t="shared" si="27"/>
        <v>1</v>
      </c>
      <c r="U109" s="56">
        <f t="shared" si="27"/>
        <v>0.40000000000000036</v>
      </c>
      <c r="V109" s="56">
        <f t="shared" si="27"/>
        <v>0.40000000000000036</v>
      </c>
      <c r="W109" s="56">
        <f t="shared" si="27"/>
        <v>0.5</v>
      </c>
      <c r="X109" s="56">
        <f t="shared" si="27"/>
        <v>-0.5</v>
      </c>
      <c r="Y109" s="56">
        <f t="shared" si="27"/>
        <v>-0.51750000000000007</v>
      </c>
      <c r="Z109" s="56">
        <f t="shared" si="27"/>
        <v>-0.5349124999999999</v>
      </c>
      <c r="AA109" s="56">
        <f t="shared" si="27"/>
        <v>-0.55223793749999972</v>
      </c>
      <c r="AB109" s="56">
        <f t="shared" si="27"/>
        <v>-0.5694767478124998</v>
      </c>
      <c r="AC109" s="56">
        <f t="shared" si="27"/>
        <v>-0.58662936407343746</v>
      </c>
      <c r="AD109" s="56">
        <f t="shared" si="27"/>
        <v>-0.60369621725307043</v>
      </c>
      <c r="AE109" s="56">
        <f t="shared" si="27"/>
        <v>-0.62067773616680499</v>
      </c>
      <c r="AF109" s="56">
        <f t="shared" si="27"/>
        <v>-0.63757434748597097</v>
      </c>
      <c r="AG109" s="56">
        <f t="shared" si="27"/>
        <v>-0.65438647574854114</v>
      </c>
      <c r="AH109" s="56">
        <f t="shared" si="27"/>
        <v>-0.67111454336979826</v>
      </c>
      <c r="AI109" s="56">
        <f t="shared" si="27"/>
        <v>-0.68775897065294922</v>
      </c>
      <c r="AJ109" s="56">
        <f t="shared" si="27"/>
        <v>-0.70432017579968464</v>
      </c>
      <c r="AK109" s="56">
        <f t="shared" si="27"/>
        <v>-0.72079857492068644</v>
      </c>
      <c r="AL109" s="56">
        <f t="shared" si="27"/>
        <v>-0.73719458204608301</v>
      </c>
      <c r="AM109" s="56">
        <f t="shared" si="27"/>
        <v>-0.75350860913585249</v>
      </c>
      <c r="AN109" s="56">
        <f t="shared" si="27"/>
        <v>-0.76974106609017312</v>
      </c>
      <c r="AO109" s="56">
        <f t="shared" si="27"/>
        <v>-0.78589236075972213</v>
      </c>
      <c r="AP109" s="56">
        <f t="shared" si="27"/>
        <v>-0.80196289895592354</v>
      </c>
      <c r="AQ109" s="56">
        <f t="shared" si="27"/>
        <v>-0.81795308446114401</v>
      </c>
      <c r="AR109" s="56">
        <f t="shared" si="27"/>
        <v>-0.83386331903883848</v>
      </c>
      <c r="AS109" s="56">
        <f t="shared" si="27"/>
        <v>-0.84969400244364435</v>
      </c>
      <c r="AT109" s="56">
        <f t="shared" si="27"/>
        <v>-0.8654455324314263</v>
      </c>
      <c r="AU109" s="56">
        <f t="shared" si="27"/>
        <v>-0.88111830476926922</v>
      </c>
      <c r="AV109" s="56">
        <f t="shared" si="27"/>
        <v>-0.89671271324542268</v>
      </c>
      <c r="AW109" s="56">
        <f t="shared" si="27"/>
        <v>-0.91222914967919566</v>
      </c>
      <c r="AX109" s="56">
        <f t="shared" si="27"/>
        <v>-0.92766800393079984</v>
      </c>
      <c r="AY109" s="56">
        <f t="shared" si="27"/>
        <v>-0.94302966391114573</v>
      </c>
      <c r="AZ109" s="56">
        <f t="shared" si="27"/>
        <v>-0.95831451559158998</v>
      </c>
      <c r="BA109" s="56">
        <f t="shared" si="27"/>
        <v>-0.97352294301363207</v>
      </c>
      <c r="BB109" s="56">
        <f t="shared" si="27"/>
        <v>-0.98865532829856395</v>
      </c>
      <c r="BC109" s="56">
        <f t="shared" si="27"/>
        <v>-1.0037120516570712</v>
      </c>
      <c r="BD109" s="56">
        <f t="shared" si="27"/>
        <v>-1.018693491398786</v>
      </c>
    </row>
    <row r="110" spans="3:56" ht="13.5" customHeight="1" x14ac:dyDescent="0.25">
      <c r="C110" s="48"/>
      <c r="E110" s="42"/>
      <c r="F110" s="42"/>
      <c r="G110" s="42"/>
      <c r="H110" s="42"/>
      <c r="I110" s="42"/>
      <c r="J110" s="42"/>
      <c r="K110" s="42"/>
      <c r="L110" s="42"/>
      <c r="M110" s="42"/>
    </row>
    <row r="111" spans="3:56" x14ac:dyDescent="0.25">
      <c r="E111" s="82">
        <f t="shared" ref="E111:BD111" si="28">E2</f>
        <v>44569</v>
      </c>
      <c r="F111" s="82">
        <f t="shared" si="28"/>
        <v>44576</v>
      </c>
      <c r="G111" s="82">
        <f t="shared" si="28"/>
        <v>44583</v>
      </c>
      <c r="H111" s="82">
        <f t="shared" si="28"/>
        <v>44590</v>
      </c>
      <c r="I111" s="82">
        <f t="shared" si="28"/>
        <v>44597</v>
      </c>
      <c r="J111" s="82">
        <f t="shared" si="28"/>
        <v>44604</v>
      </c>
      <c r="K111" s="82">
        <f t="shared" si="28"/>
        <v>44611</v>
      </c>
      <c r="L111" s="82">
        <f t="shared" si="28"/>
        <v>44618</v>
      </c>
      <c r="M111" s="82">
        <f t="shared" si="28"/>
        <v>44625</v>
      </c>
      <c r="N111" s="82">
        <f t="shared" si="28"/>
        <v>44632</v>
      </c>
      <c r="O111" s="82">
        <f t="shared" si="28"/>
        <v>44639</v>
      </c>
      <c r="P111" s="82">
        <f t="shared" si="28"/>
        <v>44646</v>
      </c>
      <c r="Q111" s="82">
        <f t="shared" si="28"/>
        <v>44653</v>
      </c>
      <c r="R111" s="82">
        <f t="shared" si="28"/>
        <v>44660</v>
      </c>
      <c r="S111" s="82">
        <f t="shared" si="28"/>
        <v>44667</v>
      </c>
      <c r="T111" s="82">
        <f t="shared" si="28"/>
        <v>44674</v>
      </c>
      <c r="U111" s="82">
        <f t="shared" si="28"/>
        <v>44681</v>
      </c>
      <c r="V111" s="82">
        <f t="shared" si="28"/>
        <v>44688</v>
      </c>
      <c r="W111" s="82">
        <f t="shared" si="28"/>
        <v>44695</v>
      </c>
      <c r="X111" s="82">
        <f t="shared" si="28"/>
        <v>44702</v>
      </c>
      <c r="Y111" s="82">
        <f t="shared" si="28"/>
        <v>44709</v>
      </c>
      <c r="Z111" s="82">
        <f t="shared" si="28"/>
        <v>44716</v>
      </c>
      <c r="AA111" s="82">
        <f t="shared" si="28"/>
        <v>44723</v>
      </c>
      <c r="AB111" s="82">
        <f t="shared" si="28"/>
        <v>44730</v>
      </c>
      <c r="AC111" s="82">
        <f t="shared" si="28"/>
        <v>44737</v>
      </c>
      <c r="AD111" s="82">
        <f t="shared" si="28"/>
        <v>44744</v>
      </c>
      <c r="AE111" s="82">
        <f t="shared" si="28"/>
        <v>44751</v>
      </c>
      <c r="AF111" s="82">
        <f t="shared" si="28"/>
        <v>44758</v>
      </c>
      <c r="AG111" s="82">
        <f t="shared" si="28"/>
        <v>44765</v>
      </c>
      <c r="AH111" s="82">
        <f t="shared" si="28"/>
        <v>44772</v>
      </c>
      <c r="AI111" s="82">
        <f t="shared" si="28"/>
        <v>44779</v>
      </c>
      <c r="AJ111" s="82">
        <f t="shared" si="28"/>
        <v>44786</v>
      </c>
      <c r="AK111" s="82">
        <f t="shared" si="28"/>
        <v>44793</v>
      </c>
      <c r="AL111" s="82">
        <f t="shared" si="28"/>
        <v>44800</v>
      </c>
      <c r="AM111" s="82">
        <f t="shared" si="28"/>
        <v>44807</v>
      </c>
      <c r="AN111" s="82">
        <f t="shared" si="28"/>
        <v>44814</v>
      </c>
      <c r="AO111" s="82">
        <f t="shared" si="28"/>
        <v>44821</v>
      </c>
      <c r="AP111" s="82">
        <f t="shared" si="28"/>
        <v>44828</v>
      </c>
      <c r="AQ111" s="82">
        <f t="shared" si="28"/>
        <v>44835</v>
      </c>
      <c r="AR111" s="82">
        <f t="shared" si="28"/>
        <v>44842</v>
      </c>
      <c r="AS111" s="82">
        <f t="shared" si="28"/>
        <v>44849</v>
      </c>
      <c r="AT111" s="82">
        <f t="shared" si="28"/>
        <v>44856</v>
      </c>
      <c r="AU111" s="82">
        <f t="shared" si="28"/>
        <v>44863</v>
      </c>
      <c r="AV111" s="82">
        <f t="shared" si="28"/>
        <v>44870</v>
      </c>
      <c r="AW111" s="82">
        <f t="shared" si="28"/>
        <v>44877</v>
      </c>
      <c r="AX111" s="82">
        <f t="shared" si="28"/>
        <v>44884</v>
      </c>
      <c r="AY111" s="82">
        <f t="shared" si="28"/>
        <v>44891</v>
      </c>
      <c r="AZ111" s="82">
        <f t="shared" si="28"/>
        <v>44898</v>
      </c>
      <c r="BA111" s="82">
        <f t="shared" si="28"/>
        <v>44905</v>
      </c>
      <c r="BB111" s="82">
        <f t="shared" si="28"/>
        <v>44912</v>
      </c>
      <c r="BC111" s="82">
        <f t="shared" si="28"/>
        <v>44919</v>
      </c>
      <c r="BD111" s="82">
        <f t="shared" si="28"/>
        <v>44926</v>
      </c>
    </row>
    <row r="112" spans="3:56" x14ac:dyDescent="0.25">
      <c r="D112" s="41" t="s">
        <v>33</v>
      </c>
      <c r="E112" s="44">
        <f t="shared" ref="E112:BD112" si="29">SUM(E7,E38,E59,E79,E96)</f>
        <v>159.06764704412336</v>
      </c>
      <c r="F112" s="44">
        <f t="shared" si="29"/>
        <v>126.31620223362204</v>
      </c>
      <c r="G112" s="44">
        <f t="shared" si="29"/>
        <v>100.44613295975923</v>
      </c>
      <c r="H112" s="44">
        <f t="shared" si="29"/>
        <v>93.745229847815708</v>
      </c>
      <c r="I112" s="44">
        <f t="shared" si="29"/>
        <v>90.486302304400155</v>
      </c>
      <c r="J112" s="44">
        <f t="shared" si="29"/>
        <v>83.130437359950278</v>
      </c>
      <c r="K112" s="44">
        <f t="shared" si="29"/>
        <v>71.285459441641379</v>
      </c>
      <c r="L112" s="44">
        <f t="shared" si="29"/>
        <v>71.731977273945304</v>
      </c>
      <c r="M112" s="44">
        <f t="shared" si="29"/>
        <v>73.310413596101696</v>
      </c>
      <c r="N112" s="44">
        <f t="shared" si="29"/>
        <v>82.058140475662725</v>
      </c>
      <c r="O112" s="44">
        <f t="shared" si="29"/>
        <v>93.080055924258289</v>
      </c>
      <c r="P112" s="44">
        <f t="shared" si="29"/>
        <v>91.268020427659621</v>
      </c>
      <c r="Q112" s="44">
        <f t="shared" si="29"/>
        <v>74.988215979864549</v>
      </c>
      <c r="R112" s="44">
        <f t="shared" si="29"/>
        <v>75.477763562647311</v>
      </c>
      <c r="S112" s="44">
        <f t="shared" si="29"/>
        <v>78.235999022723107</v>
      </c>
      <c r="T112" s="44">
        <f t="shared" si="29"/>
        <v>81.835004965254527</v>
      </c>
      <c r="U112" s="44">
        <f t="shared" si="29"/>
        <v>83.585550964607094</v>
      </c>
      <c r="V112" s="44">
        <f t="shared" si="29"/>
        <v>91.175361137559662</v>
      </c>
      <c r="W112" s="44">
        <f t="shared" si="29"/>
        <v>89.680904184240688</v>
      </c>
      <c r="X112" s="44">
        <f t="shared" si="29"/>
        <v>93.633894390432587</v>
      </c>
      <c r="Y112" s="44">
        <f t="shared" si="29"/>
        <v>88.898291555245066</v>
      </c>
      <c r="Z112" s="44">
        <f t="shared" si="29"/>
        <v>78.77337088345557</v>
      </c>
      <c r="AA112" s="44">
        <f t="shared" si="29"/>
        <v>93.905472097122811</v>
      </c>
      <c r="AB112" s="44">
        <f t="shared" si="29"/>
        <v>89.415782110306338</v>
      </c>
      <c r="AC112" s="44">
        <f t="shared" si="29"/>
        <v>84.943740055544424</v>
      </c>
      <c r="AD112" s="44">
        <f t="shared" si="29"/>
        <v>72.673222836262909</v>
      </c>
      <c r="AE112" s="44">
        <f t="shared" si="29"/>
        <v>65.719405978781566</v>
      </c>
      <c r="AF112" s="44">
        <f t="shared" si="29"/>
        <v>72.029907771828448</v>
      </c>
      <c r="AG112" s="44">
        <f t="shared" si="29"/>
        <v>65.414311106615429</v>
      </c>
      <c r="AH112" s="44">
        <f t="shared" si="29"/>
        <v>76.92697911909184</v>
      </c>
      <c r="AI112" s="44">
        <f t="shared" si="29"/>
        <v>78.218214667813598</v>
      </c>
      <c r="AJ112" s="44">
        <f t="shared" si="29"/>
        <v>86.798353261895471</v>
      </c>
      <c r="AK112" s="44">
        <f t="shared" si="29"/>
        <v>89.305060210994043</v>
      </c>
      <c r="AL112" s="44">
        <f t="shared" si="29"/>
        <v>88.495856106153397</v>
      </c>
      <c r="AM112" s="44">
        <f t="shared" si="29"/>
        <v>78.594336678575488</v>
      </c>
      <c r="AN112" s="44">
        <f t="shared" si="29"/>
        <v>70.341877187185986</v>
      </c>
      <c r="AO112" s="44">
        <f t="shared" si="29"/>
        <v>71.476593048196065</v>
      </c>
      <c r="AP112" s="44">
        <f t="shared" si="29"/>
        <v>74.594827627787069</v>
      </c>
      <c r="AQ112" s="44">
        <f t="shared" si="29"/>
        <v>80.197883542323581</v>
      </c>
      <c r="AR112" s="44">
        <f t="shared" si="29"/>
        <v>81.39873287508243</v>
      </c>
      <c r="AS112" s="44">
        <f t="shared" si="29"/>
        <v>85.191398303634358</v>
      </c>
      <c r="AT112" s="44">
        <f t="shared" si="29"/>
        <v>86.724210411865542</v>
      </c>
      <c r="AU112" s="44">
        <f t="shared" si="29"/>
        <v>95.514458806968264</v>
      </c>
      <c r="AV112" s="44">
        <f t="shared" si="29"/>
        <v>113.81595226657983</v>
      </c>
      <c r="AW112" s="44">
        <f t="shared" si="29"/>
        <v>124.83489864135338</v>
      </c>
      <c r="AX112" s="44">
        <f t="shared" si="29"/>
        <v>122.93751618809503</v>
      </c>
      <c r="AY112" s="44">
        <f t="shared" si="29"/>
        <v>242.2853229578684</v>
      </c>
      <c r="AZ112" s="44">
        <f t="shared" si="29"/>
        <v>325.41473402287761</v>
      </c>
      <c r="BA112" s="44">
        <f t="shared" si="29"/>
        <v>285.81478498100194</v>
      </c>
      <c r="BB112" s="44">
        <f t="shared" si="29"/>
        <v>240.01343354823092</v>
      </c>
      <c r="BC112" s="44">
        <f t="shared" si="29"/>
        <v>145.58956489059213</v>
      </c>
      <c r="BD112" s="44">
        <f t="shared" si="29"/>
        <v>132.22632519692715</v>
      </c>
    </row>
    <row r="113" spans="3:56" x14ac:dyDescent="0.25">
      <c r="C113" s="103" t="s">
        <v>33</v>
      </c>
      <c r="D113" s="73" t="str">
        <f t="shared" ref="D113:D119" si="30">D18&amp;" VERTICAL REQ"</f>
        <v>Melbourne VERTICAL REQ</v>
      </c>
      <c r="E113" s="76">
        <f>IFERROR(E$112*SUM(E124/SUM(E$124:E$130)),0)</f>
        <v>27.864987445225104</v>
      </c>
      <c r="F113" s="76">
        <f t="shared" ref="F113:BD113" si="31">IFERROR(F$112*SUM(F124/SUM(F$124:F$130)),0)</f>
        <v>28.24094699142719</v>
      </c>
      <c r="G113" s="76">
        <f t="shared" si="31"/>
        <v>29.434135402274148</v>
      </c>
      <c r="H113" s="76">
        <f t="shared" si="31"/>
        <v>46.242683933690465</v>
      </c>
      <c r="I113" s="76">
        <f t="shared" si="31"/>
        <v>44.315378346338782</v>
      </c>
      <c r="J113" s="76">
        <f t="shared" si="31"/>
        <v>41.455271702111716</v>
      </c>
      <c r="K113" s="76">
        <f t="shared" si="31"/>
        <v>37.104262321731348</v>
      </c>
      <c r="L113" s="76">
        <f t="shared" si="31"/>
        <v>36.703418714741744</v>
      </c>
      <c r="M113" s="76">
        <f t="shared" si="31"/>
        <v>37.080046681943799</v>
      </c>
      <c r="N113" s="76">
        <f t="shared" si="31"/>
        <v>42.073369248345379</v>
      </c>
      <c r="O113" s="76">
        <f t="shared" si="31"/>
        <v>46.761523499665358</v>
      </c>
      <c r="P113" s="76">
        <f t="shared" si="31"/>
        <v>45.472826300753752</v>
      </c>
      <c r="Q113" s="76">
        <f t="shared" si="31"/>
        <v>37.359415415584643</v>
      </c>
      <c r="R113" s="76">
        <f t="shared" si="31"/>
        <v>35.197849330907225</v>
      </c>
      <c r="S113" s="76">
        <f t="shared" si="31"/>
        <v>37.194486031523141</v>
      </c>
      <c r="T113" s="76">
        <f t="shared" si="31"/>
        <v>39.330952703902987</v>
      </c>
      <c r="U113" s="76">
        <f t="shared" si="31"/>
        <v>37.588687270803796</v>
      </c>
      <c r="V113" s="76">
        <f t="shared" si="31"/>
        <v>41.161476873026551</v>
      </c>
      <c r="W113" s="76">
        <f t="shared" si="31"/>
        <v>41.255005172033854</v>
      </c>
      <c r="X113" s="76">
        <f t="shared" si="31"/>
        <v>42.393194361677601</v>
      </c>
      <c r="Y113" s="76">
        <f t="shared" si="31"/>
        <v>38.047437394664293</v>
      </c>
      <c r="Z113" s="76">
        <f t="shared" si="31"/>
        <v>33.844942015877841</v>
      </c>
      <c r="AA113" s="76">
        <f t="shared" si="31"/>
        <v>37.594052911536942</v>
      </c>
      <c r="AB113" s="76">
        <f t="shared" si="31"/>
        <v>35.759079057310473</v>
      </c>
      <c r="AC113" s="76">
        <f t="shared" si="31"/>
        <v>33.935406743864405</v>
      </c>
      <c r="AD113" s="76">
        <f t="shared" si="31"/>
        <v>30.058005700621283</v>
      </c>
      <c r="AE113" s="76">
        <f t="shared" si="31"/>
        <v>27.165356106682136</v>
      </c>
      <c r="AF113" s="76">
        <f t="shared" si="31"/>
        <v>30.132213102216092</v>
      </c>
      <c r="AG113" s="76">
        <f t="shared" si="31"/>
        <v>27.348662640268632</v>
      </c>
      <c r="AH113" s="76">
        <f t="shared" si="31"/>
        <v>32.143468376355649</v>
      </c>
      <c r="AI113" s="76">
        <f t="shared" si="31"/>
        <v>30.546692221667847</v>
      </c>
      <c r="AJ113" s="76">
        <f t="shared" si="31"/>
        <v>29.693691249662926</v>
      </c>
      <c r="AK113" s="76">
        <f t="shared" si="31"/>
        <v>30.550441543746352</v>
      </c>
      <c r="AL113" s="76">
        <f t="shared" si="31"/>
        <v>28.806060247310491</v>
      </c>
      <c r="AM113" s="76">
        <f t="shared" si="31"/>
        <v>25.583300565803626</v>
      </c>
      <c r="AN113" s="76">
        <f t="shared" si="31"/>
        <v>22.809059152027537</v>
      </c>
      <c r="AO113" s="76">
        <f t="shared" si="31"/>
        <v>23.089183291153848</v>
      </c>
      <c r="AP113" s="76">
        <f t="shared" si="31"/>
        <v>24.006515810356529</v>
      </c>
      <c r="AQ113" s="76">
        <f t="shared" si="31"/>
        <v>25.714882628654383</v>
      </c>
      <c r="AR113" s="76">
        <f t="shared" si="31"/>
        <v>26.005617090557909</v>
      </c>
      <c r="AS113" s="76">
        <f t="shared" si="31"/>
        <v>27.186883431296749</v>
      </c>
      <c r="AT113" s="76">
        <f t="shared" si="31"/>
        <v>23.168665030199051</v>
      </c>
      <c r="AU113" s="76">
        <f t="shared" si="31"/>
        <v>17.034916693898001</v>
      </c>
      <c r="AV113" s="76">
        <f t="shared" si="31"/>
        <v>15.556801279579767</v>
      </c>
      <c r="AW113" s="76">
        <f t="shared" si="31"/>
        <v>23.019785126259109</v>
      </c>
      <c r="AX113" s="76">
        <f t="shared" si="31"/>
        <v>20.995407258991804</v>
      </c>
      <c r="AY113" s="76">
        <f t="shared" si="31"/>
        <v>31.74439313859687</v>
      </c>
      <c r="AZ113" s="76">
        <f t="shared" si="31"/>
        <v>38.087074810190963</v>
      </c>
      <c r="BA113" s="76">
        <f t="shared" si="31"/>
        <v>33.452089599388259</v>
      </c>
      <c r="BB113" s="76">
        <f t="shared" si="31"/>
        <v>27.575814051614415</v>
      </c>
      <c r="BC113" s="76">
        <f t="shared" si="31"/>
        <v>16.464309434292772</v>
      </c>
      <c r="BD113" s="76">
        <f t="shared" si="31"/>
        <v>14.811172032036168</v>
      </c>
    </row>
    <row r="114" spans="3:56" x14ac:dyDescent="0.25">
      <c r="C114" s="103"/>
      <c r="D114" s="73" t="str">
        <f t="shared" si="30"/>
        <v>Virtual VERTICAL REQ</v>
      </c>
      <c r="E114" s="76">
        <f t="shared" ref="E114:BD118" si="32">IFERROR(E$112*SUM(E125/SUM(E$124:E$130)),0)</f>
        <v>27.810328780169737</v>
      </c>
      <c r="F114" s="76">
        <f>IFERROR(F$112*SUM(F125/SUM(F$124:F$130)),0)</f>
        <v>16.800624227688143</v>
      </c>
      <c r="G114" s="76">
        <f>IFERROR(G$112*SUM(G125/SUM(G$124:G$130)),0)</f>
        <v>8.9095574122793657</v>
      </c>
      <c r="H114" s="76">
        <f>IFERROR(H$112*SUM(H125/SUM(H$124:H$130)),0)</f>
        <v>8.9521220779353445</v>
      </c>
      <c r="I114" s="76">
        <f>IFERROR(I$112*SUM(I125/SUM(I$124:I$130)),0)</f>
        <v>7.8164358451275122</v>
      </c>
      <c r="J114" s="76">
        <f t="shared" si="32"/>
        <v>7.3119644645583159</v>
      </c>
      <c r="K114" s="76">
        <f t="shared" si="32"/>
        <v>5.9637801172415816</v>
      </c>
      <c r="L114" s="76">
        <f t="shared" si="32"/>
        <v>6.2405390405947365</v>
      </c>
      <c r="M114" s="76">
        <f t="shared" si="32"/>
        <v>14.52453438962922</v>
      </c>
      <c r="N114" s="76">
        <f t="shared" si="32"/>
        <v>16.03722052659084</v>
      </c>
      <c r="O114" s="76">
        <f t="shared" si="32"/>
        <v>16.20879231922968</v>
      </c>
      <c r="P114" s="76">
        <f t="shared" si="32"/>
        <v>16.516610386971024</v>
      </c>
      <c r="Q114" s="76">
        <f t="shared" si="32"/>
        <v>13.573076873848716</v>
      </c>
      <c r="R114" s="76">
        <f t="shared" si="32"/>
        <v>13.951602587745208</v>
      </c>
      <c r="S114" s="76">
        <f t="shared" si="32"/>
        <v>14.91228076768968</v>
      </c>
      <c r="T114" s="76">
        <f t="shared" si="32"/>
        <v>14.87394612408181</v>
      </c>
      <c r="U114" s="76">
        <f t="shared" si="32"/>
        <v>16.773049542438692</v>
      </c>
      <c r="V114" s="76">
        <f t="shared" si="32"/>
        <v>18.654008674308869</v>
      </c>
      <c r="W114" s="76">
        <f t="shared" si="32"/>
        <v>18.124130507469729</v>
      </c>
      <c r="X114" s="76">
        <f t="shared" si="32"/>
        <v>19.038043344942004</v>
      </c>
      <c r="Y114" s="76">
        <f t="shared" si="32"/>
        <v>17.112144837706776</v>
      </c>
      <c r="Z114" s="76">
        <f t="shared" si="32"/>
        <v>15.245140466094949</v>
      </c>
      <c r="AA114" s="76">
        <f t="shared" si="32"/>
        <v>16.949334316085917</v>
      </c>
      <c r="AB114" s="76">
        <f t="shared" si="32"/>
        <v>16.136808109827403</v>
      </c>
      <c r="AC114" s="76">
        <f t="shared" si="32"/>
        <v>15.327951521747627</v>
      </c>
      <c r="AD114" s="76">
        <f t="shared" si="32"/>
        <v>13.589168323046488</v>
      </c>
      <c r="AE114" s="76">
        <f t="shared" si="32"/>
        <v>12.256451352632611</v>
      </c>
      <c r="AF114" s="76">
        <f t="shared" si="32"/>
        <v>13.567203246543983</v>
      </c>
      <c r="AG114" s="76">
        <f t="shared" si="32"/>
        <v>12.288495324903435</v>
      </c>
      <c r="AH114" s="76">
        <f t="shared" si="32"/>
        <v>14.412922418524337</v>
      </c>
      <c r="AI114" s="76">
        <f t="shared" si="32"/>
        <v>13.668272012896253</v>
      </c>
      <c r="AJ114" s="76">
        <f t="shared" si="32"/>
        <v>25.890657138447445</v>
      </c>
      <c r="AK114" s="76">
        <f t="shared" si="32"/>
        <v>26.572028973276776</v>
      </c>
      <c r="AL114" s="76">
        <f t="shared" si="32"/>
        <v>24.992605292385324</v>
      </c>
      <c r="AM114" s="76">
        <f t="shared" si="32"/>
        <v>22.140978632999431</v>
      </c>
      <c r="AN114" s="76">
        <f t="shared" si="32"/>
        <v>19.629315419036637</v>
      </c>
      <c r="AO114" s="76">
        <f t="shared" si="32"/>
        <v>19.757215979743588</v>
      </c>
      <c r="AP114" s="76">
        <f t="shared" si="32"/>
        <v>20.423400610052749</v>
      </c>
      <c r="AQ114" s="76">
        <f t="shared" si="32"/>
        <v>21.748440818881495</v>
      </c>
      <c r="AR114" s="76">
        <f t="shared" si="32"/>
        <v>21.863461777500419</v>
      </c>
      <c r="AS114" s="76">
        <f t="shared" si="32"/>
        <v>22.681118507247369</v>
      </c>
      <c r="AT114" s="76">
        <f t="shared" si="32"/>
        <v>23.861288467978184</v>
      </c>
      <c r="AU114" s="76">
        <f t="shared" si="32"/>
        <v>33.28981669434684</v>
      </c>
      <c r="AV114" s="76">
        <f t="shared" si="32"/>
        <v>39.977076655450873</v>
      </c>
      <c r="AW114" s="76">
        <f t="shared" si="32"/>
        <v>52.473035745104482</v>
      </c>
      <c r="AX114" s="76">
        <f t="shared" si="32"/>
        <v>47.936418727717523</v>
      </c>
      <c r="AY114" s="76">
        <f t="shared" si="32"/>
        <v>105.67307225114365</v>
      </c>
      <c r="AZ114" s="76">
        <f t="shared" si="32"/>
        <v>126.92245301945067</v>
      </c>
      <c r="BA114" s="76">
        <f t="shared" si="32"/>
        <v>111.51651988974058</v>
      </c>
      <c r="BB114" s="76">
        <f t="shared" si="32"/>
        <v>91.418772826326688</v>
      </c>
      <c r="BC114" s="76">
        <f t="shared" si="32"/>
        <v>53.973899281690755</v>
      </c>
      <c r="BD114" s="76">
        <f t="shared" si="32"/>
        <v>47.256491089201106</v>
      </c>
    </row>
    <row r="115" spans="3:56" x14ac:dyDescent="0.25">
      <c r="C115" s="103"/>
      <c r="D115" s="73" t="str">
        <f t="shared" si="30"/>
        <v>Brunswick VERTICAL REQ</v>
      </c>
      <c r="E115" s="76">
        <f t="shared" si="32"/>
        <v>0</v>
      </c>
      <c r="F115" s="76">
        <f t="shared" si="32"/>
        <v>0</v>
      </c>
      <c r="G115" s="76">
        <f t="shared" si="32"/>
        <v>0</v>
      </c>
      <c r="H115" s="76">
        <f t="shared" si="32"/>
        <v>0</v>
      </c>
      <c r="I115" s="76">
        <f t="shared" si="32"/>
        <v>0</v>
      </c>
      <c r="J115" s="76">
        <f t="shared" si="32"/>
        <v>0</v>
      </c>
      <c r="K115" s="76">
        <f t="shared" si="32"/>
        <v>0</v>
      </c>
      <c r="L115" s="76">
        <f t="shared" si="32"/>
        <v>0</v>
      </c>
      <c r="M115" s="76">
        <f t="shared" si="32"/>
        <v>0</v>
      </c>
      <c r="N115" s="76">
        <f t="shared" si="32"/>
        <v>0</v>
      </c>
      <c r="O115" s="76">
        <f t="shared" si="32"/>
        <v>0</v>
      </c>
      <c r="P115" s="76">
        <f t="shared" si="32"/>
        <v>0</v>
      </c>
      <c r="Q115" s="76">
        <f t="shared" si="32"/>
        <v>0</v>
      </c>
      <c r="R115" s="76">
        <f t="shared" si="32"/>
        <v>0</v>
      </c>
      <c r="S115" s="76">
        <f t="shared" si="32"/>
        <v>0</v>
      </c>
      <c r="T115" s="76">
        <f t="shared" si="32"/>
        <v>0</v>
      </c>
      <c r="U115" s="76">
        <f t="shared" si="32"/>
        <v>0</v>
      </c>
      <c r="V115" s="76">
        <f t="shared" si="32"/>
        <v>0</v>
      </c>
      <c r="W115" s="76">
        <f t="shared" si="32"/>
        <v>0</v>
      </c>
      <c r="X115" s="76">
        <f t="shared" si="32"/>
        <v>0</v>
      </c>
      <c r="Y115" s="76">
        <f t="shared" si="32"/>
        <v>0</v>
      </c>
      <c r="Z115" s="76">
        <f t="shared" si="32"/>
        <v>0</v>
      </c>
      <c r="AA115" s="76">
        <f t="shared" si="32"/>
        <v>0</v>
      </c>
      <c r="AB115" s="76">
        <f t="shared" si="32"/>
        <v>0</v>
      </c>
      <c r="AC115" s="76">
        <f t="shared" si="32"/>
        <v>0</v>
      </c>
      <c r="AD115" s="76">
        <f t="shared" si="32"/>
        <v>0</v>
      </c>
      <c r="AE115" s="76">
        <f t="shared" si="32"/>
        <v>0</v>
      </c>
      <c r="AF115" s="76">
        <f t="shared" si="32"/>
        <v>0</v>
      </c>
      <c r="AG115" s="76">
        <f t="shared" si="32"/>
        <v>0</v>
      </c>
      <c r="AH115" s="76">
        <f t="shared" si="32"/>
        <v>0</v>
      </c>
      <c r="AI115" s="76">
        <f t="shared" si="32"/>
        <v>0</v>
      </c>
      <c r="AJ115" s="76">
        <f t="shared" si="32"/>
        <v>0</v>
      </c>
      <c r="AK115" s="76">
        <f t="shared" si="32"/>
        <v>0</v>
      </c>
      <c r="AL115" s="76">
        <f t="shared" si="32"/>
        <v>0</v>
      </c>
      <c r="AM115" s="76">
        <f t="shared" si="32"/>
        <v>0</v>
      </c>
      <c r="AN115" s="76">
        <f t="shared" si="32"/>
        <v>0</v>
      </c>
      <c r="AO115" s="76">
        <f t="shared" si="32"/>
        <v>0</v>
      </c>
      <c r="AP115" s="76">
        <f t="shared" si="32"/>
        <v>0</v>
      </c>
      <c r="AQ115" s="76">
        <f t="shared" si="32"/>
        <v>0</v>
      </c>
      <c r="AR115" s="76">
        <f t="shared" si="32"/>
        <v>0</v>
      </c>
      <c r="AS115" s="76">
        <f t="shared" si="32"/>
        <v>0</v>
      </c>
      <c r="AT115" s="76">
        <f t="shared" si="32"/>
        <v>0</v>
      </c>
      <c r="AU115" s="76">
        <f t="shared" si="32"/>
        <v>0</v>
      </c>
      <c r="AV115" s="76">
        <f t="shared" si="32"/>
        <v>0</v>
      </c>
      <c r="AW115" s="76">
        <f t="shared" si="32"/>
        <v>0</v>
      </c>
      <c r="AX115" s="76">
        <f t="shared" si="32"/>
        <v>0</v>
      </c>
      <c r="AY115" s="76">
        <f t="shared" si="32"/>
        <v>0</v>
      </c>
      <c r="AZ115" s="76">
        <f t="shared" si="32"/>
        <v>0</v>
      </c>
      <c r="BA115" s="76">
        <f t="shared" si="32"/>
        <v>0</v>
      </c>
      <c r="BB115" s="76">
        <f t="shared" si="32"/>
        <v>0</v>
      </c>
      <c r="BC115" s="76">
        <f t="shared" si="32"/>
        <v>0</v>
      </c>
      <c r="BD115" s="76">
        <f t="shared" si="32"/>
        <v>0</v>
      </c>
    </row>
    <row r="116" spans="3:56" x14ac:dyDescent="0.25">
      <c r="C116" s="103"/>
      <c r="D116" s="73" t="str">
        <f t="shared" si="30"/>
        <v>Melbourne North VERTICAL REQ</v>
      </c>
      <c r="E116" s="76">
        <f t="shared" si="32"/>
        <v>0</v>
      </c>
      <c r="F116" s="76">
        <f t="shared" si="32"/>
        <v>0</v>
      </c>
      <c r="G116" s="76">
        <f t="shared" si="32"/>
        <v>0</v>
      </c>
      <c r="H116" s="76">
        <f t="shared" si="32"/>
        <v>0</v>
      </c>
      <c r="I116" s="76">
        <f t="shared" si="32"/>
        <v>0</v>
      </c>
      <c r="J116" s="76">
        <f t="shared" si="32"/>
        <v>0</v>
      </c>
      <c r="K116" s="76">
        <f t="shared" si="32"/>
        <v>0</v>
      </c>
      <c r="L116" s="76">
        <f t="shared" si="32"/>
        <v>0</v>
      </c>
      <c r="M116" s="76">
        <f t="shared" si="32"/>
        <v>0</v>
      </c>
      <c r="N116" s="76">
        <f t="shared" si="32"/>
        <v>0</v>
      </c>
      <c r="O116" s="76">
        <f t="shared" si="32"/>
        <v>0</v>
      </c>
      <c r="P116" s="76">
        <f t="shared" si="32"/>
        <v>0</v>
      </c>
      <c r="Q116" s="76">
        <f t="shared" si="32"/>
        <v>0</v>
      </c>
      <c r="R116" s="76">
        <f t="shared" si="32"/>
        <v>0</v>
      </c>
      <c r="S116" s="76">
        <f t="shared" si="32"/>
        <v>0</v>
      </c>
      <c r="T116" s="76">
        <f t="shared" si="32"/>
        <v>0</v>
      </c>
      <c r="U116" s="76">
        <f t="shared" si="32"/>
        <v>0</v>
      </c>
      <c r="V116" s="76">
        <f t="shared" si="32"/>
        <v>0</v>
      </c>
      <c r="W116" s="76">
        <f t="shared" si="32"/>
        <v>0</v>
      </c>
      <c r="X116" s="76">
        <f t="shared" si="32"/>
        <v>0</v>
      </c>
      <c r="Y116" s="76">
        <f t="shared" si="32"/>
        <v>0</v>
      </c>
      <c r="Z116" s="76">
        <f t="shared" si="32"/>
        <v>0</v>
      </c>
      <c r="AA116" s="76">
        <f t="shared" si="32"/>
        <v>0</v>
      </c>
      <c r="AB116" s="76">
        <f t="shared" si="32"/>
        <v>0</v>
      </c>
      <c r="AC116" s="76">
        <f t="shared" si="32"/>
        <v>0</v>
      </c>
      <c r="AD116" s="76">
        <f t="shared" si="32"/>
        <v>0</v>
      </c>
      <c r="AE116" s="76">
        <f t="shared" si="32"/>
        <v>0</v>
      </c>
      <c r="AF116" s="76">
        <f t="shared" si="32"/>
        <v>0</v>
      </c>
      <c r="AG116" s="76">
        <f t="shared" si="32"/>
        <v>0</v>
      </c>
      <c r="AH116" s="76">
        <f t="shared" si="32"/>
        <v>0</v>
      </c>
      <c r="AI116" s="76">
        <f t="shared" si="32"/>
        <v>0</v>
      </c>
      <c r="AJ116" s="76">
        <f t="shared" si="32"/>
        <v>0</v>
      </c>
      <c r="AK116" s="76">
        <f t="shared" si="32"/>
        <v>0</v>
      </c>
      <c r="AL116" s="76">
        <f t="shared" si="32"/>
        <v>0</v>
      </c>
      <c r="AM116" s="76">
        <f t="shared" si="32"/>
        <v>0</v>
      </c>
      <c r="AN116" s="76">
        <f t="shared" si="32"/>
        <v>0</v>
      </c>
      <c r="AO116" s="76">
        <f t="shared" si="32"/>
        <v>0</v>
      </c>
      <c r="AP116" s="76">
        <f t="shared" si="32"/>
        <v>0</v>
      </c>
      <c r="AQ116" s="76">
        <f t="shared" si="32"/>
        <v>0</v>
      </c>
      <c r="AR116" s="76">
        <f t="shared" si="32"/>
        <v>0</v>
      </c>
      <c r="AS116" s="76">
        <f t="shared" si="32"/>
        <v>0</v>
      </c>
      <c r="AT116" s="76">
        <f t="shared" si="32"/>
        <v>0</v>
      </c>
      <c r="AU116" s="76">
        <f t="shared" si="32"/>
        <v>0</v>
      </c>
      <c r="AV116" s="76">
        <f t="shared" si="32"/>
        <v>0</v>
      </c>
      <c r="AW116" s="76">
        <f t="shared" si="32"/>
        <v>0</v>
      </c>
      <c r="AX116" s="76">
        <f t="shared" si="32"/>
        <v>0</v>
      </c>
      <c r="AY116" s="76">
        <f t="shared" si="32"/>
        <v>0</v>
      </c>
      <c r="AZ116" s="76">
        <f t="shared" si="32"/>
        <v>0</v>
      </c>
      <c r="BA116" s="76">
        <f t="shared" si="32"/>
        <v>0</v>
      </c>
      <c r="BB116" s="76">
        <f t="shared" si="32"/>
        <v>0</v>
      </c>
      <c r="BC116" s="76">
        <f t="shared" si="32"/>
        <v>0</v>
      </c>
      <c r="BD116" s="76">
        <f t="shared" si="32"/>
        <v>0</v>
      </c>
    </row>
    <row r="117" spans="3:56" x14ac:dyDescent="0.25">
      <c r="C117" s="103"/>
      <c r="D117" s="73" t="str">
        <f t="shared" si="30"/>
        <v>Pueblo VERTICAL REQ</v>
      </c>
      <c r="E117" s="76">
        <f t="shared" si="32"/>
        <v>2.9734313790118585</v>
      </c>
      <c r="F117" s="76">
        <f t="shared" si="32"/>
        <v>3.4374678726727659</v>
      </c>
      <c r="G117" s="76">
        <f t="shared" si="32"/>
        <v>6.8414535612388123</v>
      </c>
      <c r="H117" s="76">
        <f t="shared" si="32"/>
        <v>11.037568650001928</v>
      </c>
      <c r="I117" s="76">
        <f t="shared" si="32"/>
        <v>11.988315493881791</v>
      </c>
      <c r="J117" s="76">
        <f t="shared" si="32"/>
        <v>10.501229355282618</v>
      </c>
      <c r="K117" s="76">
        <f t="shared" si="32"/>
        <v>7.212146248519792</v>
      </c>
      <c r="L117" s="76">
        <f t="shared" si="32"/>
        <v>7.8021976674753502</v>
      </c>
      <c r="M117" s="76">
        <f t="shared" si="32"/>
        <v>0</v>
      </c>
      <c r="N117" s="76">
        <f t="shared" si="32"/>
        <v>0</v>
      </c>
      <c r="O117" s="76">
        <f t="shared" si="32"/>
        <v>0</v>
      </c>
      <c r="P117" s="76">
        <f t="shared" si="32"/>
        <v>0</v>
      </c>
      <c r="Q117" s="76">
        <f t="shared" si="32"/>
        <v>0</v>
      </c>
      <c r="R117" s="76">
        <f t="shared" si="32"/>
        <v>0</v>
      </c>
      <c r="S117" s="76">
        <f t="shared" si="32"/>
        <v>0</v>
      </c>
      <c r="T117" s="76">
        <f t="shared" si="32"/>
        <v>0</v>
      </c>
      <c r="U117" s="76">
        <f t="shared" si="32"/>
        <v>0</v>
      </c>
      <c r="V117" s="76">
        <f t="shared" si="32"/>
        <v>0</v>
      </c>
      <c r="W117" s="76">
        <f t="shared" si="32"/>
        <v>0</v>
      </c>
      <c r="X117" s="76">
        <f t="shared" si="32"/>
        <v>0</v>
      </c>
      <c r="Y117" s="76">
        <f t="shared" si="32"/>
        <v>0</v>
      </c>
      <c r="Z117" s="76">
        <f t="shared" si="32"/>
        <v>0</v>
      </c>
      <c r="AA117" s="76">
        <f t="shared" si="32"/>
        <v>0</v>
      </c>
      <c r="AB117" s="76">
        <f t="shared" si="32"/>
        <v>0</v>
      </c>
      <c r="AC117" s="76">
        <f t="shared" si="32"/>
        <v>0</v>
      </c>
      <c r="AD117" s="76">
        <f t="shared" si="32"/>
        <v>0</v>
      </c>
      <c r="AE117" s="76">
        <f t="shared" si="32"/>
        <v>0</v>
      </c>
      <c r="AF117" s="76">
        <f t="shared" si="32"/>
        <v>0</v>
      </c>
      <c r="AG117" s="76">
        <f t="shared" si="32"/>
        <v>0</v>
      </c>
      <c r="AH117" s="76">
        <f t="shared" si="32"/>
        <v>0</v>
      </c>
      <c r="AI117" s="76">
        <f t="shared" si="32"/>
        <v>0</v>
      </c>
      <c r="AJ117" s="76">
        <f t="shared" si="32"/>
        <v>0</v>
      </c>
      <c r="AK117" s="76">
        <f t="shared" si="32"/>
        <v>0</v>
      </c>
      <c r="AL117" s="76">
        <f t="shared" si="32"/>
        <v>0</v>
      </c>
      <c r="AM117" s="76">
        <f t="shared" si="32"/>
        <v>0</v>
      </c>
      <c r="AN117" s="76">
        <f t="shared" si="32"/>
        <v>0</v>
      </c>
      <c r="AO117" s="76">
        <f t="shared" si="32"/>
        <v>0</v>
      </c>
      <c r="AP117" s="76">
        <f t="shared" si="32"/>
        <v>0</v>
      </c>
      <c r="AQ117" s="76">
        <f t="shared" si="32"/>
        <v>0</v>
      </c>
      <c r="AR117" s="76">
        <f t="shared" si="32"/>
        <v>0</v>
      </c>
      <c r="AS117" s="76">
        <f t="shared" si="32"/>
        <v>0</v>
      </c>
      <c r="AT117" s="76">
        <f t="shared" si="32"/>
        <v>0</v>
      </c>
      <c r="AU117" s="76">
        <f t="shared" si="32"/>
        <v>0</v>
      </c>
      <c r="AV117" s="76">
        <f t="shared" si="32"/>
        <v>0</v>
      </c>
      <c r="AW117" s="76">
        <f t="shared" si="32"/>
        <v>0</v>
      </c>
      <c r="AX117" s="76">
        <f t="shared" si="32"/>
        <v>0</v>
      </c>
      <c r="AY117" s="76">
        <f t="shared" si="32"/>
        <v>0</v>
      </c>
      <c r="AZ117" s="76">
        <f t="shared" si="32"/>
        <v>0</v>
      </c>
      <c r="BA117" s="76">
        <f t="shared" si="32"/>
        <v>0</v>
      </c>
      <c r="BB117" s="76">
        <f t="shared" si="32"/>
        <v>0</v>
      </c>
      <c r="BC117" s="76">
        <f t="shared" si="32"/>
        <v>0</v>
      </c>
      <c r="BD117" s="76">
        <f t="shared" si="32"/>
        <v>0</v>
      </c>
    </row>
    <row r="118" spans="3:56" x14ac:dyDescent="0.25">
      <c r="C118" s="103"/>
      <c r="D118" s="73" t="str">
        <f t="shared" si="30"/>
        <v>Iloilo VERTICAL REQ</v>
      </c>
      <c r="E118" s="76">
        <f t="shared" si="32"/>
        <v>69.963091270867267</v>
      </c>
      <c r="F118" s="76">
        <f t="shared" si="32"/>
        <v>57.577586867268835</v>
      </c>
      <c r="G118" s="76">
        <f t="shared" si="32"/>
        <v>42.592030556262337</v>
      </c>
      <c r="H118" s="76">
        <f t="shared" si="32"/>
        <v>15.914883694107282</v>
      </c>
      <c r="I118" s="76">
        <f t="shared" si="32"/>
        <v>15.251582136834172</v>
      </c>
      <c r="J118" s="76">
        <f t="shared" si="32"/>
        <v>14.267247735723544</v>
      </c>
      <c r="K118" s="76">
        <f t="shared" si="32"/>
        <v>13.464917150095294</v>
      </c>
      <c r="L118" s="76">
        <f t="shared" si="32"/>
        <v>13.932495834777411</v>
      </c>
      <c r="M118" s="76">
        <f t="shared" si="32"/>
        <v>14.410511219604102</v>
      </c>
      <c r="N118" s="76">
        <f t="shared" si="32"/>
        <v>16.515552207397594</v>
      </c>
      <c r="O118" s="76">
        <f t="shared" si="32"/>
        <v>22.429927851768575</v>
      </c>
      <c r="P118" s="76">
        <f t="shared" si="32"/>
        <v>21.80723529852661</v>
      </c>
      <c r="Q118" s="76">
        <f t="shared" si="32"/>
        <v>17.920053275462912</v>
      </c>
      <c r="R118" s="76">
        <f t="shared" si="32"/>
        <v>20.021529767296485</v>
      </c>
      <c r="S118" s="76">
        <f t="shared" si="32"/>
        <v>19.464691211036001</v>
      </c>
      <c r="T118" s="76">
        <f t="shared" si="32"/>
        <v>20.582751130597693</v>
      </c>
      <c r="U118" s="76">
        <f t="shared" si="32"/>
        <v>21.769966817210886</v>
      </c>
      <c r="V118" s="76">
        <f t="shared" si="32"/>
        <v>23.093464869788566</v>
      </c>
      <c r="W118" s="76">
        <f t="shared" si="32"/>
        <v>22.037649821626989</v>
      </c>
      <c r="X118" s="76">
        <f t="shared" si="32"/>
        <v>23.420113951863978</v>
      </c>
      <c r="Y118" s="76">
        <f t="shared" si="32"/>
        <v>25.875155773546435</v>
      </c>
      <c r="Z118" s="76">
        <f t="shared" si="32"/>
        <v>22.703620983635155</v>
      </c>
      <c r="AA118" s="76">
        <f t="shared" si="32"/>
        <v>31.570576258056683</v>
      </c>
      <c r="AB118" s="76">
        <f t="shared" si="32"/>
        <v>30.071891923437043</v>
      </c>
      <c r="AC118" s="76">
        <f t="shared" si="32"/>
        <v>28.577293122435151</v>
      </c>
      <c r="AD118" s="76">
        <f t="shared" si="32"/>
        <v>22.703612958764197</v>
      </c>
      <c r="AE118" s="76">
        <f t="shared" si="32"/>
        <v>20.555652752645624</v>
      </c>
      <c r="AF118" s="76">
        <f t="shared" si="32"/>
        <v>21.930441822373414</v>
      </c>
      <c r="AG118" s="76">
        <f t="shared" si="32"/>
        <v>19.940201016773067</v>
      </c>
      <c r="AH118" s="76">
        <f t="shared" si="32"/>
        <v>23.477251584069432</v>
      </c>
      <c r="AI118" s="76">
        <f t="shared" si="32"/>
        <v>27.420967400092064</v>
      </c>
      <c r="AJ118" s="76">
        <f t="shared" si="32"/>
        <v>24.785041720242692</v>
      </c>
      <c r="AK118" s="76">
        <f t="shared" si="32"/>
        <v>25.536789231042341</v>
      </c>
      <c r="AL118" s="76">
        <f t="shared" si="32"/>
        <v>28.401327146602892</v>
      </c>
      <c r="AM118" s="76">
        <f t="shared" si="32"/>
        <v>25.252363211568873</v>
      </c>
      <c r="AN118" s="76">
        <f t="shared" si="32"/>
        <v>22.810859243670368</v>
      </c>
      <c r="AO118" s="76">
        <f t="shared" si="32"/>
        <v>23.389643667325721</v>
      </c>
      <c r="AP118" s="76">
        <f t="shared" si="32"/>
        <v>24.627244438876104</v>
      </c>
      <c r="AQ118" s="76">
        <f t="shared" si="32"/>
        <v>26.707471971895803</v>
      </c>
      <c r="AR118" s="76">
        <f t="shared" si="32"/>
        <v>27.337946698552777</v>
      </c>
      <c r="AS118" s="76">
        <f t="shared" si="32"/>
        <v>28.839322585775694</v>
      </c>
      <c r="AT118" s="76">
        <f t="shared" si="32"/>
        <v>34.160150985429468</v>
      </c>
      <c r="AU118" s="76">
        <f t="shared" si="32"/>
        <v>41.115396642964278</v>
      </c>
      <c r="AV118" s="76">
        <f t="shared" si="32"/>
        <v>37.78497450845218</v>
      </c>
      <c r="AW118" s="76">
        <f t="shared" si="32"/>
        <v>33.818582383781596</v>
      </c>
      <c r="AX118" s="76">
        <f t="shared" si="32"/>
        <v>32.594249534699621</v>
      </c>
      <c r="AY118" s="76">
        <f t="shared" si="32"/>
        <v>70.845119701742846</v>
      </c>
      <c r="AZ118" s="76">
        <f t="shared" si="32"/>
        <v>92.797605048745069</v>
      </c>
      <c r="BA118" s="76">
        <f t="shared" si="32"/>
        <v>78.569828001607021</v>
      </c>
      <c r="BB118" s="76">
        <f t="shared" si="32"/>
        <v>67.285657052709652</v>
      </c>
      <c r="BC118" s="76">
        <f t="shared" si="32"/>
        <v>41.642096912260264</v>
      </c>
      <c r="BD118" s="76">
        <f t="shared" ref="BD118" si="33">IFERROR(BD$112*SUM(BD129/SUM(BD$124:BD$130)),0)</f>
        <v>38.740994239987458</v>
      </c>
    </row>
    <row r="119" spans="3:56" x14ac:dyDescent="0.25">
      <c r="C119" s="103"/>
      <c r="D119" s="73" t="str">
        <f t="shared" si="30"/>
        <v>Belize VERTICAL REQ</v>
      </c>
      <c r="E119" s="76">
        <f t="shared" ref="E119:BD119" si="34">IFERROR(E$112*SUM(E130/SUM(E$124:E$130)),0)</f>
        <v>30.455808168849408</v>
      </c>
      <c r="F119" s="76">
        <f t="shared" si="34"/>
        <v>20.259576274565113</v>
      </c>
      <c r="G119" s="76">
        <f t="shared" si="34"/>
        <v>12.668956027704562</v>
      </c>
      <c r="H119" s="76">
        <f t="shared" si="34"/>
        <v>11.597971492080681</v>
      </c>
      <c r="I119" s="76">
        <f t="shared" si="34"/>
        <v>11.114590482217901</v>
      </c>
      <c r="J119" s="76">
        <f t="shared" si="34"/>
        <v>9.5947241022740819</v>
      </c>
      <c r="K119" s="76">
        <f t="shared" si="34"/>
        <v>7.5403536040533634</v>
      </c>
      <c r="L119" s="76">
        <f t="shared" si="34"/>
        <v>7.0533260163560643</v>
      </c>
      <c r="M119" s="76">
        <f t="shared" si="34"/>
        <v>7.2953213049245766</v>
      </c>
      <c r="N119" s="76">
        <f t="shared" si="34"/>
        <v>7.4319984933289165</v>
      </c>
      <c r="O119" s="76">
        <f t="shared" si="34"/>
        <v>7.6798122535946751</v>
      </c>
      <c r="P119" s="76">
        <f t="shared" si="34"/>
        <v>7.4713484414082467</v>
      </c>
      <c r="Q119" s="76">
        <f t="shared" si="34"/>
        <v>6.1356704149682804</v>
      </c>
      <c r="R119" s="76">
        <f t="shared" si="34"/>
        <v>6.306781876698393</v>
      </c>
      <c r="S119" s="76">
        <f t="shared" si="34"/>
        <v>6.6645410124742828</v>
      </c>
      <c r="T119" s="76">
        <f t="shared" si="34"/>
        <v>7.0473550066720367</v>
      </c>
      <c r="U119" s="76">
        <f t="shared" si="34"/>
        <v>7.4538473341537275</v>
      </c>
      <c r="V119" s="76">
        <f t="shared" si="34"/>
        <v>8.2664107204356796</v>
      </c>
      <c r="W119" s="76">
        <f t="shared" si="34"/>
        <v>8.2641186831101212</v>
      </c>
      <c r="X119" s="76">
        <f t="shared" si="34"/>
        <v>8.7825427319489933</v>
      </c>
      <c r="Y119" s="76">
        <f t="shared" si="34"/>
        <v>7.8635535493275759</v>
      </c>
      <c r="Z119" s="76">
        <f t="shared" si="34"/>
        <v>6.9796674178476286</v>
      </c>
      <c r="AA119" s="76">
        <f t="shared" si="34"/>
        <v>7.7915086114432555</v>
      </c>
      <c r="AB119" s="76">
        <f t="shared" si="34"/>
        <v>7.4480030197314075</v>
      </c>
      <c r="AC119" s="76">
        <f t="shared" si="34"/>
        <v>7.1030886674972313</v>
      </c>
      <c r="AD119" s="76">
        <f t="shared" si="34"/>
        <v>6.3224358538309353</v>
      </c>
      <c r="AE119" s="76">
        <f t="shared" si="34"/>
        <v>5.7419457668211962</v>
      </c>
      <c r="AF119" s="76">
        <f t="shared" si="34"/>
        <v>6.4000496006949561</v>
      </c>
      <c r="AG119" s="76">
        <f t="shared" si="34"/>
        <v>5.8369521246703098</v>
      </c>
      <c r="AH119" s="76">
        <f t="shared" si="34"/>
        <v>6.893336740142427</v>
      </c>
      <c r="AI119" s="76">
        <f t="shared" si="34"/>
        <v>6.5822830331574291</v>
      </c>
      <c r="AJ119" s="76">
        <f t="shared" si="34"/>
        <v>6.4289631535424112</v>
      </c>
      <c r="AK119" s="76">
        <f t="shared" si="34"/>
        <v>6.6458004629285776</v>
      </c>
      <c r="AL119" s="76">
        <f t="shared" si="34"/>
        <v>6.2958634198546983</v>
      </c>
      <c r="AM119" s="76">
        <f t="shared" si="34"/>
        <v>5.6176942682035547</v>
      </c>
      <c r="AN119" s="76">
        <f t="shared" si="34"/>
        <v>5.0926433724514499</v>
      </c>
      <c r="AO119" s="76">
        <f t="shared" si="34"/>
        <v>5.2405501099728999</v>
      </c>
      <c r="AP119" s="76">
        <f t="shared" si="34"/>
        <v>5.5376667685016887</v>
      </c>
      <c r="AQ119" s="76">
        <f t="shared" si="34"/>
        <v>6.0270881228918887</v>
      </c>
      <c r="AR119" s="76">
        <f t="shared" si="34"/>
        <v>6.1917073084713188</v>
      </c>
      <c r="AS119" s="76">
        <f t="shared" si="34"/>
        <v>6.4840737793145378</v>
      </c>
      <c r="AT119" s="76">
        <f t="shared" si="34"/>
        <v>5.534105928258839</v>
      </c>
      <c r="AU119" s="76">
        <f t="shared" si="34"/>
        <v>4.0743287757591506</v>
      </c>
      <c r="AV119" s="76">
        <f t="shared" si="34"/>
        <v>20.497099823097013</v>
      </c>
      <c r="AW119" s="76">
        <f t="shared" si="34"/>
        <v>15.523495386208188</v>
      </c>
      <c r="AX119" s="76">
        <f t="shared" si="34"/>
        <v>21.411440666686083</v>
      </c>
      <c r="AY119" s="76">
        <f t="shared" si="34"/>
        <v>34.022737866385064</v>
      </c>
      <c r="AZ119" s="76">
        <f t="shared" si="34"/>
        <v>67.607601144490957</v>
      </c>
      <c r="BA119" s="76">
        <f t="shared" si="34"/>
        <v>62.276347490266112</v>
      </c>
      <c r="BB119" s="76">
        <f t="shared" si="34"/>
        <v>53.73318961758018</v>
      </c>
      <c r="BC119" s="76">
        <f t="shared" si="34"/>
        <v>33.509259262348337</v>
      </c>
      <c r="BD119" s="76">
        <f t="shared" si="34"/>
        <v>31.417667835702417</v>
      </c>
    </row>
    <row r="124" spans="3:56" x14ac:dyDescent="0.25">
      <c r="C124" s="103" t="s">
        <v>53</v>
      </c>
      <c r="D124" s="74" t="s">
        <v>34</v>
      </c>
      <c r="E124" s="44">
        <f>SUM(E18,E40,E61,E81,E98)</f>
        <v>31.862500000000001</v>
      </c>
      <c r="F124" s="44">
        <f t="shared" ref="F124:BD124" si="35">SUM(F18,F40,F61,F81,F98)</f>
        <v>32.862499999999997</v>
      </c>
      <c r="G124" s="44">
        <f t="shared" si="35"/>
        <v>33.862499999999997</v>
      </c>
      <c r="H124" s="44">
        <f t="shared" si="35"/>
        <v>58.112499999999997</v>
      </c>
      <c r="I124" s="44">
        <f t="shared" si="35"/>
        <v>58.112499999999997</v>
      </c>
      <c r="J124" s="44">
        <f t="shared" si="35"/>
        <v>58.112499999999997</v>
      </c>
      <c r="K124" s="44">
        <f t="shared" si="35"/>
        <v>55.112499999999997</v>
      </c>
      <c r="L124" s="44">
        <f t="shared" si="35"/>
        <v>52.6875</v>
      </c>
      <c r="M124" s="44">
        <f t="shared" si="35"/>
        <v>51.462499999999999</v>
      </c>
      <c r="N124" s="44">
        <f t="shared" si="35"/>
        <v>50.95</v>
      </c>
      <c r="O124" s="44">
        <f t="shared" si="35"/>
        <v>47.95</v>
      </c>
      <c r="P124" s="44">
        <f t="shared" si="35"/>
        <v>47.96</v>
      </c>
      <c r="Q124" s="44">
        <f t="shared" si="35"/>
        <v>47.95</v>
      </c>
      <c r="R124" s="44">
        <f t="shared" si="35"/>
        <v>43.95</v>
      </c>
      <c r="S124" s="44">
        <f t="shared" si="35"/>
        <v>43.95</v>
      </c>
      <c r="T124" s="44">
        <f t="shared" si="35"/>
        <v>43.95</v>
      </c>
      <c r="U124" s="44">
        <f t="shared" si="35"/>
        <v>39.712499999999999</v>
      </c>
      <c r="V124" s="44">
        <f t="shared" si="35"/>
        <v>39.212499999999999</v>
      </c>
      <c r="W124" s="44">
        <f t="shared" si="35"/>
        <v>39.3125</v>
      </c>
      <c r="X124" s="44">
        <f t="shared" si="35"/>
        <v>38.012500000000003</v>
      </c>
      <c r="Y124" s="44">
        <f t="shared" si="35"/>
        <v>37.15025</v>
      </c>
      <c r="Z124" s="44">
        <f t="shared" si="35"/>
        <v>36.312476875000002</v>
      </c>
      <c r="AA124" s="44">
        <f t="shared" si="35"/>
        <v>35.751437759375001</v>
      </c>
      <c r="AB124" s="44">
        <f t="shared" si="35"/>
        <v>35.200793373953125</v>
      </c>
      <c r="AC124" s="44">
        <f t="shared" si="35"/>
        <v>34.660339954390857</v>
      </c>
      <c r="AD124" s="44">
        <f t="shared" si="35"/>
        <v>34.129877790980252</v>
      </c>
      <c r="AE124" s="44">
        <f t="shared" si="35"/>
        <v>33.609211147659472</v>
      </c>
      <c r="AF124" s="44">
        <f t="shared" si="35"/>
        <v>33.098148182642618</v>
      </c>
      <c r="AG124" s="44">
        <f t="shared" si="35"/>
        <v>32.596500870636419</v>
      </c>
      <c r="AH124" s="44">
        <f t="shared" si="35"/>
        <v>32.10408492661211</v>
      </c>
      <c r="AI124" s="44">
        <f t="shared" si="35"/>
        <v>31.620719731101342</v>
      </c>
      <c r="AJ124" s="44">
        <f t="shared" si="35"/>
        <v>31.146228256985683</v>
      </c>
      <c r="AK124" s="44">
        <f t="shared" si="35"/>
        <v>30.680436997749808</v>
      </c>
      <c r="AL124" s="44">
        <f t="shared" si="35"/>
        <v>30.223175897169124</v>
      </c>
      <c r="AM124" s="44">
        <f t="shared" si="35"/>
        <v>29.774278280403191</v>
      </c>
      <c r="AN124" s="44">
        <f t="shared" si="35"/>
        <v>28.983389463425297</v>
      </c>
      <c r="AO124" s="44">
        <f t="shared" si="35"/>
        <v>28.220851752704181</v>
      </c>
      <c r="AP124" s="44">
        <f t="shared" si="35"/>
        <v>27.485596319546016</v>
      </c>
      <c r="AQ124" s="44">
        <f t="shared" si="35"/>
        <v>26.776594908180641</v>
      </c>
      <c r="AR124" s="44">
        <f t="shared" si="35"/>
        <v>26.092858294203264</v>
      </c>
      <c r="AS124" s="44">
        <f t="shared" si="35"/>
        <v>25.401376668192061</v>
      </c>
      <c r="AT124" s="44">
        <f t="shared" si="35"/>
        <v>24.735793143692522</v>
      </c>
      <c r="AU124" s="44">
        <f t="shared" si="35"/>
        <v>24.095080602461824</v>
      </c>
      <c r="AV124" s="44">
        <f t="shared" si="35"/>
        <v>23.478252966957776</v>
      </c>
      <c r="AW124" s="44">
        <f t="shared" si="35"/>
        <v>44.567509599173064</v>
      </c>
      <c r="AX124" s="44">
        <f t="shared" si="35"/>
        <v>41.043155158522275</v>
      </c>
      <c r="AY124" s="44">
        <f t="shared" si="35"/>
        <v>37.866574179340226</v>
      </c>
      <c r="AZ124" s="44">
        <f t="shared" si="35"/>
        <v>35.003012625393033</v>
      </c>
      <c r="BA124" s="44">
        <f t="shared" si="35"/>
        <v>32.101578476110781</v>
      </c>
      <c r="BB124" s="44">
        <f t="shared" si="35"/>
        <v>29.508262394415542</v>
      </c>
      <c r="BC124" s="44">
        <f t="shared" si="35"/>
        <v>27.189321019356456</v>
      </c>
      <c r="BD124" s="44">
        <f t="shared" si="35"/>
        <v>25.114720595134258</v>
      </c>
    </row>
    <row r="125" spans="3:56" x14ac:dyDescent="0.25">
      <c r="C125" s="103"/>
      <c r="D125" s="74" t="s">
        <v>35</v>
      </c>
      <c r="E125" s="44">
        <f t="shared" ref="E125:BD129" si="36">SUM(E19,E41,E62,E82,E99)</f>
        <v>31.799999999999997</v>
      </c>
      <c r="F125" s="44">
        <f t="shared" si="36"/>
        <v>19.55</v>
      </c>
      <c r="G125" s="44">
        <f t="shared" si="36"/>
        <v>10.25</v>
      </c>
      <c r="H125" s="44">
        <f t="shared" si="36"/>
        <v>11.25</v>
      </c>
      <c r="I125" s="44">
        <f t="shared" si="36"/>
        <v>10.25</v>
      </c>
      <c r="J125" s="44">
        <f t="shared" si="36"/>
        <v>10.25</v>
      </c>
      <c r="K125" s="44">
        <f t="shared" si="36"/>
        <v>8.85825</v>
      </c>
      <c r="L125" s="44">
        <f t="shared" si="36"/>
        <v>8.9582499999999996</v>
      </c>
      <c r="M125" s="44">
        <f t="shared" si="36"/>
        <v>20.158250000000002</v>
      </c>
      <c r="N125" s="44">
        <f t="shared" si="36"/>
        <v>19.420749999999998</v>
      </c>
      <c r="O125" s="44">
        <f t="shared" si="36"/>
        <v>16.620750000000001</v>
      </c>
      <c r="P125" s="44">
        <f t="shared" si="36"/>
        <v>17.420000000000002</v>
      </c>
      <c r="Q125" s="44">
        <f t="shared" si="36"/>
        <v>17.420749999999998</v>
      </c>
      <c r="R125" s="44">
        <f t="shared" si="36"/>
        <v>17.420749999999998</v>
      </c>
      <c r="S125" s="44">
        <f t="shared" si="36"/>
        <v>17.620750000000001</v>
      </c>
      <c r="T125" s="44">
        <f t="shared" si="36"/>
        <v>16.620750000000001</v>
      </c>
      <c r="U125" s="44">
        <f t="shared" si="36"/>
        <v>17.720750000000002</v>
      </c>
      <c r="V125" s="44">
        <f t="shared" si="36"/>
        <v>17.77075</v>
      </c>
      <c r="W125" s="44">
        <f t="shared" si="36"/>
        <v>17.27075</v>
      </c>
      <c r="X125" s="44">
        <f t="shared" si="36"/>
        <v>17.07075</v>
      </c>
      <c r="Y125" s="44">
        <f t="shared" si="36"/>
        <v>16.708627499999999</v>
      </c>
      <c r="Z125" s="44">
        <f t="shared" si="36"/>
        <v>16.356618675</v>
      </c>
      <c r="AA125" s="44">
        <f t="shared" si="36"/>
        <v>16.1185885515</v>
      </c>
      <c r="AB125" s="44">
        <f t="shared" si="36"/>
        <v>15.884873519219997</v>
      </c>
      <c r="AC125" s="44">
        <f t="shared" si="36"/>
        <v>15.655389503891847</v>
      </c>
      <c r="AD125" s="44">
        <f t="shared" si="36"/>
        <v>15.43005410159498</v>
      </c>
      <c r="AE125" s="44">
        <f t="shared" si="36"/>
        <v>15.163786545405143</v>
      </c>
      <c r="AF125" s="44">
        <f t="shared" si="36"/>
        <v>14.902632672709897</v>
      </c>
      <c r="AG125" s="44">
        <f t="shared" si="36"/>
        <v>14.646491268177487</v>
      </c>
      <c r="AH125" s="44">
        <f t="shared" si="36"/>
        <v>14.395263135491117</v>
      </c>
      <c r="AI125" s="44">
        <f t="shared" si="36"/>
        <v>14.148851056995088</v>
      </c>
      <c r="AJ125" s="44">
        <f t="shared" si="36"/>
        <v>27.157159754147909</v>
      </c>
      <c r="AK125" s="44">
        <f t="shared" si="36"/>
        <v>26.685095848766213</v>
      </c>
      <c r="AL125" s="44">
        <f t="shared" si="36"/>
        <v>26.222117825043647</v>
      </c>
      <c r="AM125" s="44">
        <f t="shared" si="36"/>
        <v>25.768045742329267</v>
      </c>
      <c r="AN125" s="44">
        <f t="shared" si="36"/>
        <v>24.942900533439389</v>
      </c>
      <c r="AO125" s="44">
        <f t="shared" si="36"/>
        <v>24.148340639840729</v>
      </c>
      <c r="AP125" s="44">
        <f t="shared" si="36"/>
        <v>23.383207670565458</v>
      </c>
      <c r="AQ125" s="44">
        <f t="shared" si="36"/>
        <v>22.646387234247452</v>
      </c>
      <c r="AR125" s="44">
        <f t="shared" si="36"/>
        <v>21.936807267233711</v>
      </c>
      <c r="AS125" s="44">
        <f t="shared" si="36"/>
        <v>21.191529213505458</v>
      </c>
      <c r="AT125" s="44">
        <f t="shared" si="36"/>
        <v>25.475265619169488</v>
      </c>
      <c r="AU125" s="44">
        <f t="shared" si="36"/>
        <v>47.086864638368915</v>
      </c>
      <c r="AV125" s="44">
        <f t="shared" si="36"/>
        <v>60.333220289196362</v>
      </c>
      <c r="AW125" s="44">
        <f t="shared" si="36"/>
        <v>101.59054532616024</v>
      </c>
      <c r="AX125" s="44">
        <f t="shared" si="36"/>
        <v>93.70915492687044</v>
      </c>
      <c r="AY125" s="44">
        <f t="shared" si="36"/>
        <v>126.05303908901813</v>
      </c>
      <c r="AZ125" s="44">
        <f t="shared" si="36"/>
        <v>116.64503634437584</v>
      </c>
      <c r="BA125" s="44">
        <f t="shared" si="36"/>
        <v>107.01443041360086</v>
      </c>
      <c r="BB125" s="44">
        <f t="shared" si="36"/>
        <v>97.825185914204525</v>
      </c>
      <c r="BC125" s="44">
        <f t="shared" si="36"/>
        <v>89.133023167050311</v>
      </c>
      <c r="BD125" s="44">
        <f t="shared" si="36"/>
        <v>80.130969206531944</v>
      </c>
    </row>
    <row r="126" spans="3:56" x14ac:dyDescent="0.25">
      <c r="C126" s="103"/>
      <c r="D126" s="74" t="s">
        <v>36</v>
      </c>
      <c r="E126" s="44">
        <f t="shared" si="36"/>
        <v>0</v>
      </c>
      <c r="F126" s="44">
        <f t="shared" si="36"/>
        <v>0</v>
      </c>
      <c r="G126" s="44">
        <f t="shared" si="36"/>
        <v>0</v>
      </c>
      <c r="H126" s="44">
        <f t="shared" si="36"/>
        <v>0</v>
      </c>
      <c r="I126" s="44">
        <f t="shared" si="36"/>
        <v>0</v>
      </c>
      <c r="J126" s="44">
        <f t="shared" si="36"/>
        <v>0</v>
      </c>
      <c r="K126" s="44">
        <f t="shared" si="36"/>
        <v>0</v>
      </c>
      <c r="L126" s="44">
        <f t="shared" si="36"/>
        <v>0</v>
      </c>
      <c r="M126" s="44">
        <f t="shared" si="36"/>
        <v>0</v>
      </c>
      <c r="N126" s="44">
        <f t="shared" si="36"/>
        <v>0</v>
      </c>
      <c r="O126" s="44">
        <f t="shared" si="36"/>
        <v>0</v>
      </c>
      <c r="P126" s="44">
        <f t="shared" si="36"/>
        <v>0</v>
      </c>
      <c r="Q126" s="44">
        <f t="shared" si="36"/>
        <v>0</v>
      </c>
      <c r="R126" s="44">
        <f t="shared" si="36"/>
        <v>0</v>
      </c>
      <c r="S126" s="44">
        <f t="shared" si="36"/>
        <v>0</v>
      </c>
      <c r="T126" s="44">
        <f t="shared" si="36"/>
        <v>0</v>
      </c>
      <c r="U126" s="44">
        <f t="shared" si="36"/>
        <v>0</v>
      </c>
      <c r="V126" s="44">
        <f t="shared" si="36"/>
        <v>0</v>
      </c>
      <c r="W126" s="44">
        <f t="shared" si="36"/>
        <v>0</v>
      </c>
      <c r="X126" s="44">
        <f t="shared" si="36"/>
        <v>0</v>
      </c>
      <c r="Y126" s="44">
        <f t="shared" si="36"/>
        <v>0</v>
      </c>
      <c r="Z126" s="44">
        <f t="shared" si="36"/>
        <v>0</v>
      </c>
      <c r="AA126" s="44">
        <f t="shared" si="36"/>
        <v>0</v>
      </c>
      <c r="AB126" s="44">
        <f t="shared" si="36"/>
        <v>0</v>
      </c>
      <c r="AC126" s="44">
        <f t="shared" si="36"/>
        <v>0</v>
      </c>
      <c r="AD126" s="44">
        <f t="shared" si="36"/>
        <v>0</v>
      </c>
      <c r="AE126" s="44">
        <f t="shared" si="36"/>
        <v>0</v>
      </c>
      <c r="AF126" s="44">
        <f t="shared" si="36"/>
        <v>0</v>
      </c>
      <c r="AG126" s="44">
        <f t="shared" si="36"/>
        <v>0</v>
      </c>
      <c r="AH126" s="44">
        <f t="shared" si="36"/>
        <v>0</v>
      </c>
      <c r="AI126" s="44">
        <f t="shared" si="36"/>
        <v>0</v>
      </c>
      <c r="AJ126" s="44">
        <f t="shared" si="36"/>
        <v>0</v>
      </c>
      <c r="AK126" s="44">
        <f t="shared" si="36"/>
        <v>0</v>
      </c>
      <c r="AL126" s="44">
        <f t="shared" si="36"/>
        <v>0</v>
      </c>
      <c r="AM126" s="44">
        <f t="shared" si="36"/>
        <v>0</v>
      </c>
      <c r="AN126" s="44">
        <f t="shared" si="36"/>
        <v>0</v>
      </c>
      <c r="AO126" s="44">
        <f t="shared" si="36"/>
        <v>0</v>
      </c>
      <c r="AP126" s="44">
        <f t="shared" si="36"/>
        <v>0</v>
      </c>
      <c r="AQ126" s="44">
        <f t="shared" si="36"/>
        <v>0</v>
      </c>
      <c r="AR126" s="44">
        <f t="shared" si="36"/>
        <v>0</v>
      </c>
      <c r="AS126" s="44">
        <f t="shared" si="36"/>
        <v>0</v>
      </c>
      <c r="AT126" s="44">
        <f t="shared" si="36"/>
        <v>0</v>
      </c>
      <c r="AU126" s="44">
        <f t="shared" si="36"/>
        <v>0</v>
      </c>
      <c r="AV126" s="44">
        <f t="shared" si="36"/>
        <v>0</v>
      </c>
      <c r="AW126" s="44">
        <f t="shared" si="36"/>
        <v>0</v>
      </c>
      <c r="AX126" s="44">
        <f t="shared" si="36"/>
        <v>0</v>
      </c>
      <c r="AY126" s="44">
        <f t="shared" si="36"/>
        <v>0</v>
      </c>
      <c r="AZ126" s="44">
        <f t="shared" si="36"/>
        <v>0</v>
      </c>
      <c r="BA126" s="44">
        <f t="shared" si="36"/>
        <v>0</v>
      </c>
      <c r="BB126" s="44">
        <f t="shared" si="36"/>
        <v>0</v>
      </c>
      <c r="BC126" s="44">
        <f t="shared" si="36"/>
        <v>0</v>
      </c>
      <c r="BD126" s="44">
        <f t="shared" si="36"/>
        <v>0</v>
      </c>
    </row>
    <row r="127" spans="3:56" x14ac:dyDescent="0.25">
      <c r="C127" s="103"/>
      <c r="D127" s="74" t="s">
        <v>37</v>
      </c>
      <c r="E127" s="44">
        <f t="shared" si="36"/>
        <v>0</v>
      </c>
      <c r="F127" s="44">
        <f t="shared" si="36"/>
        <v>0</v>
      </c>
      <c r="G127" s="44">
        <f t="shared" si="36"/>
        <v>0</v>
      </c>
      <c r="H127" s="44">
        <f t="shared" si="36"/>
        <v>0</v>
      </c>
      <c r="I127" s="44">
        <f t="shared" si="36"/>
        <v>0</v>
      </c>
      <c r="J127" s="44">
        <f t="shared" si="36"/>
        <v>0</v>
      </c>
      <c r="K127" s="44">
        <f t="shared" si="36"/>
        <v>0</v>
      </c>
      <c r="L127" s="44">
        <f t="shared" si="36"/>
        <v>0</v>
      </c>
      <c r="M127" s="44">
        <f t="shared" si="36"/>
        <v>0</v>
      </c>
      <c r="N127" s="44">
        <f t="shared" si="36"/>
        <v>0</v>
      </c>
      <c r="O127" s="44">
        <f t="shared" si="36"/>
        <v>0</v>
      </c>
      <c r="P127" s="44">
        <f t="shared" si="36"/>
        <v>0</v>
      </c>
      <c r="Q127" s="44">
        <f t="shared" si="36"/>
        <v>0</v>
      </c>
      <c r="R127" s="44">
        <f t="shared" si="36"/>
        <v>0</v>
      </c>
      <c r="S127" s="44">
        <f t="shared" si="36"/>
        <v>0</v>
      </c>
      <c r="T127" s="44">
        <f t="shared" si="36"/>
        <v>0</v>
      </c>
      <c r="U127" s="44">
        <f t="shared" si="36"/>
        <v>0</v>
      </c>
      <c r="V127" s="44">
        <f t="shared" si="36"/>
        <v>0</v>
      </c>
      <c r="W127" s="44">
        <f t="shared" si="36"/>
        <v>0</v>
      </c>
      <c r="X127" s="44">
        <f t="shared" si="36"/>
        <v>0</v>
      </c>
      <c r="Y127" s="44">
        <f t="shared" si="36"/>
        <v>0</v>
      </c>
      <c r="Z127" s="44">
        <f t="shared" si="36"/>
        <v>0</v>
      </c>
      <c r="AA127" s="44">
        <f t="shared" si="36"/>
        <v>0</v>
      </c>
      <c r="AB127" s="44">
        <f t="shared" si="36"/>
        <v>0</v>
      </c>
      <c r="AC127" s="44">
        <f t="shared" si="36"/>
        <v>0</v>
      </c>
      <c r="AD127" s="44">
        <f t="shared" si="36"/>
        <v>0</v>
      </c>
      <c r="AE127" s="44">
        <f t="shared" si="36"/>
        <v>0</v>
      </c>
      <c r="AF127" s="44">
        <f t="shared" si="36"/>
        <v>0</v>
      </c>
      <c r="AG127" s="44">
        <f t="shared" si="36"/>
        <v>0</v>
      </c>
      <c r="AH127" s="44">
        <f t="shared" si="36"/>
        <v>0</v>
      </c>
      <c r="AI127" s="44">
        <f t="shared" si="36"/>
        <v>0</v>
      </c>
      <c r="AJ127" s="44">
        <f t="shared" si="36"/>
        <v>0</v>
      </c>
      <c r="AK127" s="44">
        <f t="shared" si="36"/>
        <v>0</v>
      </c>
      <c r="AL127" s="44">
        <f t="shared" si="36"/>
        <v>0</v>
      </c>
      <c r="AM127" s="44">
        <f t="shared" si="36"/>
        <v>0</v>
      </c>
      <c r="AN127" s="44">
        <f t="shared" si="36"/>
        <v>0</v>
      </c>
      <c r="AO127" s="44">
        <f t="shared" si="36"/>
        <v>0</v>
      </c>
      <c r="AP127" s="44">
        <f t="shared" si="36"/>
        <v>0</v>
      </c>
      <c r="AQ127" s="44">
        <f t="shared" si="36"/>
        <v>0</v>
      </c>
      <c r="AR127" s="44">
        <f t="shared" si="36"/>
        <v>0</v>
      </c>
      <c r="AS127" s="44">
        <f t="shared" si="36"/>
        <v>0</v>
      </c>
      <c r="AT127" s="44">
        <f t="shared" si="36"/>
        <v>0</v>
      </c>
      <c r="AU127" s="44">
        <f t="shared" si="36"/>
        <v>0</v>
      </c>
      <c r="AV127" s="44">
        <f t="shared" si="36"/>
        <v>0</v>
      </c>
      <c r="AW127" s="44">
        <f t="shared" si="36"/>
        <v>0</v>
      </c>
      <c r="AX127" s="44">
        <f t="shared" si="36"/>
        <v>0</v>
      </c>
      <c r="AY127" s="44">
        <f t="shared" si="36"/>
        <v>0</v>
      </c>
      <c r="AZ127" s="44">
        <f t="shared" si="36"/>
        <v>0</v>
      </c>
      <c r="BA127" s="44">
        <f t="shared" si="36"/>
        <v>0</v>
      </c>
      <c r="BB127" s="44">
        <f t="shared" si="36"/>
        <v>0</v>
      </c>
      <c r="BC127" s="44">
        <f t="shared" si="36"/>
        <v>0</v>
      </c>
      <c r="BD127" s="44">
        <f t="shared" si="36"/>
        <v>0</v>
      </c>
    </row>
    <row r="128" spans="3:56" x14ac:dyDescent="0.25">
      <c r="C128" s="103"/>
      <c r="D128" s="74" t="s">
        <v>38</v>
      </c>
      <c r="E128" s="44">
        <f t="shared" si="36"/>
        <v>3.4</v>
      </c>
      <c r="F128" s="44">
        <f t="shared" si="36"/>
        <v>4</v>
      </c>
      <c r="G128" s="44">
        <f t="shared" si="36"/>
        <v>7.8707500000000001</v>
      </c>
      <c r="H128" s="44">
        <f t="shared" si="36"/>
        <v>13.870749999999999</v>
      </c>
      <c r="I128" s="44">
        <f t="shared" si="36"/>
        <v>15.720750000000001</v>
      </c>
      <c r="J128" s="44">
        <f t="shared" si="36"/>
        <v>14.720750000000001</v>
      </c>
      <c r="K128" s="44">
        <f t="shared" si="36"/>
        <v>10.7125</v>
      </c>
      <c r="L128" s="44">
        <f t="shared" si="36"/>
        <v>11.2</v>
      </c>
      <c r="M128" s="44">
        <f t="shared" si="36"/>
        <v>0</v>
      </c>
      <c r="N128" s="44">
        <f t="shared" si="36"/>
        <v>0</v>
      </c>
      <c r="O128" s="44">
        <f t="shared" si="36"/>
        <v>0</v>
      </c>
      <c r="P128" s="44">
        <f t="shared" si="36"/>
        <v>0</v>
      </c>
      <c r="Q128" s="44">
        <f t="shared" si="36"/>
        <v>0</v>
      </c>
      <c r="R128" s="44">
        <f t="shared" si="36"/>
        <v>0</v>
      </c>
      <c r="S128" s="44">
        <f t="shared" si="36"/>
        <v>0</v>
      </c>
      <c r="T128" s="44">
        <f t="shared" si="36"/>
        <v>0</v>
      </c>
      <c r="U128" s="44">
        <f t="shared" si="36"/>
        <v>0</v>
      </c>
      <c r="V128" s="44">
        <f t="shared" si="36"/>
        <v>0</v>
      </c>
      <c r="W128" s="44">
        <f t="shared" si="36"/>
        <v>0</v>
      </c>
      <c r="X128" s="44">
        <f t="shared" si="36"/>
        <v>0</v>
      </c>
      <c r="Y128" s="44">
        <f t="shared" si="36"/>
        <v>0</v>
      </c>
      <c r="Z128" s="44">
        <f t="shared" si="36"/>
        <v>0</v>
      </c>
      <c r="AA128" s="44">
        <f t="shared" si="36"/>
        <v>0</v>
      </c>
      <c r="AB128" s="44">
        <f t="shared" si="36"/>
        <v>0</v>
      </c>
      <c r="AC128" s="44">
        <f t="shared" si="36"/>
        <v>0</v>
      </c>
      <c r="AD128" s="44">
        <f t="shared" si="36"/>
        <v>0</v>
      </c>
      <c r="AE128" s="44">
        <f t="shared" si="36"/>
        <v>0</v>
      </c>
      <c r="AF128" s="44">
        <f t="shared" si="36"/>
        <v>0</v>
      </c>
      <c r="AG128" s="44">
        <f t="shared" si="36"/>
        <v>0</v>
      </c>
      <c r="AH128" s="44">
        <f t="shared" si="36"/>
        <v>0</v>
      </c>
      <c r="AI128" s="44">
        <f t="shared" si="36"/>
        <v>0</v>
      </c>
      <c r="AJ128" s="44">
        <f t="shared" si="36"/>
        <v>0</v>
      </c>
      <c r="AK128" s="44">
        <f t="shared" si="36"/>
        <v>0</v>
      </c>
      <c r="AL128" s="44">
        <f t="shared" si="36"/>
        <v>0</v>
      </c>
      <c r="AM128" s="44">
        <f t="shared" si="36"/>
        <v>0</v>
      </c>
      <c r="AN128" s="44">
        <f t="shared" si="36"/>
        <v>0</v>
      </c>
      <c r="AO128" s="44">
        <f t="shared" si="36"/>
        <v>0</v>
      </c>
      <c r="AP128" s="44">
        <f t="shared" si="36"/>
        <v>0</v>
      </c>
      <c r="AQ128" s="44">
        <f t="shared" si="36"/>
        <v>0</v>
      </c>
      <c r="AR128" s="44">
        <f t="shared" si="36"/>
        <v>0</v>
      </c>
      <c r="AS128" s="44">
        <f t="shared" si="36"/>
        <v>0</v>
      </c>
      <c r="AT128" s="44">
        <f t="shared" si="36"/>
        <v>0</v>
      </c>
      <c r="AU128" s="44">
        <f t="shared" si="36"/>
        <v>0</v>
      </c>
      <c r="AV128" s="44">
        <f t="shared" si="36"/>
        <v>0</v>
      </c>
      <c r="AW128" s="44">
        <f t="shared" si="36"/>
        <v>0</v>
      </c>
      <c r="AX128" s="44">
        <f t="shared" si="36"/>
        <v>0</v>
      </c>
      <c r="AY128" s="44">
        <f t="shared" si="36"/>
        <v>0</v>
      </c>
      <c r="AZ128" s="44">
        <f t="shared" si="36"/>
        <v>0</v>
      </c>
      <c r="BA128" s="44">
        <f t="shared" si="36"/>
        <v>0</v>
      </c>
      <c r="BB128" s="44">
        <f t="shared" si="36"/>
        <v>0</v>
      </c>
      <c r="BC128" s="44">
        <f t="shared" si="36"/>
        <v>0</v>
      </c>
      <c r="BD128" s="44">
        <f t="shared" si="36"/>
        <v>0</v>
      </c>
    </row>
    <row r="129" spans="3:56" x14ac:dyDescent="0.25">
      <c r="C129" s="103"/>
      <c r="D129" s="74" t="s">
        <v>39</v>
      </c>
      <c r="E129" s="44">
        <f t="shared" si="36"/>
        <v>80</v>
      </c>
      <c r="F129" s="44">
        <f t="shared" si="36"/>
        <v>67</v>
      </c>
      <c r="G129" s="44">
        <f t="shared" si="36"/>
        <v>49</v>
      </c>
      <c r="H129" s="44">
        <f t="shared" si="36"/>
        <v>20</v>
      </c>
      <c r="I129" s="44">
        <f t="shared" si="36"/>
        <v>20</v>
      </c>
      <c r="J129" s="44">
        <f t="shared" si="36"/>
        <v>20</v>
      </c>
      <c r="K129" s="44">
        <f t="shared" si="36"/>
        <v>20</v>
      </c>
      <c r="L129" s="44">
        <f t="shared" si="36"/>
        <v>20</v>
      </c>
      <c r="M129" s="44">
        <f t="shared" si="36"/>
        <v>20</v>
      </c>
      <c r="N129" s="44">
        <f t="shared" si="36"/>
        <v>20</v>
      </c>
      <c r="O129" s="44">
        <f t="shared" si="36"/>
        <v>23</v>
      </c>
      <c r="P129" s="44">
        <f t="shared" si="36"/>
        <v>23</v>
      </c>
      <c r="Q129" s="44">
        <f t="shared" si="36"/>
        <v>23</v>
      </c>
      <c r="R129" s="44">
        <f t="shared" si="36"/>
        <v>25</v>
      </c>
      <c r="S129" s="44">
        <f t="shared" si="36"/>
        <v>23</v>
      </c>
      <c r="T129" s="44">
        <f t="shared" si="36"/>
        <v>23</v>
      </c>
      <c r="U129" s="44">
        <f t="shared" si="36"/>
        <v>23</v>
      </c>
      <c r="V129" s="44">
        <f t="shared" si="36"/>
        <v>22</v>
      </c>
      <c r="W129" s="44">
        <f t="shared" si="36"/>
        <v>21</v>
      </c>
      <c r="X129" s="44">
        <f t="shared" si="36"/>
        <v>21</v>
      </c>
      <c r="Y129" s="44">
        <f t="shared" si="36"/>
        <v>25.265000000000001</v>
      </c>
      <c r="Z129" s="44">
        <f t="shared" si="36"/>
        <v>24.358875000000001</v>
      </c>
      <c r="AA129" s="44">
        <f t="shared" si="36"/>
        <v>30.023192625</v>
      </c>
      <c r="AB129" s="44">
        <f t="shared" si="36"/>
        <v>29.602396981875</v>
      </c>
      <c r="AC129" s="44">
        <f t="shared" si="36"/>
        <v>29.187765512165623</v>
      </c>
      <c r="AD129" s="44">
        <f t="shared" si="36"/>
        <v>25.779206492076796</v>
      </c>
      <c r="AE129" s="44">
        <f t="shared" si="36"/>
        <v>25.43162956997633</v>
      </c>
      <c r="AF129" s="44">
        <f t="shared" si="36"/>
        <v>24.08907074583097</v>
      </c>
      <c r="AG129" s="44">
        <f t="shared" si="36"/>
        <v>23.76645572595077</v>
      </c>
      <c r="AH129" s="44">
        <f t="shared" si="36"/>
        <v>23.448486326162239</v>
      </c>
      <c r="AI129" s="44">
        <f t="shared" si="36"/>
        <v>28.385093830190026</v>
      </c>
      <c r="AJ129" s="44">
        <f t="shared" si="36"/>
        <v>25.997460547662797</v>
      </c>
      <c r="AK129" s="44">
        <f t="shared" si="36"/>
        <v>25.64545104874885</v>
      </c>
      <c r="AL129" s="44">
        <f t="shared" si="36"/>
        <v>29.798531930272105</v>
      </c>
      <c r="AM129" s="44">
        <f t="shared" si="36"/>
        <v>29.389127785336239</v>
      </c>
      <c r="AN129" s="44">
        <f t="shared" si="36"/>
        <v>28.98567683340432</v>
      </c>
      <c r="AO129" s="44">
        <f t="shared" si="36"/>
        <v>28.588090715927141</v>
      </c>
      <c r="AP129" s="44">
        <f t="shared" si="36"/>
        <v>28.196282395036999</v>
      </c>
      <c r="AQ129" s="44">
        <f t="shared" si="36"/>
        <v>27.810166133760966</v>
      </c>
      <c r="AR129" s="44">
        <f t="shared" si="36"/>
        <v>27.429657476530828</v>
      </c>
      <c r="AS129" s="44">
        <f t="shared" si="36"/>
        <v>26.94529138317808</v>
      </c>
      <c r="AT129" s="44">
        <f t="shared" si="36"/>
        <v>36.470743024317791</v>
      </c>
      <c r="AU129" s="44">
        <f t="shared" si="36"/>
        <v>58.155775805424341</v>
      </c>
      <c r="AV129" s="44">
        <f t="shared" si="36"/>
        <v>57.024909807387807</v>
      </c>
      <c r="AW129" s="44">
        <f t="shared" si="36"/>
        <v>65.474546645542233</v>
      </c>
      <c r="AX129" s="44">
        <f t="shared" si="36"/>
        <v>63.717308477325943</v>
      </c>
      <c r="AY129" s="44">
        <f t="shared" si="36"/>
        <v>84.508214370887771</v>
      </c>
      <c r="AZ129" s="44">
        <f t="shared" ref="AZ129:BD129" si="37">SUM(AZ23,AZ45,AZ66,AZ86,AZ103)</f>
        <v>85.283413265918227</v>
      </c>
      <c r="BA129" s="44">
        <f t="shared" si="37"/>
        <v>75.397845983715101</v>
      </c>
      <c r="BB129" s="44">
        <f t="shared" si="37"/>
        <v>72.000878014905737</v>
      </c>
      <c r="BC129" s="44">
        <f t="shared" si="37"/>
        <v>68.768164579581182</v>
      </c>
      <c r="BD129" s="44">
        <f t="shared" si="37"/>
        <v>65.691576859041561</v>
      </c>
    </row>
    <row r="130" spans="3:56" x14ac:dyDescent="0.25">
      <c r="C130" s="103"/>
      <c r="D130" s="74" t="s">
        <v>40</v>
      </c>
      <c r="E130" s="44">
        <f t="shared" ref="E130:BD131" si="38">SUM(E24,E46,E67,E87,E104)</f>
        <v>34.825000000000003</v>
      </c>
      <c r="F130" s="44">
        <f t="shared" si="38"/>
        <v>23.574999999999999</v>
      </c>
      <c r="G130" s="44">
        <f t="shared" si="38"/>
        <v>14.574999999999999</v>
      </c>
      <c r="H130" s="44">
        <f t="shared" si="38"/>
        <v>14.574999999999999</v>
      </c>
      <c r="I130" s="44">
        <f t="shared" si="38"/>
        <v>14.574999999999999</v>
      </c>
      <c r="J130" s="44">
        <f t="shared" si="38"/>
        <v>13.45</v>
      </c>
      <c r="K130" s="44">
        <f t="shared" si="38"/>
        <v>11.2</v>
      </c>
      <c r="L130" s="44">
        <f t="shared" si="38"/>
        <v>10.125</v>
      </c>
      <c r="M130" s="44">
        <f t="shared" si="38"/>
        <v>10.125</v>
      </c>
      <c r="N130" s="44">
        <f t="shared" si="38"/>
        <v>9</v>
      </c>
      <c r="O130" s="44">
        <f t="shared" si="38"/>
        <v>7.875</v>
      </c>
      <c r="P130" s="44">
        <f t="shared" si="38"/>
        <v>7.88</v>
      </c>
      <c r="Q130" s="44">
        <f t="shared" si="38"/>
        <v>7.875</v>
      </c>
      <c r="R130" s="44">
        <f t="shared" si="38"/>
        <v>7.875</v>
      </c>
      <c r="S130" s="44">
        <f t="shared" si="38"/>
        <v>7.875</v>
      </c>
      <c r="T130" s="44">
        <f t="shared" si="38"/>
        <v>7.875</v>
      </c>
      <c r="U130" s="44">
        <f t="shared" si="38"/>
        <v>7.875</v>
      </c>
      <c r="V130" s="44">
        <f t="shared" si="38"/>
        <v>7.875</v>
      </c>
      <c r="W130" s="44">
        <f t="shared" si="38"/>
        <v>7.875</v>
      </c>
      <c r="X130" s="44">
        <f t="shared" si="38"/>
        <v>7.875</v>
      </c>
      <c r="Y130" s="44">
        <f t="shared" si="38"/>
        <v>7.6781249999999996</v>
      </c>
      <c r="Z130" s="44">
        <f t="shared" si="38"/>
        <v>7.4885343750000004</v>
      </c>
      <c r="AA130" s="44">
        <f t="shared" si="38"/>
        <v>7.4096197031250002</v>
      </c>
      <c r="AB130" s="44">
        <f t="shared" si="38"/>
        <v>7.3317216846093753</v>
      </c>
      <c r="AC130" s="44">
        <f t="shared" si="38"/>
        <v>7.254825904986328</v>
      </c>
      <c r="AD130" s="44">
        <f t="shared" si="38"/>
        <v>7.1789181618293973</v>
      </c>
      <c r="AE130" s="44">
        <f t="shared" si="38"/>
        <v>7.1039844615927299</v>
      </c>
      <c r="AF130" s="44">
        <f t="shared" si="38"/>
        <v>7.0300110164986593</v>
      </c>
      <c r="AG130" s="44">
        <f t="shared" si="38"/>
        <v>6.9569842414718508</v>
      </c>
      <c r="AH130" s="44">
        <f t="shared" si="38"/>
        <v>6.8848907511193396</v>
      </c>
      <c r="AI130" s="44">
        <f t="shared" si="38"/>
        <v>6.8137173567557703</v>
      </c>
      <c r="AJ130" s="44">
        <f t="shared" si="38"/>
        <v>6.7434510634731364</v>
      </c>
      <c r="AK130" s="44">
        <f t="shared" si="38"/>
        <v>6.6740790672544001</v>
      </c>
      <c r="AL130" s="44">
        <f t="shared" si="38"/>
        <v>6.6055887521302772</v>
      </c>
      <c r="AM130" s="44">
        <f t="shared" si="38"/>
        <v>6.5379676873785932</v>
      </c>
      <c r="AN130" s="44">
        <f t="shared" si="38"/>
        <v>6.4712036247655327</v>
      </c>
      <c r="AO130" s="44">
        <f t="shared" si="38"/>
        <v>6.4052844958281803</v>
      </c>
      <c r="AP130" s="44">
        <f t="shared" si="38"/>
        <v>6.3401984091977166</v>
      </c>
      <c r="AQ130" s="44">
        <f t="shared" si="38"/>
        <v>6.2759336479626757</v>
      </c>
      <c r="AR130" s="44">
        <f t="shared" si="38"/>
        <v>6.2124786670716468</v>
      </c>
      <c r="AS130" s="44">
        <f t="shared" si="38"/>
        <v>6.0582302796470344</v>
      </c>
      <c r="AT130" s="44">
        <f t="shared" si="38"/>
        <v>5.9084327602934419</v>
      </c>
      <c r="AU130" s="44">
        <f t="shared" si="38"/>
        <v>5.7629445460107132</v>
      </c>
      <c r="AV130" s="44">
        <f t="shared" si="38"/>
        <v>30.934128815242968</v>
      </c>
      <c r="AW130" s="44">
        <f t="shared" si="38"/>
        <v>30.054300065918209</v>
      </c>
      <c r="AX130" s="44">
        <f t="shared" si="38"/>
        <v>41.856443678839597</v>
      </c>
      <c r="AY130" s="44">
        <f t="shared" si="38"/>
        <v>40.584317412428021</v>
      </c>
      <c r="AZ130" s="44">
        <f t="shared" si="38"/>
        <v>62.133144333782155</v>
      </c>
      <c r="BA130" s="44">
        <f t="shared" si="38"/>
        <v>59.762157763707563</v>
      </c>
      <c r="BB130" s="44">
        <f t="shared" si="38"/>
        <v>57.498685462437479</v>
      </c>
      <c r="BC130" s="44">
        <f t="shared" si="38"/>
        <v>55.337517242427168</v>
      </c>
      <c r="BD130" s="44">
        <f t="shared" si="38"/>
        <v>53.273700942620707</v>
      </c>
    </row>
    <row r="131" spans="3:56" x14ac:dyDescent="0.25">
      <c r="D131" s="50" t="s">
        <v>41</v>
      </c>
      <c r="E131" s="44">
        <f t="shared" si="38"/>
        <v>0</v>
      </c>
      <c r="F131" s="44">
        <f t="shared" si="38"/>
        <v>0</v>
      </c>
      <c r="G131" s="44">
        <f t="shared" si="38"/>
        <v>0</v>
      </c>
      <c r="H131" s="44">
        <f t="shared" si="38"/>
        <v>-8.3778913043478251</v>
      </c>
      <c r="I131" s="44">
        <f t="shared" si="38"/>
        <v>-4.9202826086956524</v>
      </c>
      <c r="J131" s="44">
        <f t="shared" si="38"/>
        <v>0</v>
      </c>
      <c r="K131" s="44">
        <f t="shared" si="38"/>
        <v>-15.262304347826086</v>
      </c>
      <c r="L131" s="44">
        <f t="shared" si="38"/>
        <v>-9.0572391304347821</v>
      </c>
      <c r="M131" s="44">
        <f t="shared" si="38"/>
        <v>-7.7713695652173911</v>
      </c>
      <c r="N131" s="44">
        <f t="shared" si="38"/>
        <v>-5.0485434782608696</v>
      </c>
      <c r="O131" s="44">
        <f t="shared" si="38"/>
        <v>-1.5713695652173914</v>
      </c>
      <c r="P131" s="44">
        <f t="shared" si="38"/>
        <v>0</v>
      </c>
      <c r="Q131" s="44">
        <f t="shared" si="38"/>
        <v>-5.162673913043478</v>
      </c>
      <c r="R131" s="44">
        <f t="shared" si="38"/>
        <v>0</v>
      </c>
      <c r="S131" s="44">
        <f t="shared" si="38"/>
        <v>-0.375</v>
      </c>
      <c r="T131" s="44">
        <f t="shared" si="38"/>
        <v>-6.7429239130434784</v>
      </c>
      <c r="U131" s="44">
        <f t="shared" si="38"/>
        <v>2.7322500000000005</v>
      </c>
      <c r="V131" s="44">
        <f t="shared" si="38"/>
        <v>5.3695652173913047</v>
      </c>
      <c r="W131" s="44">
        <f t="shared" si="38"/>
        <v>5.195652173913043</v>
      </c>
      <c r="X131" s="44">
        <f t="shared" si="38"/>
        <v>5.5470978260869561</v>
      </c>
      <c r="Y131" s="44">
        <f t="shared" si="38"/>
        <v>0</v>
      </c>
      <c r="Z131" s="44">
        <f t="shared" si="38"/>
        <v>-2.8554290760869563</v>
      </c>
      <c r="AA131" s="44">
        <f t="shared" si="38"/>
        <v>6.0870641872173916</v>
      </c>
      <c r="AB131" s="44">
        <f t="shared" si="38"/>
        <v>4.4739921776047824</v>
      </c>
      <c r="AC131" s="44">
        <f t="shared" si="38"/>
        <v>2.265934731049617</v>
      </c>
      <c r="AD131" s="44">
        <f t="shared" si="38"/>
        <v>-3.8629936487534606</v>
      </c>
      <c r="AE131" s="44">
        <f t="shared" si="38"/>
        <v>-5.9760514169418038</v>
      </c>
      <c r="AF131" s="44">
        <f t="shared" si="38"/>
        <v>0</v>
      </c>
      <c r="AG131" s="44">
        <f t="shared" si="38"/>
        <v>-2.9416180638644081</v>
      </c>
      <c r="AH131" s="44">
        <f t="shared" si="38"/>
        <v>3.0378131080352975</v>
      </c>
      <c r="AI131" s="44">
        <f t="shared" si="38"/>
        <v>0</v>
      </c>
      <c r="AJ131" s="44">
        <f t="shared" si="38"/>
        <v>4.48133803612183</v>
      </c>
      <c r="AK131" s="44">
        <f t="shared" si="38"/>
        <v>4.4141179655800027</v>
      </c>
      <c r="AL131" s="44">
        <f t="shared" si="38"/>
        <v>1.2826287229371192</v>
      </c>
      <c r="AM131" s="44">
        <f t="shared" si="38"/>
        <v>0</v>
      </c>
      <c r="AN131" s="44">
        <f t="shared" si="38"/>
        <v>0</v>
      </c>
      <c r="AO131" s="44">
        <f t="shared" si="38"/>
        <v>0</v>
      </c>
      <c r="AP131" s="44">
        <f t="shared" si="38"/>
        <v>0</v>
      </c>
      <c r="AQ131" s="44">
        <f t="shared" si="38"/>
        <v>0</v>
      </c>
      <c r="AR131" s="44">
        <f t="shared" si="38"/>
        <v>0</v>
      </c>
      <c r="AS131" s="44">
        <f t="shared" si="38"/>
        <v>0</v>
      </c>
      <c r="AT131" s="44">
        <f t="shared" si="38"/>
        <v>0</v>
      </c>
      <c r="AU131" s="44">
        <f t="shared" si="38"/>
        <v>0</v>
      </c>
      <c r="AV131" s="44">
        <f t="shared" si="38"/>
        <v>0</v>
      </c>
      <c r="AW131" s="44">
        <f t="shared" si="38"/>
        <v>0</v>
      </c>
      <c r="AX131" s="44">
        <f t="shared" si="38"/>
        <v>0</v>
      </c>
      <c r="AY131" s="44">
        <f t="shared" si="38"/>
        <v>0</v>
      </c>
      <c r="AZ131" s="44">
        <f t="shared" si="38"/>
        <v>39.564129830615521</v>
      </c>
      <c r="BA131" s="44">
        <f t="shared" si="38"/>
        <v>26.954968899012563</v>
      </c>
      <c r="BB131" s="44">
        <f t="shared" si="38"/>
        <v>0</v>
      </c>
      <c r="BC131" s="44">
        <f t="shared" si="38"/>
        <v>0</v>
      </c>
      <c r="BD131" s="44">
        <f t="shared" si="38"/>
        <v>0</v>
      </c>
    </row>
    <row r="132" spans="3:56" x14ac:dyDescent="0.25">
      <c r="D132" s="50" t="s">
        <v>42</v>
      </c>
      <c r="E132" s="62">
        <v>0.85</v>
      </c>
      <c r="F132" s="62">
        <v>0.85</v>
      </c>
      <c r="G132" s="62">
        <v>0.85</v>
      </c>
      <c r="H132" s="62">
        <v>0.85</v>
      </c>
      <c r="I132" s="62">
        <v>0.85</v>
      </c>
      <c r="J132" s="62">
        <v>0.85</v>
      </c>
      <c r="K132" s="62">
        <v>0.85</v>
      </c>
      <c r="L132" s="62">
        <v>0.85</v>
      </c>
      <c r="M132" s="71">
        <v>0.85</v>
      </c>
      <c r="N132" s="71">
        <v>0.85</v>
      </c>
      <c r="O132" s="71">
        <v>0.85</v>
      </c>
      <c r="P132" s="71">
        <v>0.85</v>
      </c>
      <c r="Q132" s="71">
        <v>0.85</v>
      </c>
      <c r="R132" s="71">
        <v>0.85</v>
      </c>
      <c r="S132" s="71">
        <v>0.85</v>
      </c>
      <c r="T132" s="71">
        <v>0.85</v>
      </c>
      <c r="U132" s="71">
        <v>0.85</v>
      </c>
      <c r="V132" s="71">
        <v>0.85</v>
      </c>
      <c r="W132" s="71">
        <v>0.85</v>
      </c>
      <c r="X132" s="71">
        <v>0.85</v>
      </c>
      <c r="Y132" s="71">
        <v>0.85</v>
      </c>
      <c r="Z132" s="71">
        <v>0.85</v>
      </c>
      <c r="AA132" s="71">
        <v>0.85</v>
      </c>
      <c r="AB132" s="71">
        <v>0.85</v>
      </c>
      <c r="AC132" s="71">
        <v>0.85</v>
      </c>
      <c r="AD132" s="71">
        <v>0.85</v>
      </c>
      <c r="AE132" s="71">
        <v>0.85</v>
      </c>
      <c r="AF132" s="71">
        <v>0.85</v>
      </c>
      <c r="AG132" s="71">
        <v>0.85</v>
      </c>
      <c r="AH132" s="71">
        <v>0.85</v>
      </c>
      <c r="AI132" s="71">
        <v>0.85</v>
      </c>
      <c r="AJ132" s="71">
        <v>0.85</v>
      </c>
      <c r="AK132" s="71">
        <v>0.85</v>
      </c>
      <c r="AL132" s="71">
        <v>0.85</v>
      </c>
      <c r="AM132" s="71">
        <v>0.85</v>
      </c>
      <c r="AN132" s="71">
        <v>0.85</v>
      </c>
      <c r="AO132" s="71">
        <v>0.85</v>
      </c>
      <c r="AP132" s="71">
        <v>0.85</v>
      </c>
      <c r="AQ132" s="71">
        <v>0.85</v>
      </c>
      <c r="AR132" s="71">
        <v>0.85</v>
      </c>
      <c r="AS132" s="71">
        <v>0.85</v>
      </c>
      <c r="AT132" s="71">
        <v>0.85</v>
      </c>
      <c r="AU132" s="71">
        <v>0.85</v>
      </c>
      <c r="AV132" s="71">
        <v>0.85</v>
      </c>
      <c r="AW132" s="71">
        <v>0.85</v>
      </c>
      <c r="AX132" s="71">
        <v>0.85</v>
      </c>
      <c r="AY132" s="71">
        <v>0.85</v>
      </c>
      <c r="AZ132" s="71">
        <v>0.85</v>
      </c>
      <c r="BA132" s="71">
        <v>0.85</v>
      </c>
      <c r="BB132" s="71">
        <v>0.85</v>
      </c>
      <c r="BC132" s="71">
        <v>0.85</v>
      </c>
      <c r="BD132" s="71">
        <v>0.85</v>
      </c>
    </row>
    <row r="133" spans="3:56" x14ac:dyDescent="0.25">
      <c r="D133" s="50" t="s">
        <v>43</v>
      </c>
      <c r="E133" s="63">
        <f t="shared" ref="E133:BD133" si="39">(E131*(40*(1-E132)+40))/SUM(E124:E130)</f>
        <v>0</v>
      </c>
      <c r="F133" s="63">
        <f t="shared" si="39"/>
        <v>0</v>
      </c>
      <c r="G133" s="63">
        <f t="shared" si="39"/>
        <v>0</v>
      </c>
      <c r="H133" s="63">
        <f t="shared" si="39"/>
        <v>-3.2712734464691562</v>
      </c>
      <c r="I133" s="63">
        <f t="shared" si="39"/>
        <v>-1.9074358504360212</v>
      </c>
      <c r="J133" s="63">
        <f t="shared" si="39"/>
        <v>0</v>
      </c>
      <c r="K133" s="63">
        <f t="shared" si="39"/>
        <v>-6.6305671576949141</v>
      </c>
      <c r="L133" s="63">
        <f t="shared" si="39"/>
        <v>-4.0461296047664019</v>
      </c>
      <c r="M133" s="63">
        <f t="shared" si="39"/>
        <v>-3.5134931925903539</v>
      </c>
      <c r="N133" s="63">
        <f t="shared" si="39"/>
        <v>-2.3370357977573883</v>
      </c>
      <c r="O133" s="63">
        <f t="shared" si="39"/>
        <v>-0.75732025784280599</v>
      </c>
      <c r="P133" s="63">
        <f t="shared" si="39"/>
        <v>0</v>
      </c>
      <c r="Q133" s="63">
        <f t="shared" si="39"/>
        <v>-2.4674647971468868</v>
      </c>
      <c r="R133" s="63">
        <f t="shared" si="39"/>
        <v>0</v>
      </c>
      <c r="S133" s="63">
        <f t="shared" si="39"/>
        <v>-0.18659592247345064</v>
      </c>
      <c r="T133" s="63">
        <f t="shared" si="39"/>
        <v>-3.391896288236468</v>
      </c>
      <c r="U133" s="63">
        <f t="shared" si="39"/>
        <v>1.4232362208513929</v>
      </c>
      <c r="V133" s="63">
        <f t="shared" si="39"/>
        <v>2.8437137520039837</v>
      </c>
      <c r="W133" s="63">
        <f t="shared" si="39"/>
        <v>2.7966872712698891</v>
      </c>
      <c r="X133" s="63">
        <f t="shared" si="39"/>
        <v>3.0392069868059419</v>
      </c>
      <c r="Y133" s="63">
        <f t="shared" si="39"/>
        <v>0</v>
      </c>
      <c r="Z133" s="63">
        <f t="shared" si="39"/>
        <v>-1.5541312033260228</v>
      </c>
      <c r="AA133" s="63">
        <f t="shared" si="39"/>
        <v>3.1354541118664647</v>
      </c>
      <c r="AB133" s="63">
        <f t="shared" si="39"/>
        <v>2.33815202867464</v>
      </c>
      <c r="AC133" s="63">
        <f t="shared" si="39"/>
        <v>1.2014178764240655</v>
      </c>
      <c r="AD133" s="63">
        <f t="shared" si="39"/>
        <v>-2.1534402927020486</v>
      </c>
      <c r="AE133" s="63">
        <f t="shared" si="39"/>
        <v>-3.3809255790803072</v>
      </c>
      <c r="AF133" s="63">
        <f t="shared" si="39"/>
        <v>0</v>
      </c>
      <c r="AG133" s="63">
        <f t="shared" si="39"/>
        <v>-1.7355473026312696</v>
      </c>
      <c r="AH133" s="63">
        <f t="shared" si="39"/>
        <v>1.8187484918193098</v>
      </c>
      <c r="AI133" s="63">
        <f t="shared" si="39"/>
        <v>0</v>
      </c>
      <c r="AJ133" s="63">
        <f t="shared" si="39"/>
        <v>2.2641895266025176</v>
      </c>
      <c r="AK133" s="63">
        <f t="shared" si="39"/>
        <v>2.2640272494600078</v>
      </c>
      <c r="AL133" s="63">
        <f t="shared" si="39"/>
        <v>0.63544742455774494</v>
      </c>
      <c r="AM133" s="63">
        <f t="shared" si="39"/>
        <v>0</v>
      </c>
      <c r="AN133" s="63">
        <f t="shared" si="39"/>
        <v>0</v>
      </c>
      <c r="AO133" s="63">
        <f t="shared" si="39"/>
        <v>0</v>
      </c>
      <c r="AP133" s="63">
        <f t="shared" si="39"/>
        <v>0</v>
      </c>
      <c r="AQ133" s="63">
        <f t="shared" si="39"/>
        <v>0</v>
      </c>
      <c r="AR133" s="63">
        <f t="shared" si="39"/>
        <v>0</v>
      </c>
      <c r="AS133" s="63">
        <f t="shared" si="39"/>
        <v>0</v>
      </c>
      <c r="AT133" s="63">
        <f t="shared" si="39"/>
        <v>0</v>
      </c>
      <c r="AU133" s="63">
        <f t="shared" si="39"/>
        <v>0</v>
      </c>
      <c r="AV133" s="63">
        <f t="shared" si="39"/>
        <v>0</v>
      </c>
      <c r="AW133" s="63">
        <f t="shared" si="39"/>
        <v>0</v>
      </c>
      <c r="AX133" s="63">
        <f t="shared" si="39"/>
        <v>0</v>
      </c>
      <c r="AY133" s="63">
        <f t="shared" si="39"/>
        <v>0</v>
      </c>
      <c r="AZ133" s="63">
        <f t="shared" si="39"/>
        <v>6.0854742829140527</v>
      </c>
      <c r="BA133" s="63">
        <f t="shared" si="39"/>
        <v>4.5207328101090516</v>
      </c>
      <c r="BB133" s="63">
        <f t="shared" si="39"/>
        <v>0</v>
      </c>
      <c r="BC133" s="63">
        <f t="shared" si="39"/>
        <v>0</v>
      </c>
      <c r="BD133" s="63">
        <f t="shared" si="39"/>
        <v>0</v>
      </c>
    </row>
    <row r="134" spans="3:56" x14ac:dyDescent="0.25">
      <c r="D134" s="51" t="s">
        <v>44</v>
      </c>
      <c r="E134" s="61">
        <f t="shared" ref="E134:L134" si="40">SUM(E124:E131)</f>
        <v>181.88749999999999</v>
      </c>
      <c r="F134" s="61">
        <f t="shared" si="40"/>
        <v>146.98749999999998</v>
      </c>
      <c r="G134" s="61">
        <f t="shared" si="40"/>
        <v>115.55825</v>
      </c>
      <c r="H134" s="61">
        <f t="shared" si="40"/>
        <v>109.43035869565217</v>
      </c>
      <c r="I134" s="61">
        <f t="shared" si="40"/>
        <v>113.73796739130434</v>
      </c>
      <c r="J134" s="61">
        <f t="shared" si="40"/>
        <v>116.53325</v>
      </c>
      <c r="K134" s="61">
        <f t="shared" si="40"/>
        <v>90.620945652173916</v>
      </c>
      <c r="L134" s="61">
        <f t="shared" si="40"/>
        <v>93.913510869565215</v>
      </c>
      <c r="M134" s="61">
        <f t="shared" ref="M134:BD134" si="41">SUM(M124:M131)</f>
        <v>93.974380434782603</v>
      </c>
      <c r="N134" s="61">
        <f t="shared" si="41"/>
        <v>94.322206521739133</v>
      </c>
      <c r="O134" s="61">
        <f t="shared" si="41"/>
        <v>93.874380434782609</v>
      </c>
      <c r="P134" s="61">
        <f t="shared" si="41"/>
        <v>96.259999999999991</v>
      </c>
      <c r="Q134" s="61">
        <f t="shared" si="41"/>
        <v>91.083076086956524</v>
      </c>
      <c r="R134" s="61">
        <f t="shared" si="41"/>
        <v>94.245750000000001</v>
      </c>
      <c r="S134" s="61">
        <f t="shared" si="41"/>
        <v>92.070750000000004</v>
      </c>
      <c r="T134" s="61">
        <f t="shared" si="41"/>
        <v>84.70282608695652</v>
      </c>
      <c r="U134" s="61">
        <f t="shared" si="41"/>
        <v>91.040500000000009</v>
      </c>
      <c r="V134" s="61">
        <f t="shared" si="41"/>
        <v>92.22781521739131</v>
      </c>
      <c r="W134" s="61">
        <f t="shared" si="41"/>
        <v>90.653902173913039</v>
      </c>
      <c r="X134" s="61">
        <f t="shared" si="41"/>
        <v>89.505347826086961</v>
      </c>
      <c r="Y134" s="61">
        <f t="shared" si="41"/>
        <v>86.802002499999986</v>
      </c>
      <c r="Z134" s="61">
        <f t="shared" si="41"/>
        <v>81.661075848913043</v>
      </c>
      <c r="AA134" s="61">
        <f t="shared" si="41"/>
        <v>95.389902826217408</v>
      </c>
      <c r="AB134" s="61">
        <f t="shared" si="41"/>
        <v>92.493777737262292</v>
      </c>
      <c r="AC134" s="61">
        <f t="shared" si="41"/>
        <v>89.024255606484274</v>
      </c>
      <c r="AD134" s="61">
        <f t="shared" si="41"/>
        <v>78.655062897727973</v>
      </c>
      <c r="AE134" s="61">
        <f t="shared" si="41"/>
        <v>75.332560307691878</v>
      </c>
      <c r="AF134" s="61">
        <f t="shared" si="41"/>
        <v>79.119862617682145</v>
      </c>
      <c r="AG134" s="61">
        <f t="shared" si="41"/>
        <v>75.0248140423721</v>
      </c>
      <c r="AH134" s="61">
        <f t="shared" si="41"/>
        <v>79.8705382474201</v>
      </c>
      <c r="AI134" s="61">
        <f t="shared" si="41"/>
        <v>80.968381975042234</v>
      </c>
      <c r="AJ134" s="61">
        <f t="shared" si="41"/>
        <v>95.525637658391346</v>
      </c>
      <c r="AK134" s="61">
        <f t="shared" si="41"/>
        <v>94.099180928099273</v>
      </c>
      <c r="AL134" s="61">
        <f t="shared" si="41"/>
        <v>94.132043127552265</v>
      </c>
      <c r="AM134" s="61">
        <f t="shared" si="41"/>
        <v>91.469419495447298</v>
      </c>
      <c r="AN134" s="61">
        <f t="shared" si="41"/>
        <v>89.383170455034531</v>
      </c>
      <c r="AO134" s="61">
        <f t="shared" si="41"/>
        <v>87.362567604300239</v>
      </c>
      <c r="AP134" s="61">
        <f t="shared" si="41"/>
        <v>85.405284794346187</v>
      </c>
      <c r="AQ134" s="61">
        <f t="shared" si="41"/>
        <v>83.509081924151744</v>
      </c>
      <c r="AR134" s="61">
        <f t="shared" si="41"/>
        <v>81.671801705039456</v>
      </c>
      <c r="AS134" s="61">
        <f t="shared" si="41"/>
        <v>79.596427544522641</v>
      </c>
      <c r="AT134" s="61">
        <f t="shared" si="41"/>
        <v>92.590234547473244</v>
      </c>
      <c r="AU134" s="61">
        <f t="shared" si="41"/>
        <v>135.10066559226578</v>
      </c>
      <c r="AV134" s="61">
        <f t="shared" si="41"/>
        <v>171.7705118787849</v>
      </c>
      <c r="AW134" s="61">
        <f t="shared" si="41"/>
        <v>241.68690163679375</v>
      </c>
      <c r="AX134" s="61">
        <f t="shared" si="41"/>
        <v>240.32606224155825</v>
      </c>
      <c r="AY134" s="61">
        <f t="shared" si="41"/>
        <v>289.01214505167411</v>
      </c>
      <c r="AZ134" s="61">
        <f t="shared" si="41"/>
        <v>338.62873640008473</v>
      </c>
      <c r="BA134" s="61">
        <f t="shared" si="41"/>
        <v>301.23098153614683</v>
      </c>
      <c r="BB134" s="61">
        <f t="shared" si="41"/>
        <v>256.83301178596327</v>
      </c>
      <c r="BC134" s="61">
        <f t="shared" si="41"/>
        <v>240.42802600841512</v>
      </c>
      <c r="BD134" s="61">
        <f t="shared" si="41"/>
        <v>224.21096760332847</v>
      </c>
    </row>
    <row r="135" spans="3:56" x14ac:dyDescent="0.25">
      <c r="D135" s="52" t="s">
        <v>45</v>
      </c>
      <c r="E135" s="56">
        <f t="shared" ref="E135:BD135" si="42">E134-E112</f>
        <v>22.819852955876627</v>
      </c>
      <c r="F135" s="56">
        <f t="shared" si="42"/>
        <v>20.671297766377947</v>
      </c>
      <c r="G135" s="56">
        <f t="shared" si="42"/>
        <v>15.112117040240776</v>
      </c>
      <c r="H135" s="56">
        <f t="shared" si="42"/>
        <v>15.685128847836467</v>
      </c>
      <c r="I135" s="56">
        <f t="shared" si="42"/>
        <v>23.251665086904183</v>
      </c>
      <c r="J135" s="56">
        <f t="shared" si="42"/>
        <v>33.402812640049717</v>
      </c>
      <c r="K135" s="56">
        <f t="shared" si="42"/>
        <v>19.335486210532537</v>
      </c>
      <c r="L135" s="56">
        <f t="shared" si="42"/>
        <v>22.181533595619911</v>
      </c>
      <c r="M135" s="56">
        <f t="shared" si="42"/>
        <v>20.663966838680906</v>
      </c>
      <c r="N135" s="56">
        <f t="shared" si="42"/>
        <v>12.264066046076408</v>
      </c>
      <c r="O135" s="56">
        <f t="shared" si="42"/>
        <v>0.79432451052431929</v>
      </c>
      <c r="P135" s="56">
        <f t="shared" si="42"/>
        <v>4.9919795723403695</v>
      </c>
      <c r="Q135" s="56">
        <f t="shared" si="42"/>
        <v>16.094860107091975</v>
      </c>
      <c r="R135" s="56">
        <f t="shared" si="42"/>
        <v>18.76798643735269</v>
      </c>
      <c r="S135" s="56">
        <f t="shared" si="42"/>
        <v>13.834750977276897</v>
      </c>
      <c r="T135" s="56">
        <f t="shared" si="42"/>
        <v>2.8678211217019935</v>
      </c>
      <c r="U135" s="56">
        <f t="shared" si="42"/>
        <v>7.4549490353929144</v>
      </c>
      <c r="V135" s="56">
        <f t="shared" si="42"/>
        <v>1.052454079831648</v>
      </c>
      <c r="W135" s="56">
        <f t="shared" si="42"/>
        <v>0.97299798967235063</v>
      </c>
      <c r="X135" s="56">
        <f t="shared" si="42"/>
        <v>-4.1285465643456263</v>
      </c>
      <c r="Y135" s="56">
        <f t="shared" si="42"/>
        <v>-2.0962890552450801</v>
      </c>
      <c r="Z135" s="56">
        <f t="shared" si="42"/>
        <v>2.8877049654574733</v>
      </c>
      <c r="AA135" s="56">
        <f t="shared" si="42"/>
        <v>1.4844307290945977</v>
      </c>
      <c r="AB135" s="56">
        <f t="shared" si="42"/>
        <v>3.0779956269559534</v>
      </c>
      <c r="AC135" s="56">
        <f t="shared" si="42"/>
        <v>4.0805155509398503</v>
      </c>
      <c r="AD135" s="56">
        <f t="shared" si="42"/>
        <v>5.9818400614650642</v>
      </c>
      <c r="AE135" s="56">
        <f t="shared" si="42"/>
        <v>9.6131543289103121</v>
      </c>
      <c r="AF135" s="56">
        <f t="shared" si="42"/>
        <v>7.089954845853697</v>
      </c>
      <c r="AG135" s="56">
        <f t="shared" si="42"/>
        <v>9.6105029357566707</v>
      </c>
      <c r="AH135" s="56">
        <f t="shared" si="42"/>
        <v>2.9435591283282605</v>
      </c>
      <c r="AI135" s="56">
        <f t="shared" si="42"/>
        <v>2.7501673072286366</v>
      </c>
      <c r="AJ135" s="56">
        <f t="shared" si="42"/>
        <v>8.7272843964958753</v>
      </c>
      <c r="AK135" s="56">
        <f t="shared" si="42"/>
        <v>4.7941207171052298</v>
      </c>
      <c r="AL135" s="56">
        <f t="shared" si="42"/>
        <v>5.6361870213988681</v>
      </c>
      <c r="AM135" s="56">
        <f t="shared" si="42"/>
        <v>12.87508281687181</v>
      </c>
      <c r="AN135" s="56">
        <f t="shared" si="42"/>
        <v>19.041293267848545</v>
      </c>
      <c r="AO135" s="56">
        <f t="shared" si="42"/>
        <v>15.885974556104173</v>
      </c>
      <c r="AP135" s="56">
        <f t="shared" si="42"/>
        <v>10.810457166559118</v>
      </c>
      <c r="AQ135" s="56">
        <f t="shared" si="42"/>
        <v>3.311198381828163</v>
      </c>
      <c r="AR135" s="56">
        <f t="shared" si="42"/>
        <v>0.27306882995702608</v>
      </c>
      <c r="AS135" s="56">
        <f t="shared" si="42"/>
        <v>-5.5949707591117175</v>
      </c>
      <c r="AT135" s="56">
        <f t="shared" si="42"/>
        <v>5.8660241356077023</v>
      </c>
      <c r="AU135" s="56">
        <f t="shared" si="42"/>
        <v>39.58620678529752</v>
      </c>
      <c r="AV135" s="56">
        <f t="shared" si="42"/>
        <v>57.954559612205074</v>
      </c>
      <c r="AW135" s="56">
        <f t="shared" si="42"/>
        <v>116.85200299544037</v>
      </c>
      <c r="AX135" s="56">
        <f t="shared" si="42"/>
        <v>117.38854605346322</v>
      </c>
      <c r="AY135" s="56">
        <f t="shared" si="42"/>
        <v>46.726822093805708</v>
      </c>
      <c r="AZ135" s="56">
        <f t="shared" si="42"/>
        <v>13.214002377207123</v>
      </c>
      <c r="BA135" s="56">
        <f t="shared" si="42"/>
        <v>15.416196555144893</v>
      </c>
      <c r="BB135" s="56">
        <f t="shared" si="42"/>
        <v>16.819578237732344</v>
      </c>
      <c r="BC135" s="56">
        <f t="shared" si="42"/>
        <v>94.838461117822987</v>
      </c>
      <c r="BD135" s="56">
        <f t="shared" si="42"/>
        <v>91.984642406401321</v>
      </c>
    </row>
  </sheetData>
  <mergeCells count="7">
    <mergeCell ref="C124:C130"/>
    <mergeCell ref="C3:C7"/>
    <mergeCell ref="C34:C51"/>
    <mergeCell ref="C54:C72"/>
    <mergeCell ref="C75:C92"/>
    <mergeCell ref="C95:C109"/>
    <mergeCell ref="C113:C119"/>
  </mergeCells>
  <conditionalFormatting sqref="E25:L25 E92:BD93 E95:BD95 E97:BD97">
    <cfRule type="expression" dxfId="106" priority="1080">
      <formula>IF(E$3=TODAY()-WEEKDAY(TODAY())+7,TRUE,FALSE)</formula>
    </cfRule>
  </conditionalFormatting>
  <conditionalFormatting sqref="E9:M9">
    <cfRule type="expression" dxfId="105" priority="1078">
      <formula>IF(E$3=TODAY()-WEEKDAY(TODAY())+7,TRUE,FALSE)</formula>
    </cfRule>
  </conditionalFormatting>
  <conditionalFormatting sqref="E50:L50">
    <cfRule type="expression" dxfId="104" priority="1076">
      <formula>IF(E$3=TODAY()-WEEKDAY(TODAY())+7,TRUE,FALSE)</formula>
    </cfRule>
  </conditionalFormatting>
  <conditionalFormatting sqref="E47:L47">
    <cfRule type="expression" dxfId="103" priority="1077">
      <formula>IF(E$3=TODAY()-WEEKDAY(TODAY())+7,TRUE,FALSE)</formula>
    </cfRule>
  </conditionalFormatting>
  <conditionalFormatting sqref="E68:L68">
    <cfRule type="expression" dxfId="102" priority="1075">
      <formula>IF(E$3=TODAY()-WEEKDAY(TODAY())+7,TRUE,FALSE)</formula>
    </cfRule>
  </conditionalFormatting>
  <conditionalFormatting sqref="E71:L71">
    <cfRule type="expression" dxfId="101" priority="1074">
      <formula>IF(E$3=TODAY()-WEEKDAY(TODAY())+7,TRUE,FALSE)</formula>
    </cfRule>
  </conditionalFormatting>
  <conditionalFormatting sqref="E88:BD88">
    <cfRule type="expression" dxfId="100" priority="1073">
      <formula>IF(E$3=TODAY()-WEEKDAY(TODAY())+7,TRUE,FALSE)</formula>
    </cfRule>
  </conditionalFormatting>
  <conditionalFormatting sqref="E91:L91">
    <cfRule type="expression" dxfId="99" priority="1072">
      <formula>IF(E$3=TODAY()-WEEKDAY(TODAY())+7,TRUE,FALSE)</formula>
    </cfRule>
  </conditionalFormatting>
  <conditionalFormatting sqref="E133:L133">
    <cfRule type="expression" dxfId="98" priority="1070">
      <formula>IF(E$3=TODAY()-WEEKDAY(TODAY())+7,TRUE,FALSE)</formula>
    </cfRule>
  </conditionalFormatting>
  <conditionalFormatting sqref="E134:L134">
    <cfRule type="expression" dxfId="97" priority="1069">
      <formula>IF(E$3=TODAY()-WEEKDAY(TODAY())+7,TRUE,FALSE)</formula>
    </cfRule>
  </conditionalFormatting>
  <conditionalFormatting sqref="E135:L135">
    <cfRule type="expression" dxfId="96" priority="1068">
      <formula>IF(E$3=TODAY()-WEEKDAY(TODAY())+7,TRUE,FALSE)</formula>
    </cfRule>
  </conditionalFormatting>
  <conditionalFormatting sqref="E72:L72">
    <cfRule type="expression" dxfId="95" priority="1067">
      <formula>IF(E$3=TODAY()-WEEKDAY(TODAY())+7,TRUE,FALSE)</formula>
    </cfRule>
  </conditionalFormatting>
  <conditionalFormatting sqref="E51:L51">
    <cfRule type="expression" dxfId="94" priority="1066">
      <formula>IF(E$3=TODAY()-WEEKDAY(TODAY())+7,TRUE,FALSE)</formula>
    </cfRule>
  </conditionalFormatting>
  <conditionalFormatting sqref="E29:L29">
    <cfRule type="expression" dxfId="93" priority="1065">
      <formula>IF(E$3=TODAY()-WEEKDAY(TODAY())+7,TRUE,FALSE)</formula>
    </cfRule>
  </conditionalFormatting>
  <conditionalFormatting sqref="E30:BD30">
    <cfRule type="expression" dxfId="92" priority="1064">
      <formula>IF(E$3=TODAY()-WEEKDAY(TODAY())+7,TRUE,FALSE)</formula>
    </cfRule>
  </conditionalFormatting>
  <conditionalFormatting sqref="M25:BD25">
    <cfRule type="expression" dxfId="91" priority="1061">
      <formula>IF(M$3=TODAY()-WEEKDAY(TODAY())+7,TRUE,FALSE)</formula>
    </cfRule>
  </conditionalFormatting>
  <conditionalFormatting sqref="M29:BD29">
    <cfRule type="expression" dxfId="90" priority="1058">
      <formula>IF(M$3=TODAY()-WEEKDAY(TODAY())+7,TRUE,FALSE)</formula>
    </cfRule>
  </conditionalFormatting>
  <conditionalFormatting sqref="M47:BD47">
    <cfRule type="expression" dxfId="89" priority="1055">
      <formula>IF(M$3=TODAY()-WEEKDAY(TODAY())+7,TRUE,FALSE)</formula>
    </cfRule>
  </conditionalFormatting>
  <conditionalFormatting sqref="M51:BD51">
    <cfRule type="expression" dxfId="88" priority="1053">
      <formula>IF(M$3=TODAY()-WEEKDAY(TODAY())+7,TRUE,FALSE)</formula>
    </cfRule>
  </conditionalFormatting>
  <conditionalFormatting sqref="M50:BD50">
    <cfRule type="expression" dxfId="87" priority="1054">
      <formula>IF(M$3=TODAY()-WEEKDAY(TODAY())+7,TRUE,FALSE)</formula>
    </cfRule>
  </conditionalFormatting>
  <conditionalFormatting sqref="M68:BD68">
    <cfRule type="expression" dxfId="86" priority="1049">
      <formula>IF(M$3=TODAY()-WEEKDAY(TODAY())+7,TRUE,FALSE)</formula>
    </cfRule>
  </conditionalFormatting>
  <conditionalFormatting sqref="M72:BD72">
    <cfRule type="expression" dxfId="85" priority="1047">
      <formula>IF(M$3=TODAY()-WEEKDAY(TODAY())+7,TRUE,FALSE)</formula>
    </cfRule>
  </conditionalFormatting>
  <conditionalFormatting sqref="M71:BD71">
    <cfRule type="expression" dxfId="84" priority="1048">
      <formula>IF(M$3=TODAY()-WEEKDAY(TODAY())+7,TRUE,FALSE)</formula>
    </cfRule>
  </conditionalFormatting>
  <conditionalFormatting sqref="M91:BD91">
    <cfRule type="expression" dxfId="83" priority="1044">
      <formula>IF(M$3=TODAY()-WEEKDAY(TODAY())+7,TRUE,FALSE)</formula>
    </cfRule>
  </conditionalFormatting>
  <conditionalFormatting sqref="M133:BD133">
    <cfRule type="expression" dxfId="82" priority="1042">
      <formula>IF(M$3=TODAY()-WEEKDAY(TODAY())+7,TRUE,FALSE)</formula>
    </cfRule>
  </conditionalFormatting>
  <conditionalFormatting sqref="M134:BD134">
    <cfRule type="expression" dxfId="81" priority="1041">
      <formula>IF(M$3=TODAY()-WEEKDAY(TODAY())+7,TRUE,FALSE)</formula>
    </cfRule>
  </conditionalFormatting>
  <conditionalFormatting sqref="M135:BD135">
    <cfRule type="expression" dxfId="80" priority="1040">
      <formula>IF(M$3=TODAY()-WEEKDAY(TODAY())+7,TRUE,FALSE)</formula>
    </cfRule>
  </conditionalFormatting>
  <conditionalFormatting sqref="E113:BD119">
    <cfRule type="expression" dxfId="79" priority="1020">
      <formula>IF(E$3=TODAY()-WEEKDAY(TODAY())+7,TRUE,FALSE)</formula>
    </cfRule>
  </conditionalFormatting>
  <conditionalFormatting sqref="F113">
    <cfRule type="expression" dxfId="78" priority="1019">
      <formula>IF(F$3=TODAY()-WEEKDAY(TODAY())+7,TRUE,FALSE)</formula>
    </cfRule>
  </conditionalFormatting>
  <conditionalFormatting sqref="F2:BD2">
    <cfRule type="expression" dxfId="77" priority="1017">
      <formula>IF(F$3=TODAY()-WEEKDAY(TODAY())+7,TRUE,FALSE)</formula>
    </cfRule>
  </conditionalFormatting>
  <conditionalFormatting sqref="E2">
    <cfRule type="expression" dxfId="76" priority="1018">
      <formula>IF(E$3=TODAY()-WEEKDAY(TODAY())+7,TRUE,FALSE)</formula>
    </cfRule>
  </conditionalFormatting>
  <conditionalFormatting sqref="F111:BD111">
    <cfRule type="expression" dxfId="75" priority="1009">
      <formula>IF(F$3=TODAY()-WEEKDAY(TODAY())+7,TRUE,FALSE)</formula>
    </cfRule>
  </conditionalFormatting>
  <conditionalFormatting sqref="E33">
    <cfRule type="expression" dxfId="74" priority="1016">
      <formula>IF(E$3=TODAY()-WEEKDAY(TODAY())+7,TRUE,FALSE)</formula>
    </cfRule>
  </conditionalFormatting>
  <conditionalFormatting sqref="F33:BD33">
    <cfRule type="expression" dxfId="73" priority="1015">
      <formula>IF(F$3=TODAY()-WEEKDAY(TODAY())+7,TRUE,FALSE)</formula>
    </cfRule>
  </conditionalFormatting>
  <conditionalFormatting sqref="E53">
    <cfRule type="expression" dxfId="72" priority="1014">
      <formula>IF(E$3=TODAY()-WEEKDAY(TODAY())+7,TRUE,FALSE)</formula>
    </cfRule>
  </conditionalFormatting>
  <conditionalFormatting sqref="F53:BD53">
    <cfRule type="expression" dxfId="71" priority="1013">
      <formula>IF(F$3=TODAY()-WEEKDAY(TODAY())+7,TRUE,FALSE)</formula>
    </cfRule>
  </conditionalFormatting>
  <conditionalFormatting sqref="E74">
    <cfRule type="expression" dxfId="70" priority="1012">
      <formula>IF(E$3=TODAY()-WEEKDAY(TODAY())+7,TRUE,FALSE)</formula>
    </cfRule>
  </conditionalFormatting>
  <conditionalFormatting sqref="F74:BD74">
    <cfRule type="expression" dxfId="69" priority="1011">
      <formula>IF(F$3=TODAY()-WEEKDAY(TODAY())+7,TRUE,FALSE)</formula>
    </cfRule>
  </conditionalFormatting>
  <conditionalFormatting sqref="E111">
    <cfRule type="expression" dxfId="68" priority="1010">
      <formula>IF(E$3=TODAY()-WEEKDAY(TODAY())+7,TRUE,FALSE)</formula>
    </cfRule>
  </conditionalFormatting>
  <conditionalFormatting sqref="E94:BD94">
    <cfRule type="expression" dxfId="67" priority="1007">
      <formula>IF(E$3=TODAY()-WEEKDAY(TODAY())+7,TRUE,FALSE)</formula>
    </cfRule>
  </conditionalFormatting>
  <conditionalFormatting sqref="F94:BD94">
    <cfRule type="expression" dxfId="66" priority="1006">
      <formula>IF(F$3=TODAY()-WEEKDAY(TODAY())+7,TRUE,FALSE)</formula>
    </cfRule>
  </conditionalFormatting>
  <conditionalFormatting sqref="E105:BD105">
    <cfRule type="expression" dxfId="65" priority="1004">
      <formula>IF(E$3=TODAY()-WEEKDAY(TODAY())+7,TRUE,FALSE)</formula>
    </cfRule>
  </conditionalFormatting>
  <conditionalFormatting sqref="E108:BD108">
    <cfRule type="expression" dxfId="64" priority="1003">
      <formula>IF(E$3=TODAY()-WEEKDAY(TODAY())+7,TRUE,FALSE)</formula>
    </cfRule>
  </conditionalFormatting>
  <conditionalFormatting sqref="E109:L109">
    <cfRule type="expression" dxfId="63" priority="1002">
      <formula>IF(E$3=TODAY()-WEEKDAY(TODAY())+7,TRUE,FALSE)</formula>
    </cfRule>
  </conditionalFormatting>
  <conditionalFormatting sqref="M109:BD109">
    <cfRule type="expression" dxfId="62" priority="1001">
      <formula>IF(M$3=TODAY()-WEEKDAY(TODAY())+7,TRUE,FALSE)</formula>
    </cfRule>
  </conditionalFormatting>
  <conditionalFormatting sqref="E28:BD28">
    <cfRule type="cellIs" dxfId="61" priority="936" operator="greaterThan">
      <formula>0</formula>
    </cfRule>
    <cfRule type="cellIs" dxfId="60" priority="937" operator="lessThan">
      <formula>0</formula>
    </cfRule>
  </conditionalFormatting>
  <conditionalFormatting sqref="E3:BD3">
    <cfRule type="expression" dxfId="59" priority="45">
      <formula>IF(E$3=TODAY()-WEEKDAY(TODAY())+7,TRUE,FALSE)</formula>
    </cfRule>
  </conditionalFormatting>
  <conditionalFormatting sqref="E4:BD4">
    <cfRule type="expression" dxfId="58" priority="44">
      <formula>IF(E$3=TODAY()-WEEKDAY(TODAY())+7,TRUE,FALSE)</formula>
    </cfRule>
  </conditionalFormatting>
  <conditionalFormatting sqref="E5:BD5">
    <cfRule type="expression" dxfId="57" priority="43">
      <formula>IF(E$3=TODAY()-WEEKDAY(TODAY())+7,TRUE,FALSE)</formula>
    </cfRule>
  </conditionalFormatting>
  <conditionalFormatting sqref="E6:BD6">
    <cfRule type="expression" dxfId="56" priority="42">
      <formula>IF(E$3=TODAY()-WEEKDAY(TODAY())+7,TRUE,FALSE)</formula>
    </cfRule>
  </conditionalFormatting>
  <conditionalFormatting sqref="E10:BD16">
    <cfRule type="expression" dxfId="55" priority="41">
      <formula>IF(E$3=TODAY()-WEEKDAY(TODAY())+7,TRUE,FALSE)</formula>
    </cfRule>
  </conditionalFormatting>
  <conditionalFormatting sqref="E18:BD24">
    <cfRule type="cellIs" dxfId="54" priority="39" operator="lessThan">
      <formula>0</formula>
    </cfRule>
  </conditionalFormatting>
  <conditionalFormatting sqref="E18:BD24">
    <cfRule type="expression" dxfId="53" priority="40">
      <formula>IF(E$3=TODAY()-WEEKDAY(TODAY())+7,TRUE,FALSE)</formula>
    </cfRule>
  </conditionalFormatting>
  <conditionalFormatting sqref="E26:BD26">
    <cfRule type="expression" dxfId="52" priority="38">
      <formula>IF(E$3=TODAY()-WEEKDAY(TODAY())+7,TRUE,FALSE)</formula>
    </cfRule>
  </conditionalFormatting>
  <conditionalFormatting sqref="E27:BD27">
    <cfRule type="cellIs" dxfId="51" priority="36" operator="greaterThan">
      <formula>0</formula>
    </cfRule>
    <cfRule type="cellIs" dxfId="50" priority="37" operator="lessThan">
      <formula>0</formula>
    </cfRule>
  </conditionalFormatting>
  <conditionalFormatting sqref="E34:BD34">
    <cfRule type="expression" dxfId="49" priority="35">
      <formula>IF(E$3=TODAY()-WEEKDAY(TODAY())+7,TRUE,FALSE)</formula>
    </cfRule>
  </conditionalFormatting>
  <conditionalFormatting sqref="E35:BD35">
    <cfRule type="expression" dxfId="48" priority="34">
      <formula>IF(E$3=TODAY()-WEEKDAY(TODAY())+7,TRUE,FALSE)</formula>
    </cfRule>
  </conditionalFormatting>
  <conditionalFormatting sqref="E36:BD36">
    <cfRule type="expression" dxfId="47" priority="33">
      <formula>IF(E$3=TODAY()-WEEKDAY(TODAY())+7,TRUE,FALSE)</formula>
    </cfRule>
  </conditionalFormatting>
  <conditionalFormatting sqref="E37:BD37">
    <cfRule type="expression" dxfId="46" priority="32">
      <formula>IF(E$3=TODAY()-WEEKDAY(TODAY())+7,TRUE,FALSE)</formula>
    </cfRule>
  </conditionalFormatting>
  <conditionalFormatting sqref="E40:BD46">
    <cfRule type="cellIs" dxfId="45" priority="30" operator="lessThan">
      <formula>0</formula>
    </cfRule>
  </conditionalFormatting>
  <conditionalFormatting sqref="E40:BD46">
    <cfRule type="expression" dxfId="44" priority="31">
      <formula>IF(E$3=TODAY()-WEEKDAY(TODAY())+7,TRUE,FALSE)</formula>
    </cfRule>
  </conditionalFormatting>
  <conditionalFormatting sqref="E48:BD48">
    <cfRule type="expression" dxfId="43" priority="29">
      <formula>IF(E$3=TODAY()-WEEKDAY(TODAY())+7,TRUE,FALSE)</formula>
    </cfRule>
  </conditionalFormatting>
  <conditionalFormatting sqref="E49:BD49">
    <cfRule type="cellIs" dxfId="42" priority="27" operator="greaterThan">
      <formula>0</formula>
    </cfRule>
    <cfRule type="cellIs" dxfId="41" priority="28" operator="lessThan">
      <formula>0</formula>
    </cfRule>
  </conditionalFormatting>
  <conditionalFormatting sqref="E58:BD58">
    <cfRule type="expression" dxfId="40" priority="26">
      <formula>IF(E$3=TODAY()-WEEKDAY(TODAY())+7,TRUE,FALSE)</formula>
    </cfRule>
  </conditionalFormatting>
  <conditionalFormatting sqref="E54:BD54">
    <cfRule type="expression" dxfId="39" priority="25">
      <formula>IF(E$3=TODAY()-WEEKDAY(TODAY())+7,TRUE,FALSE)</formula>
    </cfRule>
  </conditionalFormatting>
  <conditionalFormatting sqref="E55:BD55">
    <cfRule type="expression" dxfId="38" priority="24">
      <formula>IF(E$3=TODAY()-WEEKDAY(TODAY())+7,TRUE,FALSE)</formula>
    </cfRule>
  </conditionalFormatting>
  <conditionalFormatting sqref="E56:BD56">
    <cfRule type="expression" dxfId="37" priority="23">
      <formula>IF(E$3=TODAY()-WEEKDAY(TODAY())+7,TRUE,FALSE)</formula>
    </cfRule>
  </conditionalFormatting>
  <conditionalFormatting sqref="E57:BD57">
    <cfRule type="expression" dxfId="36" priority="22">
      <formula>IF(E$3=TODAY()-WEEKDAY(TODAY())+7,TRUE,FALSE)</formula>
    </cfRule>
  </conditionalFormatting>
  <conditionalFormatting sqref="E61:BD67">
    <cfRule type="cellIs" dxfId="35" priority="20" operator="lessThan">
      <formula>0</formula>
    </cfRule>
  </conditionalFormatting>
  <conditionalFormatting sqref="E61:BD67">
    <cfRule type="expression" dxfId="34" priority="21">
      <formula>IF(E$3=TODAY()-WEEKDAY(TODAY())+7,TRUE,FALSE)</formula>
    </cfRule>
  </conditionalFormatting>
  <conditionalFormatting sqref="E69:BD69">
    <cfRule type="expression" dxfId="33" priority="19">
      <formula>IF(E$3=TODAY()-WEEKDAY(TODAY())+7,TRUE,FALSE)</formula>
    </cfRule>
  </conditionalFormatting>
  <conditionalFormatting sqref="E70:BD70">
    <cfRule type="cellIs" dxfId="32" priority="17" operator="greaterThan">
      <formula>0</formula>
    </cfRule>
    <cfRule type="cellIs" dxfId="31" priority="18" operator="lessThan">
      <formula>0</formula>
    </cfRule>
  </conditionalFormatting>
  <conditionalFormatting sqref="E75:BD75">
    <cfRule type="expression" dxfId="30" priority="16">
      <formula>IF(E$3=TODAY()-WEEKDAY(TODAY())+7,TRUE,FALSE)</formula>
    </cfRule>
  </conditionalFormatting>
  <conditionalFormatting sqref="E76:BD76">
    <cfRule type="expression" dxfId="29" priority="15">
      <formula>IF(E$3=TODAY()-WEEKDAY(TODAY())+7,TRUE,FALSE)</formula>
    </cfRule>
  </conditionalFormatting>
  <conditionalFormatting sqref="E77:BD77">
    <cfRule type="expression" dxfId="28" priority="14">
      <formula>IF(E$3=TODAY()-WEEKDAY(TODAY())+7,TRUE,FALSE)</formula>
    </cfRule>
  </conditionalFormatting>
  <conditionalFormatting sqref="E78:BD78">
    <cfRule type="expression" dxfId="27" priority="13">
      <formula>IF(E$3=TODAY()-WEEKDAY(TODAY())+7,TRUE,FALSE)</formula>
    </cfRule>
  </conditionalFormatting>
  <conditionalFormatting sqref="E81:BD87">
    <cfRule type="cellIs" dxfId="26" priority="11" operator="lessThan">
      <formula>0</formula>
    </cfRule>
  </conditionalFormatting>
  <conditionalFormatting sqref="E81:BD87">
    <cfRule type="expression" dxfId="25" priority="12">
      <formula>IF(E$3=TODAY()-WEEKDAY(TODAY())+7,TRUE,FALSE)</formula>
    </cfRule>
  </conditionalFormatting>
  <conditionalFormatting sqref="E89:BD89">
    <cfRule type="expression" dxfId="24" priority="10">
      <formula>IF(E$3=TODAY()-WEEKDAY(TODAY())+7,TRUE,FALSE)</formula>
    </cfRule>
  </conditionalFormatting>
  <conditionalFormatting sqref="E90:BD90">
    <cfRule type="cellIs" dxfId="23" priority="8" operator="greaterThan">
      <formula>0</formula>
    </cfRule>
    <cfRule type="cellIs" dxfId="22" priority="9" operator="lessThan">
      <formula>0</formula>
    </cfRule>
  </conditionalFormatting>
  <conditionalFormatting sqref="E96:BD96">
    <cfRule type="expression" dxfId="21" priority="7">
      <formula>IF(E$3=TODAY()-WEEKDAY(TODAY())+7,TRUE,FALSE)</formula>
    </cfRule>
  </conditionalFormatting>
  <conditionalFormatting sqref="E98:BD104">
    <cfRule type="expression" dxfId="20" priority="6">
      <formula>IF(E$3=TODAY()-WEEKDAY(TODAY())+7,TRUE,FALSE)</formula>
    </cfRule>
  </conditionalFormatting>
  <conditionalFormatting sqref="E106:BD106">
    <cfRule type="expression" dxfId="19" priority="5">
      <formula>IF(E$3=TODAY()-WEEKDAY(TODAY())+7,TRUE,FALSE)</formula>
    </cfRule>
  </conditionalFormatting>
  <conditionalFormatting sqref="E107:BD107">
    <cfRule type="cellIs" dxfId="18" priority="3" operator="greaterThan">
      <formula>0</formula>
    </cfRule>
    <cfRule type="cellIs" dxfId="17" priority="4" operator="lessThan">
      <formula>0</formula>
    </cfRule>
  </conditionalFormatting>
  <conditionalFormatting sqref="E132:L132">
    <cfRule type="expression" dxfId="16" priority="2">
      <formula>IF(E$3=TODAY()-WEEKDAY(TODAY())+7,TRUE,FALSE)</formula>
    </cfRule>
  </conditionalFormatting>
  <conditionalFormatting sqref="M132:BD132">
    <cfRule type="expression" dxfId="15" priority="1">
      <formula>IF(M$3=TODAY()-WEEKDAY(TODAY())+7,TRUE,FALSE)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393A7-EBB9-4799-B2AA-556EDEAF981D}">
  <sheetPr codeName="Sheet10">
    <tabColor theme="4" tint="0.59999389629810485"/>
  </sheetPr>
  <dimension ref="A2:BD13"/>
  <sheetViews>
    <sheetView showGridLines="0" workbookViewId="0">
      <pane xSplit="4" ySplit="2" topLeftCell="W3" activePane="bottomRight" state="frozen"/>
      <selection pane="topRight" activeCell="E1" sqref="E1"/>
      <selection pane="bottomLeft" activeCell="A3" sqref="A3"/>
      <selection pane="bottomRight" activeCell="Z9" sqref="Z9"/>
    </sheetView>
  </sheetViews>
  <sheetFormatPr defaultRowHeight="15" x14ac:dyDescent="0.25"/>
  <cols>
    <col min="1" max="1" width="9.7109375" bestFit="1" customWidth="1"/>
    <col min="4" max="4" width="12.140625" style="41" bestFit="1" customWidth="1"/>
    <col min="5" max="22" width="0" hidden="1" customWidth="1"/>
  </cols>
  <sheetData>
    <row r="2" spans="1:56" ht="26.25" x14ac:dyDescent="0.4">
      <c r="C2" s="6"/>
      <c r="D2" s="47" t="s">
        <v>32</v>
      </c>
      <c r="E2" s="82">
        <v>44569</v>
      </c>
      <c r="F2" s="82">
        <f>E2+7</f>
        <v>44576</v>
      </c>
      <c r="G2" s="82">
        <f t="shared" ref="G2:BD2" si="0">F2+7</f>
        <v>44583</v>
      </c>
      <c r="H2" s="82">
        <f t="shared" si="0"/>
        <v>44590</v>
      </c>
      <c r="I2" s="82">
        <f t="shared" si="0"/>
        <v>44597</v>
      </c>
      <c r="J2" s="82">
        <f t="shared" si="0"/>
        <v>44604</v>
      </c>
      <c r="K2" s="82">
        <f t="shared" si="0"/>
        <v>44611</v>
      </c>
      <c r="L2" s="82">
        <f t="shared" si="0"/>
        <v>44618</v>
      </c>
      <c r="M2" s="82">
        <f t="shared" si="0"/>
        <v>44625</v>
      </c>
      <c r="N2" s="82">
        <f t="shared" si="0"/>
        <v>44632</v>
      </c>
      <c r="O2" s="82">
        <f t="shared" si="0"/>
        <v>44639</v>
      </c>
      <c r="P2" s="82">
        <f t="shared" si="0"/>
        <v>44646</v>
      </c>
      <c r="Q2" s="82">
        <f t="shared" si="0"/>
        <v>44653</v>
      </c>
      <c r="R2" s="82">
        <f t="shared" si="0"/>
        <v>44660</v>
      </c>
      <c r="S2" s="82">
        <f t="shared" si="0"/>
        <v>44667</v>
      </c>
      <c r="T2" s="82">
        <f t="shared" si="0"/>
        <v>44674</v>
      </c>
      <c r="U2" s="82">
        <f t="shared" si="0"/>
        <v>44681</v>
      </c>
      <c r="V2" s="82">
        <f t="shared" si="0"/>
        <v>44688</v>
      </c>
      <c r="W2" s="82">
        <f t="shared" si="0"/>
        <v>44695</v>
      </c>
      <c r="X2" s="82">
        <f t="shared" si="0"/>
        <v>44702</v>
      </c>
      <c r="Y2" s="82">
        <f t="shared" si="0"/>
        <v>44709</v>
      </c>
      <c r="Z2" s="82">
        <f t="shared" si="0"/>
        <v>44716</v>
      </c>
      <c r="AA2" s="82">
        <f t="shared" si="0"/>
        <v>44723</v>
      </c>
      <c r="AB2" s="82">
        <f t="shared" si="0"/>
        <v>44730</v>
      </c>
      <c r="AC2" s="82">
        <f t="shared" si="0"/>
        <v>44737</v>
      </c>
      <c r="AD2" s="82">
        <f t="shared" si="0"/>
        <v>44744</v>
      </c>
      <c r="AE2" s="82">
        <f t="shared" si="0"/>
        <v>44751</v>
      </c>
      <c r="AF2" s="82">
        <f t="shared" si="0"/>
        <v>44758</v>
      </c>
      <c r="AG2" s="82">
        <f t="shared" si="0"/>
        <v>44765</v>
      </c>
      <c r="AH2" s="82">
        <f t="shared" si="0"/>
        <v>44772</v>
      </c>
      <c r="AI2" s="82">
        <f t="shared" si="0"/>
        <v>44779</v>
      </c>
      <c r="AJ2" s="82">
        <f t="shared" si="0"/>
        <v>44786</v>
      </c>
      <c r="AK2" s="82">
        <f t="shared" si="0"/>
        <v>44793</v>
      </c>
      <c r="AL2" s="82">
        <f t="shared" si="0"/>
        <v>44800</v>
      </c>
      <c r="AM2" s="82">
        <f t="shared" si="0"/>
        <v>44807</v>
      </c>
      <c r="AN2" s="82">
        <f t="shared" si="0"/>
        <v>44814</v>
      </c>
      <c r="AO2" s="82">
        <f t="shared" si="0"/>
        <v>44821</v>
      </c>
      <c r="AP2" s="82">
        <f t="shared" si="0"/>
        <v>44828</v>
      </c>
      <c r="AQ2" s="82">
        <f t="shared" si="0"/>
        <v>44835</v>
      </c>
      <c r="AR2" s="82">
        <f t="shared" si="0"/>
        <v>44842</v>
      </c>
      <c r="AS2" s="82">
        <f t="shared" si="0"/>
        <v>44849</v>
      </c>
      <c r="AT2" s="82">
        <f t="shared" si="0"/>
        <v>44856</v>
      </c>
      <c r="AU2" s="82">
        <f t="shared" si="0"/>
        <v>44863</v>
      </c>
      <c r="AV2" s="82">
        <f t="shared" si="0"/>
        <v>44870</v>
      </c>
      <c r="AW2" s="82">
        <f t="shared" si="0"/>
        <v>44877</v>
      </c>
      <c r="AX2" s="82">
        <f t="shared" si="0"/>
        <v>44884</v>
      </c>
      <c r="AY2" s="82">
        <f t="shared" si="0"/>
        <v>44891</v>
      </c>
      <c r="AZ2" s="82">
        <f t="shared" si="0"/>
        <v>44898</v>
      </c>
      <c r="BA2" s="82">
        <f t="shared" si="0"/>
        <v>44905</v>
      </c>
      <c r="BB2" s="82">
        <f t="shared" si="0"/>
        <v>44912</v>
      </c>
      <c r="BC2" s="82">
        <f t="shared" si="0"/>
        <v>44919</v>
      </c>
      <c r="BD2" s="82">
        <f t="shared" si="0"/>
        <v>44926</v>
      </c>
    </row>
    <row r="3" spans="1:56" x14ac:dyDescent="0.25">
      <c r="D3" s="41" t="s">
        <v>18</v>
      </c>
      <c r="E3" s="83" t="str">
        <f>IF(SUM(EsteeFTEChan!E7,LauderFTEChan!E7)=0,"",SUM(EsteeFTEChan!E7,LauderFTEChan!E7))</f>
        <v/>
      </c>
      <c r="F3" s="83" t="str">
        <f>IF(SUM(EsteeFTEChan!F7,LauderFTEChan!F7)=0,"",SUM(EsteeFTEChan!F7,LauderFTEChan!F7))</f>
        <v/>
      </c>
      <c r="G3" s="83" t="str">
        <f>IF(SUM(EsteeFTEChan!G7,LauderFTEChan!G7)=0,"",SUM(EsteeFTEChan!G7,LauderFTEChan!G7))</f>
        <v/>
      </c>
      <c r="H3" s="83" t="str">
        <f>IF(SUM(EsteeFTEChan!H7,LauderFTEChan!H7)=0,"",SUM(EsteeFTEChan!H7,LauderFTEChan!H7))</f>
        <v/>
      </c>
      <c r="I3" s="83" t="str">
        <f>IF(SUM(EsteeFTEChan!I7,LauderFTEChan!I7)=0,"",SUM(EsteeFTEChan!I7,LauderFTEChan!I7))</f>
        <v/>
      </c>
      <c r="J3" s="83" t="str">
        <f>IF(SUM(EsteeFTEChan!J7,LauderFTEChan!J7)=0,"",SUM(EsteeFTEChan!J7,LauderFTEChan!J7))</f>
        <v/>
      </c>
      <c r="K3" s="83" t="str">
        <f>IF(SUM(EsteeFTEChan!K7,LauderFTEChan!K7)=0,"",SUM(EsteeFTEChan!K7,LauderFTEChan!K7))</f>
        <v/>
      </c>
      <c r="L3" s="83" t="str">
        <f>IF(SUM(EsteeFTEChan!L7,LauderFTEChan!L7)=0,"",SUM(EsteeFTEChan!L7,LauderFTEChan!L7))</f>
        <v/>
      </c>
      <c r="M3" s="83" t="str">
        <f>IF(SUM(EsteeFTEChan!M7,LauderFTEChan!M7)=0,"",SUM(EsteeFTEChan!M7,LauderFTEChan!M7))</f>
        <v/>
      </c>
      <c r="N3" s="83" t="str">
        <f>IF(SUM(EsteeFTEChan!N7,LauderFTEChan!N7)=0,"",SUM(EsteeFTEChan!N7,LauderFTEChan!N7))</f>
        <v/>
      </c>
      <c r="O3" s="83" t="str">
        <f>IF(SUM(EsteeFTEChan!O7,LauderFTEChan!O7)=0,"",SUM(EsteeFTEChan!O7,LauderFTEChan!O7))</f>
        <v/>
      </c>
      <c r="P3" s="83" t="str">
        <f>IF(SUM(EsteeFTEChan!P7,LauderFTEChan!P7)=0,"",SUM(EsteeFTEChan!P7,LauderFTEChan!P7))</f>
        <v/>
      </c>
      <c r="Q3" s="83" t="str">
        <f>IF(SUM(EsteeFTEChan!Q7,LauderFTEChan!Q7)=0,"",SUM(EsteeFTEChan!Q7,LauderFTEChan!Q7))</f>
        <v/>
      </c>
      <c r="R3" s="83" t="str">
        <f>IF(SUM(EsteeFTEChan!R7,LauderFTEChan!R7)=0,"",SUM(EsteeFTEChan!R7,LauderFTEChan!R7))</f>
        <v/>
      </c>
      <c r="S3" s="83" t="str">
        <f>IF(SUM(EsteeFTEChan!S7,LauderFTEChan!S7)=0,"",SUM(EsteeFTEChan!S7,LauderFTEChan!S7))</f>
        <v/>
      </c>
      <c r="T3" s="83" t="str">
        <f>IF(SUM(EsteeFTEChan!T7,LauderFTEChan!T7)=0,"",SUM(EsteeFTEChan!T7,LauderFTEChan!T7))</f>
        <v/>
      </c>
      <c r="U3" s="83" t="str">
        <f>IF(SUM(EsteeFTEChan!U7,LauderFTEChan!U7)=0,"",SUM(EsteeFTEChan!U7,LauderFTEChan!U7))</f>
        <v/>
      </c>
      <c r="V3" s="83" t="str">
        <f>IF(SUM(EsteeFTEChan!V7,LauderFTEChan!V7)=0,"",SUM(EsteeFTEChan!V7,LauderFTEChan!V7))</f>
        <v/>
      </c>
      <c r="W3" s="83" t="str">
        <f>IF(SUM(EsteeFTEChan!W7,LauderFTEChan!W7)=0,"",SUM(EsteeFTEChan!W7,LauderFTEChan!W7))</f>
        <v/>
      </c>
      <c r="X3" s="83" t="str">
        <f>IF(SUM(EsteeFTEChan!X7,LauderFTEChan!X7)=0,"",SUM(EsteeFTEChan!X7,LauderFTEChan!X7))</f>
        <v/>
      </c>
      <c r="Y3" s="83" t="str">
        <f>IF(SUM(EsteeFTEChan!Y7,LauderFTEChan!Y7)=0,"",SUM(EsteeFTEChan!Y7,LauderFTEChan!Y7))</f>
        <v/>
      </c>
      <c r="Z3" s="83" t="str">
        <f>IF(SUM(EsteeFTEChan!Z7,LauderFTEChan!Z7)=0,"",SUM(EsteeFTEChan!Z7,LauderFTEChan!Z7))</f>
        <v/>
      </c>
      <c r="AA3" s="83" t="str">
        <f>IF(SUM(EsteeFTEChan!AA7,LauderFTEChan!AA7)=0,"",SUM(EsteeFTEChan!AA7,LauderFTEChan!AA7))</f>
        <v/>
      </c>
      <c r="AB3" s="83" t="str">
        <f>IF(SUM(EsteeFTEChan!AB7,LauderFTEChan!AB7)=0,"",SUM(EsteeFTEChan!AB7,LauderFTEChan!AB7))</f>
        <v/>
      </c>
      <c r="AC3" s="83" t="str">
        <f>IF(SUM(EsteeFTEChan!AC7,LauderFTEChan!AC7)=0,"",SUM(EsteeFTEChan!AC7,LauderFTEChan!AC7))</f>
        <v/>
      </c>
      <c r="AD3" s="83" t="str">
        <f>IF(SUM(EsteeFTEChan!AD7,LauderFTEChan!AD7)=0,"",SUM(EsteeFTEChan!AD7,LauderFTEChan!AD7))</f>
        <v/>
      </c>
      <c r="AE3" s="83" t="str">
        <f>IF(SUM(EsteeFTEChan!AE7,LauderFTEChan!AE7)=0,"",SUM(EsteeFTEChan!AE7,LauderFTEChan!AE7))</f>
        <v/>
      </c>
      <c r="AF3" s="83" t="str">
        <f>IF(SUM(EsteeFTEChan!AF7,LauderFTEChan!AF7)=0,"",SUM(EsteeFTEChan!AF7,LauderFTEChan!AF7))</f>
        <v/>
      </c>
      <c r="AG3" s="83" t="str">
        <f>IF(SUM(EsteeFTEChan!AG7,LauderFTEChan!AG7)=0,"",SUM(EsteeFTEChan!AG7,LauderFTEChan!AG7))</f>
        <v/>
      </c>
      <c r="AH3" s="83" t="str">
        <f>IF(SUM(EsteeFTEChan!AH7,LauderFTEChan!AH7)=0,"",SUM(EsteeFTEChan!AH7,LauderFTEChan!AH7))</f>
        <v/>
      </c>
      <c r="AI3" s="83" t="str">
        <f>IF(SUM(EsteeFTEChan!AI7,LauderFTEChan!AI7)=0,"",SUM(EsteeFTEChan!AI7,LauderFTEChan!AI7))</f>
        <v/>
      </c>
      <c r="AJ3" s="83" t="str">
        <f>IF(SUM(EsteeFTEChan!AJ7,LauderFTEChan!AJ7)=0,"",SUM(EsteeFTEChan!AJ7,LauderFTEChan!AJ7))</f>
        <v/>
      </c>
      <c r="AK3" s="83" t="str">
        <f>IF(SUM(EsteeFTEChan!AK7,LauderFTEChan!AK7)=0,"",SUM(EsteeFTEChan!AK7,LauderFTEChan!AK7))</f>
        <v/>
      </c>
      <c r="AL3" s="83" t="str">
        <f>IF(SUM(EsteeFTEChan!AL7,LauderFTEChan!AL7)=0,"",SUM(EsteeFTEChan!AL7,LauderFTEChan!AL7))</f>
        <v/>
      </c>
      <c r="AM3" s="83" t="str">
        <f>IF(SUM(EsteeFTEChan!AM7,LauderFTEChan!AM7)=0,"",SUM(EsteeFTEChan!AM7,LauderFTEChan!AM7))</f>
        <v/>
      </c>
      <c r="AN3" s="83" t="str">
        <f>IF(SUM(EsteeFTEChan!AN7,LauderFTEChan!AN7)=0,"",SUM(EsteeFTEChan!AN7,LauderFTEChan!AN7))</f>
        <v/>
      </c>
      <c r="AO3" s="83" t="str">
        <f>IF(SUM(EsteeFTEChan!AO7,LauderFTEChan!AO7)=0,"",SUM(EsteeFTEChan!AO7,LauderFTEChan!AO7))</f>
        <v/>
      </c>
      <c r="AP3" s="83" t="str">
        <f>IF(SUM(EsteeFTEChan!AP7,LauderFTEChan!AP7)=0,"",SUM(EsteeFTEChan!AP7,LauderFTEChan!AP7))</f>
        <v/>
      </c>
      <c r="AQ3" s="83" t="str">
        <f>IF(SUM(EsteeFTEChan!AQ7,LauderFTEChan!AQ7)=0,"",SUM(EsteeFTEChan!AQ7,LauderFTEChan!AQ7))</f>
        <v/>
      </c>
      <c r="AR3" s="83" t="str">
        <f>IF(SUM(EsteeFTEChan!AR7,LauderFTEChan!AR7)=0,"",SUM(EsteeFTEChan!AR7,LauderFTEChan!AR7))</f>
        <v/>
      </c>
      <c r="AS3" s="83" t="str">
        <f>IF(SUM(EsteeFTEChan!AS7,LauderFTEChan!AS7)=0,"",SUM(EsteeFTEChan!AS7,LauderFTEChan!AS7))</f>
        <v/>
      </c>
      <c r="AT3" s="83" t="str">
        <f>IF(SUM(EsteeFTEChan!AT7,LauderFTEChan!AT7)=0,"",SUM(EsteeFTEChan!AT7,LauderFTEChan!AT7))</f>
        <v/>
      </c>
      <c r="AU3" s="83" t="str">
        <f>IF(SUM(EsteeFTEChan!AU7,LauderFTEChan!AU7)=0,"",SUM(EsteeFTEChan!AU7,LauderFTEChan!AU7))</f>
        <v/>
      </c>
      <c r="AV3" s="83" t="str">
        <f>IF(SUM(EsteeFTEChan!AV7,LauderFTEChan!AV7)=0,"",SUM(EsteeFTEChan!AV7,LauderFTEChan!AV7))</f>
        <v/>
      </c>
      <c r="AW3" s="83" t="str">
        <f>IF(SUM(EsteeFTEChan!AW7,LauderFTEChan!AW7)=0,"",SUM(EsteeFTEChan!AW7,LauderFTEChan!AW7))</f>
        <v/>
      </c>
      <c r="AX3" s="83" t="str">
        <f>IF(SUM(EsteeFTEChan!AX7,LauderFTEChan!AX7)=0,"",SUM(EsteeFTEChan!AX7,LauderFTEChan!AX7))</f>
        <v/>
      </c>
      <c r="AY3" s="83" t="str">
        <f>IF(SUM(EsteeFTEChan!AY7,LauderFTEChan!AY7)=0,"",SUM(EsteeFTEChan!AY7,LauderFTEChan!AY7))</f>
        <v/>
      </c>
      <c r="AZ3" s="83" t="str">
        <f>IF(SUM(EsteeFTEChan!AZ7,LauderFTEChan!AZ7)=0,"",SUM(EsteeFTEChan!AZ7,LauderFTEChan!AZ7))</f>
        <v/>
      </c>
      <c r="BA3" s="83" t="str">
        <f>IF(SUM(EsteeFTEChan!BA7,LauderFTEChan!BA7)=0,"",SUM(EsteeFTEChan!BA7,LauderFTEChan!BA7))</f>
        <v/>
      </c>
      <c r="BB3" s="83" t="str">
        <f>IF(SUM(EsteeFTEChan!BB7,LauderFTEChan!BB7)=0,"",SUM(EsteeFTEChan!BB7,LauderFTEChan!BB7))</f>
        <v/>
      </c>
      <c r="BC3" s="83" t="str">
        <f>IF(SUM(EsteeFTEChan!BC7,LauderFTEChan!BC7)=0,"",SUM(EsteeFTEChan!BC7,LauderFTEChan!BC7))</f>
        <v/>
      </c>
      <c r="BD3" s="83" t="str">
        <f>IF(SUM(EsteeFTEChan!BD7,LauderFTEChan!BD7)=0,"",SUM(EsteeFTEChan!BD7,LauderFTEChan!BD7))</f>
        <v/>
      </c>
    </row>
    <row r="4" spans="1:56" x14ac:dyDescent="0.25">
      <c r="D4" s="41" t="s">
        <v>20</v>
      </c>
      <c r="E4" s="83" t="str">
        <f>IF(SUM(EsteeFTEChan!E40,LauderFTEChan!E38)=0,"",SUM(EsteeFTEChan!E40,LauderFTEChan!E38))</f>
        <v/>
      </c>
      <c r="F4" s="83" t="str">
        <f>IF(SUM(EsteeFTEChan!F40,LauderFTEChan!F38)=0,"",SUM(EsteeFTEChan!F40,LauderFTEChan!F38))</f>
        <v/>
      </c>
      <c r="G4" s="83" t="str">
        <f>IF(SUM(EsteeFTEChan!G40,LauderFTEChan!G38)=0,"",SUM(EsteeFTEChan!G40,LauderFTEChan!G38))</f>
        <v/>
      </c>
      <c r="H4" s="83" t="str">
        <f>IF(SUM(EsteeFTEChan!H40,LauderFTEChan!H38)=0,"",SUM(EsteeFTEChan!H40,LauderFTEChan!H38))</f>
        <v/>
      </c>
      <c r="I4" s="83" t="str">
        <f>IF(SUM(EsteeFTEChan!I40,LauderFTEChan!I38)=0,"",SUM(EsteeFTEChan!I40,LauderFTEChan!I38))</f>
        <v/>
      </c>
      <c r="J4" s="83" t="str">
        <f>IF(SUM(EsteeFTEChan!J40,LauderFTEChan!J38)=0,"",SUM(EsteeFTEChan!J40,LauderFTEChan!J38))</f>
        <v/>
      </c>
      <c r="K4" s="83" t="str">
        <f>IF(SUM(EsteeFTEChan!K40,LauderFTEChan!K38)=0,"",SUM(EsteeFTEChan!K40,LauderFTEChan!K38))</f>
        <v/>
      </c>
      <c r="L4" s="83" t="str">
        <f>IF(SUM(EsteeFTEChan!L40,LauderFTEChan!L38)=0,"",SUM(EsteeFTEChan!L40,LauderFTEChan!L38))</f>
        <v/>
      </c>
      <c r="M4" s="83" t="str">
        <f>IF(SUM(EsteeFTEChan!M40,LauderFTEChan!M38)=0,"",SUM(EsteeFTEChan!M40,LauderFTEChan!M38))</f>
        <v/>
      </c>
      <c r="N4" s="83" t="str">
        <f>IF(SUM(EsteeFTEChan!N40,LauderFTEChan!N38)=0,"",SUM(EsteeFTEChan!N40,LauderFTEChan!N38))</f>
        <v/>
      </c>
      <c r="O4" s="83" t="str">
        <f>IF(SUM(EsteeFTEChan!O40,LauderFTEChan!O38)=0,"",SUM(EsteeFTEChan!O40,LauderFTEChan!O38))</f>
        <v/>
      </c>
      <c r="P4" s="83" t="str">
        <f>IF(SUM(EsteeFTEChan!P40,LauderFTEChan!P38)=0,"",SUM(EsteeFTEChan!P40,LauderFTEChan!P38))</f>
        <v/>
      </c>
      <c r="Q4" s="83" t="str">
        <f>IF(SUM(EsteeFTEChan!Q40,LauderFTEChan!Q38)=0,"",SUM(EsteeFTEChan!Q40,LauderFTEChan!Q38))</f>
        <v/>
      </c>
      <c r="R4" s="83" t="str">
        <f>IF(SUM(EsteeFTEChan!R40,LauderFTEChan!R38)=0,"",SUM(EsteeFTEChan!R40,LauderFTEChan!R38))</f>
        <v/>
      </c>
      <c r="S4" s="83" t="str">
        <f>IF(SUM(EsteeFTEChan!S40,LauderFTEChan!S38)=0,"",SUM(EsteeFTEChan!S40,LauderFTEChan!S38))</f>
        <v/>
      </c>
      <c r="T4" s="83" t="str">
        <f>IF(SUM(EsteeFTEChan!T40,LauderFTEChan!T38)=0,"",SUM(EsteeFTEChan!T40,LauderFTEChan!T38))</f>
        <v/>
      </c>
      <c r="U4" s="83" t="str">
        <f>IF(SUM(EsteeFTEChan!U40,LauderFTEChan!U38)=0,"",SUM(EsteeFTEChan!U40,LauderFTEChan!U38))</f>
        <v/>
      </c>
      <c r="V4" s="83" t="str">
        <f>IF(SUM(EsteeFTEChan!V40,LauderFTEChan!V38)=0,"",SUM(EsteeFTEChan!V40,LauderFTEChan!V38))</f>
        <v/>
      </c>
      <c r="W4" s="83" t="str">
        <f>IF(SUM(EsteeFTEChan!W40,LauderFTEChan!W38)=0,"",SUM(EsteeFTEChan!W40,LauderFTEChan!W38))</f>
        <v/>
      </c>
      <c r="X4" s="83" t="str">
        <f>IF(SUM(EsteeFTEChan!X40,LauderFTEChan!X38)=0,"",SUM(EsteeFTEChan!X40,LauderFTEChan!X38))</f>
        <v/>
      </c>
      <c r="Y4" s="83" t="str">
        <f>IF(SUM(EsteeFTEChan!Y40,LauderFTEChan!Y38)=0,"",SUM(EsteeFTEChan!Y40,LauderFTEChan!Y38))</f>
        <v/>
      </c>
      <c r="Z4" s="83" t="str">
        <f>IF(SUM(EsteeFTEChan!Z40,LauderFTEChan!Z38)=0,"",SUM(EsteeFTEChan!Z40,LauderFTEChan!Z38))</f>
        <v/>
      </c>
      <c r="AA4" s="83" t="str">
        <f>IF(SUM(EsteeFTEChan!AA40,LauderFTEChan!AA38)=0,"",SUM(EsteeFTEChan!AA40,LauderFTEChan!AA38))</f>
        <v/>
      </c>
      <c r="AB4" s="83" t="str">
        <f>IF(SUM(EsteeFTEChan!AB40,LauderFTEChan!AB38)=0,"",SUM(EsteeFTEChan!AB40,LauderFTEChan!AB38))</f>
        <v/>
      </c>
      <c r="AC4" s="83" t="str">
        <f>IF(SUM(EsteeFTEChan!AC40,LauderFTEChan!AC38)=0,"",SUM(EsteeFTEChan!AC40,LauderFTEChan!AC38))</f>
        <v/>
      </c>
      <c r="AD4" s="83" t="str">
        <f>IF(SUM(EsteeFTEChan!AD40,LauderFTEChan!AD38)=0,"",SUM(EsteeFTEChan!AD40,LauderFTEChan!AD38))</f>
        <v/>
      </c>
      <c r="AE4" s="83" t="str">
        <f>IF(SUM(EsteeFTEChan!AE40,LauderFTEChan!AE38)=0,"",SUM(EsteeFTEChan!AE40,LauderFTEChan!AE38))</f>
        <v/>
      </c>
      <c r="AF4" s="83" t="str">
        <f>IF(SUM(EsteeFTEChan!AF40,LauderFTEChan!AF38)=0,"",SUM(EsteeFTEChan!AF40,LauderFTEChan!AF38))</f>
        <v/>
      </c>
      <c r="AG4" s="83" t="str">
        <f>IF(SUM(EsteeFTEChan!AG40,LauderFTEChan!AG38)=0,"",SUM(EsteeFTEChan!AG40,LauderFTEChan!AG38))</f>
        <v/>
      </c>
      <c r="AH4" s="83" t="str">
        <f>IF(SUM(EsteeFTEChan!AH40,LauderFTEChan!AH38)=0,"",SUM(EsteeFTEChan!AH40,LauderFTEChan!AH38))</f>
        <v/>
      </c>
      <c r="AI4" s="83" t="str">
        <f>IF(SUM(EsteeFTEChan!AI40,LauderFTEChan!AI38)=0,"",SUM(EsteeFTEChan!AI40,LauderFTEChan!AI38))</f>
        <v/>
      </c>
      <c r="AJ4" s="83" t="str">
        <f>IF(SUM(EsteeFTEChan!AJ40,LauderFTEChan!AJ38)=0,"",SUM(EsteeFTEChan!AJ40,LauderFTEChan!AJ38))</f>
        <v/>
      </c>
      <c r="AK4" s="83" t="str">
        <f>IF(SUM(EsteeFTEChan!AK40,LauderFTEChan!AK38)=0,"",SUM(EsteeFTEChan!AK40,LauderFTEChan!AK38))</f>
        <v/>
      </c>
      <c r="AL4" s="83" t="str">
        <f>IF(SUM(EsteeFTEChan!AL40,LauderFTEChan!AL38)=0,"",SUM(EsteeFTEChan!AL40,LauderFTEChan!AL38))</f>
        <v/>
      </c>
      <c r="AM4" s="83" t="str">
        <f>IF(SUM(EsteeFTEChan!AM40,LauderFTEChan!AM38)=0,"",SUM(EsteeFTEChan!AM40,LauderFTEChan!AM38))</f>
        <v/>
      </c>
      <c r="AN4" s="83" t="str">
        <f>IF(SUM(EsteeFTEChan!AN40,LauderFTEChan!AN38)=0,"",SUM(EsteeFTEChan!AN40,LauderFTEChan!AN38))</f>
        <v/>
      </c>
      <c r="AO4" s="83" t="str">
        <f>IF(SUM(EsteeFTEChan!AO40,LauderFTEChan!AO38)=0,"",SUM(EsteeFTEChan!AO40,LauderFTEChan!AO38))</f>
        <v/>
      </c>
      <c r="AP4" s="83" t="str">
        <f>IF(SUM(EsteeFTEChan!AP40,LauderFTEChan!AP38)=0,"",SUM(EsteeFTEChan!AP40,LauderFTEChan!AP38))</f>
        <v/>
      </c>
      <c r="AQ4" s="83" t="str">
        <f>IF(SUM(EsteeFTEChan!AQ40,LauderFTEChan!AQ38)=0,"",SUM(EsteeFTEChan!AQ40,LauderFTEChan!AQ38))</f>
        <v/>
      </c>
      <c r="AR4" s="83" t="str">
        <f>IF(SUM(EsteeFTEChan!AR40,LauderFTEChan!AR38)=0,"",SUM(EsteeFTEChan!AR40,LauderFTEChan!AR38))</f>
        <v/>
      </c>
      <c r="AS4" s="83" t="str">
        <f>IF(SUM(EsteeFTEChan!AS40,LauderFTEChan!AS38)=0,"",SUM(EsteeFTEChan!AS40,LauderFTEChan!AS38))</f>
        <v/>
      </c>
      <c r="AT4" s="83" t="str">
        <f>IF(SUM(EsteeFTEChan!AT40,LauderFTEChan!AT38)=0,"",SUM(EsteeFTEChan!AT40,LauderFTEChan!AT38))</f>
        <v/>
      </c>
      <c r="AU4" s="83" t="str">
        <f>IF(SUM(EsteeFTEChan!AU40,LauderFTEChan!AU38)=0,"",SUM(EsteeFTEChan!AU40,LauderFTEChan!AU38))</f>
        <v/>
      </c>
      <c r="AV4" s="83" t="str">
        <f>IF(SUM(EsteeFTEChan!AV40,LauderFTEChan!AV38)=0,"",SUM(EsteeFTEChan!AV40,LauderFTEChan!AV38))</f>
        <v/>
      </c>
      <c r="AW4" s="83" t="str">
        <f>IF(SUM(EsteeFTEChan!AW40,LauderFTEChan!AW38)=0,"",SUM(EsteeFTEChan!AW40,LauderFTEChan!AW38))</f>
        <v/>
      </c>
      <c r="AX4" s="83" t="str">
        <f>IF(SUM(EsteeFTEChan!AX40,LauderFTEChan!AX38)=0,"",SUM(EsteeFTEChan!AX40,LauderFTEChan!AX38))</f>
        <v/>
      </c>
      <c r="AY4" s="83" t="str">
        <f>IF(SUM(EsteeFTEChan!AY40,LauderFTEChan!AY38)=0,"",SUM(EsteeFTEChan!AY40,LauderFTEChan!AY38))</f>
        <v/>
      </c>
      <c r="AZ4" s="83" t="str">
        <f>IF(SUM(EsteeFTEChan!AZ40,LauderFTEChan!AZ38)=0,"",SUM(EsteeFTEChan!AZ40,LauderFTEChan!AZ38))</f>
        <v/>
      </c>
      <c r="BA4" s="83" t="str">
        <f>IF(SUM(EsteeFTEChan!BA40,LauderFTEChan!BA38)=0,"",SUM(EsteeFTEChan!BA40,LauderFTEChan!BA38))</f>
        <v/>
      </c>
      <c r="BB4" s="83" t="str">
        <f>IF(SUM(EsteeFTEChan!BB40,LauderFTEChan!BB38)=0,"",SUM(EsteeFTEChan!BB40,LauderFTEChan!BB38))</f>
        <v/>
      </c>
      <c r="BC4" s="83" t="str">
        <f>IF(SUM(EsteeFTEChan!BC40,LauderFTEChan!BC38)=0,"",SUM(EsteeFTEChan!BC40,LauderFTEChan!BC38))</f>
        <v/>
      </c>
      <c r="BD4" s="83" t="str">
        <f>IF(SUM(EsteeFTEChan!BD40,LauderFTEChan!BD38)=0,"",SUM(EsteeFTEChan!BD40,LauderFTEChan!BD38))</f>
        <v/>
      </c>
    </row>
    <row r="5" spans="1:56" x14ac:dyDescent="0.25">
      <c r="D5" s="41" t="s">
        <v>19</v>
      </c>
      <c r="E5" s="83" t="str">
        <f>IF(SUM(EsteeFTEChan!E62,LauderFTEChan!E59)=0,"",SUM(EsteeFTEChan!E62,LauderFTEChan!E59))</f>
        <v/>
      </c>
      <c r="F5" s="83" t="str">
        <f>IF(SUM(EsteeFTEChan!F62,LauderFTEChan!F59)=0,"",SUM(EsteeFTEChan!F62,LauderFTEChan!F59))</f>
        <v/>
      </c>
      <c r="G5" s="83" t="str">
        <f>IF(SUM(EsteeFTEChan!G62,LauderFTEChan!G59)=0,"",SUM(EsteeFTEChan!G62,LauderFTEChan!G59))</f>
        <v/>
      </c>
      <c r="H5" s="83" t="str">
        <f>IF(SUM(EsteeFTEChan!H62,LauderFTEChan!H59)=0,"",SUM(EsteeFTEChan!H62,LauderFTEChan!H59))</f>
        <v/>
      </c>
      <c r="I5" s="83" t="str">
        <f>IF(SUM(EsteeFTEChan!I62,LauderFTEChan!I59)=0,"",SUM(EsteeFTEChan!I62,LauderFTEChan!I59))</f>
        <v/>
      </c>
      <c r="J5" s="83" t="str">
        <f>IF(SUM(EsteeFTEChan!J62,LauderFTEChan!J59)=0,"",SUM(EsteeFTEChan!J62,LauderFTEChan!J59))</f>
        <v/>
      </c>
      <c r="K5" s="83" t="str">
        <f>IF(SUM(EsteeFTEChan!K62,LauderFTEChan!K59)=0,"",SUM(EsteeFTEChan!K62,LauderFTEChan!K59))</f>
        <v/>
      </c>
      <c r="L5" s="83" t="str">
        <f>IF(SUM(EsteeFTEChan!L62,LauderFTEChan!L59)=0,"",SUM(EsteeFTEChan!L62,LauderFTEChan!L59))</f>
        <v/>
      </c>
      <c r="M5" s="83" t="str">
        <f>IF(SUM(EsteeFTEChan!M62,LauderFTEChan!M59)=0,"",SUM(EsteeFTEChan!M62,LauderFTEChan!M59))</f>
        <v/>
      </c>
      <c r="N5" s="83" t="str">
        <f>IF(SUM(EsteeFTEChan!N62,LauderFTEChan!N59)=0,"",SUM(EsteeFTEChan!N62,LauderFTEChan!N59))</f>
        <v/>
      </c>
      <c r="O5" s="83" t="str">
        <f>IF(SUM(EsteeFTEChan!O62,LauderFTEChan!O59)=0,"",SUM(EsteeFTEChan!O62,LauderFTEChan!O59))</f>
        <v/>
      </c>
      <c r="P5" s="83" t="str">
        <f>IF(SUM(EsteeFTEChan!P62,LauderFTEChan!P59)=0,"",SUM(EsteeFTEChan!P62,LauderFTEChan!P59))</f>
        <v/>
      </c>
      <c r="Q5" s="83" t="str">
        <f>IF(SUM(EsteeFTEChan!Q62,LauderFTEChan!Q59)=0,"",SUM(EsteeFTEChan!Q62,LauderFTEChan!Q59))</f>
        <v/>
      </c>
      <c r="R5" s="83" t="str">
        <f>IF(SUM(EsteeFTEChan!R62,LauderFTEChan!R59)=0,"",SUM(EsteeFTEChan!R62,LauderFTEChan!R59))</f>
        <v/>
      </c>
      <c r="S5" s="83" t="str">
        <f>IF(SUM(EsteeFTEChan!S62,LauderFTEChan!S59)=0,"",SUM(EsteeFTEChan!S62,LauderFTEChan!S59))</f>
        <v/>
      </c>
      <c r="T5" s="83" t="str">
        <f>IF(SUM(EsteeFTEChan!T62,LauderFTEChan!T59)=0,"",SUM(EsteeFTEChan!T62,LauderFTEChan!T59))</f>
        <v/>
      </c>
      <c r="U5" s="83" t="str">
        <f>IF(SUM(EsteeFTEChan!U62,LauderFTEChan!U59)=0,"",SUM(EsteeFTEChan!U62,LauderFTEChan!U59))</f>
        <v/>
      </c>
      <c r="V5" s="83" t="str">
        <f>IF(SUM(EsteeFTEChan!V62,LauderFTEChan!V59)=0,"",SUM(EsteeFTEChan!V62,LauderFTEChan!V59))</f>
        <v/>
      </c>
      <c r="W5" s="83" t="str">
        <f>IF(SUM(EsteeFTEChan!W62,LauderFTEChan!W59)=0,"",SUM(EsteeFTEChan!W62,LauderFTEChan!W59))</f>
        <v/>
      </c>
      <c r="X5" s="83" t="str">
        <f>IF(SUM(EsteeFTEChan!X62,LauderFTEChan!X59)=0,"",SUM(EsteeFTEChan!X62,LauderFTEChan!X59))</f>
        <v/>
      </c>
      <c r="Y5" s="83">
        <f>IF(SUM(EsteeFTEChan!Y62,LauderFTEChan!Y59)=0,"",SUM(EsteeFTEChan!Y62,LauderFTEChan!Y59))</f>
        <v>-4.6800176366843118</v>
      </c>
      <c r="Z5" s="83" t="str">
        <f>IF(SUM(EsteeFTEChan!Z62,LauderFTEChan!Z59)=0,"",SUM(EsteeFTEChan!Z62,LauderFTEChan!Z59))</f>
        <v/>
      </c>
      <c r="AA5" s="83" t="str">
        <f>IF(SUM(EsteeFTEChan!AA62,LauderFTEChan!AA59)=0,"",SUM(EsteeFTEChan!AA62,LauderFTEChan!AA59))</f>
        <v/>
      </c>
      <c r="AB5" s="83" t="str">
        <f>IF(SUM(EsteeFTEChan!AB62,LauderFTEChan!AB59)=0,"",SUM(EsteeFTEChan!AB62,LauderFTEChan!AB59))</f>
        <v/>
      </c>
      <c r="AC5" s="83" t="str">
        <f>IF(SUM(EsteeFTEChan!AC62,LauderFTEChan!AC59)=0,"",SUM(EsteeFTEChan!AC62,LauderFTEChan!AC59))</f>
        <v/>
      </c>
      <c r="AD5" s="83" t="str">
        <f>IF(SUM(EsteeFTEChan!AD62,LauderFTEChan!AD59)=0,"",SUM(EsteeFTEChan!AD62,LauderFTEChan!AD59))</f>
        <v/>
      </c>
      <c r="AE5" s="83" t="str">
        <f>IF(SUM(EsteeFTEChan!AE62,LauderFTEChan!AE59)=0,"",SUM(EsteeFTEChan!AE62,LauderFTEChan!AE59))</f>
        <v/>
      </c>
      <c r="AF5" s="83" t="str">
        <f>IF(SUM(EsteeFTEChan!AF62,LauderFTEChan!AF59)=0,"",SUM(EsteeFTEChan!AF62,LauderFTEChan!AF59))</f>
        <v/>
      </c>
      <c r="AG5" s="83" t="str">
        <f>IF(SUM(EsteeFTEChan!AG62,LauderFTEChan!AG59)=0,"",SUM(EsteeFTEChan!AG62,LauderFTEChan!AG59))</f>
        <v/>
      </c>
      <c r="AH5" s="83" t="str">
        <f>IF(SUM(EsteeFTEChan!AH62,LauderFTEChan!AH59)=0,"",SUM(EsteeFTEChan!AH62,LauderFTEChan!AH59))</f>
        <v/>
      </c>
      <c r="AI5" s="83" t="str">
        <f>IF(SUM(EsteeFTEChan!AI62,LauderFTEChan!AI59)=0,"",SUM(EsteeFTEChan!AI62,LauderFTEChan!AI59))</f>
        <v/>
      </c>
      <c r="AJ5" s="83" t="str">
        <f>IF(SUM(EsteeFTEChan!AJ62,LauderFTEChan!AJ59)=0,"",SUM(EsteeFTEChan!AJ62,LauderFTEChan!AJ59))</f>
        <v/>
      </c>
      <c r="AK5" s="83" t="str">
        <f>IF(SUM(EsteeFTEChan!AK62,LauderFTEChan!AK59)=0,"",SUM(EsteeFTEChan!AK62,LauderFTEChan!AK59))</f>
        <v/>
      </c>
      <c r="AL5" s="83" t="str">
        <f>IF(SUM(EsteeFTEChan!AL62,LauderFTEChan!AL59)=0,"",SUM(EsteeFTEChan!AL62,LauderFTEChan!AL59))</f>
        <v/>
      </c>
      <c r="AM5" s="83" t="str">
        <f>IF(SUM(EsteeFTEChan!AM62,LauderFTEChan!AM59)=0,"",SUM(EsteeFTEChan!AM62,LauderFTEChan!AM59))</f>
        <v/>
      </c>
      <c r="AN5" s="83" t="str">
        <f>IF(SUM(EsteeFTEChan!AN62,LauderFTEChan!AN59)=0,"",SUM(EsteeFTEChan!AN62,LauderFTEChan!AN59))</f>
        <v/>
      </c>
      <c r="AO5" s="83" t="str">
        <f>IF(SUM(EsteeFTEChan!AO62,LauderFTEChan!AO59)=0,"",SUM(EsteeFTEChan!AO62,LauderFTEChan!AO59))</f>
        <v/>
      </c>
      <c r="AP5" s="83" t="str">
        <f>IF(SUM(EsteeFTEChan!AP62,LauderFTEChan!AP59)=0,"",SUM(EsteeFTEChan!AP62,LauderFTEChan!AP59))</f>
        <v/>
      </c>
      <c r="AQ5" s="83" t="str">
        <f>IF(SUM(EsteeFTEChan!AQ62,LauderFTEChan!AQ59)=0,"",SUM(EsteeFTEChan!AQ62,LauderFTEChan!AQ59))</f>
        <v/>
      </c>
      <c r="AR5" s="83" t="str">
        <f>IF(SUM(EsteeFTEChan!AR62,LauderFTEChan!AR59)=0,"",SUM(EsteeFTEChan!AR62,LauderFTEChan!AR59))</f>
        <v/>
      </c>
      <c r="AS5" s="83" t="str">
        <f>IF(SUM(EsteeFTEChan!AS62,LauderFTEChan!AS59)=0,"",SUM(EsteeFTEChan!AS62,LauderFTEChan!AS59))</f>
        <v/>
      </c>
      <c r="AT5" s="83" t="str">
        <f>IF(SUM(EsteeFTEChan!AT62,LauderFTEChan!AT59)=0,"",SUM(EsteeFTEChan!AT62,LauderFTEChan!AT59))</f>
        <v/>
      </c>
      <c r="AU5" s="83" t="str">
        <f>IF(SUM(EsteeFTEChan!AU62,LauderFTEChan!AU59)=0,"",SUM(EsteeFTEChan!AU62,LauderFTEChan!AU59))</f>
        <v/>
      </c>
      <c r="AV5" s="83" t="str">
        <f>IF(SUM(EsteeFTEChan!AV62,LauderFTEChan!AV59)=0,"",SUM(EsteeFTEChan!AV62,LauderFTEChan!AV59))</f>
        <v/>
      </c>
      <c r="AW5" s="83" t="str">
        <f>IF(SUM(EsteeFTEChan!AW62,LauderFTEChan!AW59)=0,"",SUM(EsteeFTEChan!AW62,LauderFTEChan!AW59))</f>
        <v/>
      </c>
      <c r="AX5" s="83" t="str">
        <f>IF(SUM(EsteeFTEChan!AX62,LauderFTEChan!AX59)=0,"",SUM(EsteeFTEChan!AX62,LauderFTEChan!AX59))</f>
        <v/>
      </c>
      <c r="AY5" s="83" t="str">
        <f>IF(SUM(EsteeFTEChan!AY62,LauderFTEChan!AY59)=0,"",SUM(EsteeFTEChan!AY62,LauderFTEChan!AY59))</f>
        <v/>
      </c>
      <c r="AZ5" s="83" t="str">
        <f>IF(SUM(EsteeFTEChan!AZ62,LauderFTEChan!AZ59)=0,"",SUM(EsteeFTEChan!AZ62,LauderFTEChan!AZ59))</f>
        <v/>
      </c>
      <c r="BA5" s="83" t="str">
        <f>IF(SUM(EsteeFTEChan!BA62,LauderFTEChan!BA59)=0,"",SUM(EsteeFTEChan!BA62,LauderFTEChan!BA59))</f>
        <v/>
      </c>
      <c r="BB5" s="83" t="str">
        <f>IF(SUM(EsteeFTEChan!BB62,LauderFTEChan!BB59)=0,"",SUM(EsteeFTEChan!BB62,LauderFTEChan!BB59))</f>
        <v/>
      </c>
      <c r="BC5" s="83" t="str">
        <f>IF(SUM(EsteeFTEChan!BC62,LauderFTEChan!BC59)=0,"",SUM(EsteeFTEChan!BC62,LauderFTEChan!BC59))</f>
        <v/>
      </c>
      <c r="BD5" s="83" t="str">
        <f>IF(SUM(EsteeFTEChan!BD62,LauderFTEChan!BD59)=0,"",SUM(EsteeFTEChan!BD62,LauderFTEChan!BD59))</f>
        <v/>
      </c>
    </row>
    <row r="6" spans="1:56" x14ac:dyDescent="0.25">
      <c r="D6" s="41" t="s">
        <v>25</v>
      </c>
      <c r="E6" s="83" t="str">
        <f>IF(SUM(EsteeFTEChan!E85,LauderFTEChan!E79)=0,"",SUM(EsteeFTEChan!E85,LauderFTEChan!E79))</f>
        <v/>
      </c>
      <c r="F6" s="83" t="str">
        <f>IF(SUM(EsteeFTEChan!F85,LauderFTEChan!F79)=0,"",SUM(EsteeFTEChan!F85,LauderFTEChan!F79))</f>
        <v/>
      </c>
      <c r="G6" s="83" t="str">
        <f>IF(SUM(EsteeFTEChan!G85,LauderFTEChan!G79)=0,"",SUM(EsteeFTEChan!G85,LauderFTEChan!G79))</f>
        <v/>
      </c>
      <c r="H6" s="83" t="str">
        <f>IF(SUM(EsteeFTEChan!H85,LauderFTEChan!H79)=0,"",SUM(EsteeFTEChan!H85,LauderFTEChan!H79))</f>
        <v/>
      </c>
      <c r="I6" s="83" t="str">
        <f>IF(SUM(EsteeFTEChan!I85,LauderFTEChan!I79)=0,"",SUM(EsteeFTEChan!I85,LauderFTEChan!I79))</f>
        <v/>
      </c>
      <c r="J6" s="83" t="str">
        <f>IF(SUM(EsteeFTEChan!J85,LauderFTEChan!J79)=0,"",SUM(EsteeFTEChan!J85,LauderFTEChan!J79))</f>
        <v/>
      </c>
      <c r="K6" s="83" t="str">
        <f>IF(SUM(EsteeFTEChan!K85,LauderFTEChan!K79)=0,"",SUM(EsteeFTEChan!K85,LauderFTEChan!K79))</f>
        <v/>
      </c>
      <c r="L6" s="83" t="str">
        <f>IF(SUM(EsteeFTEChan!L85,LauderFTEChan!L79)=0,"",SUM(EsteeFTEChan!L85,LauderFTEChan!L79))</f>
        <v/>
      </c>
      <c r="M6" s="83" t="str">
        <f>IF(SUM(EsteeFTEChan!M85,LauderFTEChan!M79)=0,"",SUM(EsteeFTEChan!M85,LauderFTEChan!M79))</f>
        <v/>
      </c>
      <c r="N6" s="83" t="str">
        <f>IF(SUM(EsteeFTEChan!N85,LauderFTEChan!N79)=0,"",SUM(EsteeFTEChan!N85,LauderFTEChan!N79))</f>
        <v/>
      </c>
      <c r="O6" s="83" t="str">
        <f>IF(SUM(EsteeFTEChan!O85,LauderFTEChan!O79)=0,"",SUM(EsteeFTEChan!O85,LauderFTEChan!O79))</f>
        <v/>
      </c>
      <c r="P6" s="83" t="str">
        <f>IF(SUM(EsteeFTEChan!P85,LauderFTEChan!P79)=0,"",SUM(EsteeFTEChan!P85,LauderFTEChan!P79))</f>
        <v/>
      </c>
      <c r="Q6" s="83" t="str">
        <f>IF(SUM(EsteeFTEChan!Q85,LauderFTEChan!Q79)=0,"",SUM(EsteeFTEChan!Q85,LauderFTEChan!Q79))</f>
        <v/>
      </c>
      <c r="R6" s="83" t="str">
        <f>IF(SUM(EsteeFTEChan!R85,LauderFTEChan!R79)=0,"",SUM(EsteeFTEChan!R85,LauderFTEChan!R79))</f>
        <v/>
      </c>
      <c r="S6" s="83" t="str">
        <f>IF(SUM(EsteeFTEChan!S85,LauderFTEChan!S79)=0,"",SUM(EsteeFTEChan!S85,LauderFTEChan!S79))</f>
        <v/>
      </c>
      <c r="T6" s="83" t="str">
        <f>IF(SUM(EsteeFTEChan!T85,LauderFTEChan!T79)=0,"",SUM(EsteeFTEChan!T85,LauderFTEChan!T79))</f>
        <v/>
      </c>
      <c r="U6" s="83" t="str">
        <f>IF(SUM(EsteeFTEChan!U85,LauderFTEChan!U79)=0,"",SUM(EsteeFTEChan!U85,LauderFTEChan!U79))</f>
        <v/>
      </c>
      <c r="V6" s="83" t="str">
        <f>IF(SUM(EsteeFTEChan!V85,LauderFTEChan!V79)=0,"",SUM(EsteeFTEChan!V85,LauderFTEChan!V79))</f>
        <v/>
      </c>
      <c r="W6" s="83" t="str">
        <f>IF(SUM(EsteeFTEChan!W85,LauderFTEChan!W79)=0,"",SUM(EsteeFTEChan!W85,LauderFTEChan!W79))</f>
        <v/>
      </c>
      <c r="X6" s="83" t="str">
        <f>IF(SUM(EsteeFTEChan!X85,LauderFTEChan!X79)=0,"",SUM(EsteeFTEChan!X85,LauderFTEChan!X79))</f>
        <v/>
      </c>
      <c r="Y6" s="83">
        <f>IF(SUM(EsteeFTEChan!Y85,LauderFTEChan!Y79)=0,"",SUM(EsteeFTEChan!Y85,LauderFTEChan!Y79))</f>
        <v>-1.4117152523402545</v>
      </c>
      <c r="Z6" s="83" t="str">
        <f>IF(SUM(EsteeFTEChan!Z85,LauderFTEChan!Z79)=0,"",SUM(EsteeFTEChan!Z85,LauderFTEChan!Z79))</f>
        <v/>
      </c>
      <c r="AA6" s="83" t="str">
        <f>IF(SUM(EsteeFTEChan!AA85,LauderFTEChan!AA79)=0,"",SUM(EsteeFTEChan!AA85,LauderFTEChan!AA79))</f>
        <v/>
      </c>
      <c r="AB6" s="83" t="str">
        <f>IF(SUM(EsteeFTEChan!AB85,LauderFTEChan!AB79)=0,"",SUM(EsteeFTEChan!AB85,LauderFTEChan!AB79))</f>
        <v/>
      </c>
      <c r="AC6" s="83" t="str">
        <f>IF(SUM(EsteeFTEChan!AC85,LauderFTEChan!AC79)=0,"",SUM(EsteeFTEChan!AC85,LauderFTEChan!AC79))</f>
        <v/>
      </c>
      <c r="AD6" s="83" t="str">
        <f>IF(SUM(EsteeFTEChan!AD85,LauderFTEChan!AD79)=0,"",SUM(EsteeFTEChan!AD85,LauderFTEChan!AD79))</f>
        <v/>
      </c>
      <c r="AE6" s="83" t="str">
        <f>IF(SUM(EsteeFTEChan!AE85,LauderFTEChan!AE79)=0,"",SUM(EsteeFTEChan!AE85,LauderFTEChan!AE79))</f>
        <v/>
      </c>
      <c r="AF6" s="83" t="str">
        <f>IF(SUM(EsteeFTEChan!AF85,LauderFTEChan!AF79)=0,"",SUM(EsteeFTEChan!AF85,LauderFTEChan!AF79))</f>
        <v/>
      </c>
      <c r="AG6" s="83" t="str">
        <f>IF(SUM(EsteeFTEChan!AG85,LauderFTEChan!AG79)=0,"",SUM(EsteeFTEChan!AG85,LauderFTEChan!AG79))</f>
        <v/>
      </c>
      <c r="AH6" s="83" t="str">
        <f>IF(SUM(EsteeFTEChan!AH85,LauderFTEChan!AH79)=0,"",SUM(EsteeFTEChan!AH85,LauderFTEChan!AH79))</f>
        <v/>
      </c>
      <c r="AI6" s="83" t="str">
        <f>IF(SUM(EsteeFTEChan!AI85,LauderFTEChan!AI79)=0,"",SUM(EsteeFTEChan!AI85,LauderFTEChan!AI79))</f>
        <v/>
      </c>
      <c r="AJ6" s="83" t="str">
        <f>IF(SUM(EsteeFTEChan!AJ85,LauderFTEChan!AJ79)=0,"",SUM(EsteeFTEChan!AJ85,LauderFTEChan!AJ79))</f>
        <v/>
      </c>
      <c r="AK6" s="83" t="str">
        <f>IF(SUM(EsteeFTEChan!AK85,LauderFTEChan!AK79)=0,"",SUM(EsteeFTEChan!AK85,LauderFTEChan!AK79))</f>
        <v/>
      </c>
      <c r="AL6" s="83" t="str">
        <f>IF(SUM(EsteeFTEChan!AL85,LauderFTEChan!AL79)=0,"",SUM(EsteeFTEChan!AL85,LauderFTEChan!AL79))</f>
        <v/>
      </c>
      <c r="AM6" s="83" t="str">
        <f>IF(SUM(EsteeFTEChan!AM85,LauderFTEChan!AM79)=0,"",SUM(EsteeFTEChan!AM85,LauderFTEChan!AM79))</f>
        <v/>
      </c>
      <c r="AN6" s="83" t="str">
        <f>IF(SUM(EsteeFTEChan!AN85,LauderFTEChan!AN79)=0,"",SUM(EsteeFTEChan!AN85,LauderFTEChan!AN79))</f>
        <v/>
      </c>
      <c r="AO6" s="83" t="str">
        <f>IF(SUM(EsteeFTEChan!AO85,LauderFTEChan!AO79)=0,"",SUM(EsteeFTEChan!AO85,LauderFTEChan!AO79))</f>
        <v/>
      </c>
      <c r="AP6" s="83" t="str">
        <f>IF(SUM(EsteeFTEChan!AP85,LauderFTEChan!AP79)=0,"",SUM(EsteeFTEChan!AP85,LauderFTEChan!AP79))</f>
        <v/>
      </c>
      <c r="AQ6" s="83" t="str">
        <f>IF(SUM(EsteeFTEChan!AQ85,LauderFTEChan!AQ79)=0,"",SUM(EsteeFTEChan!AQ85,LauderFTEChan!AQ79))</f>
        <v/>
      </c>
      <c r="AR6" s="83" t="str">
        <f>IF(SUM(EsteeFTEChan!AR85,LauderFTEChan!AR79)=0,"",SUM(EsteeFTEChan!AR85,LauderFTEChan!AR79))</f>
        <v/>
      </c>
      <c r="AS6" s="83" t="str">
        <f>IF(SUM(EsteeFTEChan!AS85,LauderFTEChan!AS79)=0,"",SUM(EsteeFTEChan!AS85,LauderFTEChan!AS79))</f>
        <v/>
      </c>
      <c r="AT6" s="83" t="str">
        <f>IF(SUM(EsteeFTEChan!AT85,LauderFTEChan!AT79)=0,"",SUM(EsteeFTEChan!AT85,LauderFTEChan!AT79))</f>
        <v/>
      </c>
      <c r="AU6" s="83" t="str">
        <f>IF(SUM(EsteeFTEChan!AU85,LauderFTEChan!AU79)=0,"",SUM(EsteeFTEChan!AU85,LauderFTEChan!AU79))</f>
        <v/>
      </c>
      <c r="AV6" s="83" t="str">
        <f>IF(SUM(EsteeFTEChan!AV85,LauderFTEChan!AV79)=0,"",SUM(EsteeFTEChan!AV85,LauderFTEChan!AV79))</f>
        <v/>
      </c>
      <c r="AW6" s="83" t="str">
        <f>IF(SUM(EsteeFTEChan!AW85,LauderFTEChan!AW79)=0,"",SUM(EsteeFTEChan!AW85,LauderFTEChan!AW79))</f>
        <v/>
      </c>
      <c r="AX6" s="83" t="str">
        <f>IF(SUM(EsteeFTEChan!AX85,LauderFTEChan!AX79)=0,"",SUM(EsteeFTEChan!AX85,LauderFTEChan!AX79))</f>
        <v/>
      </c>
      <c r="AY6" s="83" t="str">
        <f>IF(SUM(EsteeFTEChan!AY85,LauderFTEChan!AY79)=0,"",SUM(EsteeFTEChan!AY85,LauderFTEChan!AY79))</f>
        <v/>
      </c>
      <c r="AZ6" s="83" t="str">
        <f>IF(SUM(EsteeFTEChan!AZ85,LauderFTEChan!AZ79)=0,"",SUM(EsteeFTEChan!AZ85,LauderFTEChan!AZ79))</f>
        <v/>
      </c>
      <c r="BA6" s="83" t="str">
        <f>IF(SUM(EsteeFTEChan!BA85,LauderFTEChan!BA79)=0,"",SUM(EsteeFTEChan!BA85,LauderFTEChan!BA79))</f>
        <v/>
      </c>
      <c r="BB6" s="83" t="str">
        <f>IF(SUM(EsteeFTEChan!BB85,LauderFTEChan!BB79)=0,"",SUM(EsteeFTEChan!BB85,LauderFTEChan!BB79))</f>
        <v/>
      </c>
      <c r="BC6" s="83" t="str">
        <f>IF(SUM(EsteeFTEChan!BC85,LauderFTEChan!BC79)=0,"",SUM(EsteeFTEChan!BC85,LauderFTEChan!BC79))</f>
        <v/>
      </c>
      <c r="BD6" s="83" t="str">
        <f>IF(SUM(EsteeFTEChan!BD85,LauderFTEChan!BD79)=0,"",SUM(EsteeFTEChan!BD85,LauderFTEChan!BD79))</f>
        <v/>
      </c>
    </row>
    <row r="7" spans="1:56" x14ac:dyDescent="0.25">
      <c r="D7" s="41" t="s">
        <v>54</v>
      </c>
      <c r="E7" s="83" t="str">
        <f>IF(SUM(EsteeFTEChan!E107,LauderFTEChan!E96)=0,"",SUM(EsteeFTEChan!E107,LauderFTEChan!E96))</f>
        <v/>
      </c>
      <c r="F7" s="83" t="str">
        <f>IF(SUM(EsteeFTEChan!F107,LauderFTEChan!F96)=0,"",SUM(EsteeFTEChan!F107,LauderFTEChan!F96))</f>
        <v/>
      </c>
      <c r="G7" s="83" t="str">
        <f>IF(SUM(EsteeFTEChan!G107,LauderFTEChan!G96)=0,"",SUM(EsteeFTEChan!G107,LauderFTEChan!G96))</f>
        <v/>
      </c>
      <c r="H7" s="83" t="str">
        <f>IF(SUM(EsteeFTEChan!H107,LauderFTEChan!H96)=0,"",SUM(EsteeFTEChan!H107,LauderFTEChan!H96))</f>
        <v/>
      </c>
      <c r="I7" s="83" t="str">
        <f>IF(SUM(EsteeFTEChan!I107,LauderFTEChan!I96)=0,"",SUM(EsteeFTEChan!I107,LauderFTEChan!I96))</f>
        <v/>
      </c>
      <c r="J7" s="83" t="str">
        <f>IF(SUM(EsteeFTEChan!J107,LauderFTEChan!J96)=0,"",SUM(EsteeFTEChan!J107,LauderFTEChan!J96))</f>
        <v/>
      </c>
      <c r="K7" s="83" t="str">
        <f>IF(SUM(EsteeFTEChan!K107,LauderFTEChan!K96)=0,"",SUM(EsteeFTEChan!K107,LauderFTEChan!K96))</f>
        <v/>
      </c>
      <c r="L7" s="83" t="str">
        <f>IF(SUM(EsteeFTEChan!L107,LauderFTEChan!L96)=0,"",SUM(EsteeFTEChan!L107,LauderFTEChan!L96))</f>
        <v/>
      </c>
      <c r="M7" s="83" t="str">
        <f>IF(SUM(EsteeFTEChan!M107,LauderFTEChan!M96)=0,"",SUM(EsteeFTEChan!M107,LauderFTEChan!M96))</f>
        <v/>
      </c>
      <c r="N7" s="83" t="str">
        <f>IF(SUM(EsteeFTEChan!N107,LauderFTEChan!N96)=0,"",SUM(EsteeFTEChan!N107,LauderFTEChan!N96))</f>
        <v/>
      </c>
      <c r="O7" s="83" t="str">
        <f>IF(SUM(EsteeFTEChan!O107,LauderFTEChan!O96)=0,"",SUM(EsteeFTEChan!O107,LauderFTEChan!O96))</f>
        <v/>
      </c>
      <c r="P7" s="83" t="str">
        <f>IF(SUM(EsteeFTEChan!P107,LauderFTEChan!P96)=0,"",SUM(EsteeFTEChan!P107,LauderFTEChan!P96))</f>
        <v/>
      </c>
      <c r="Q7" s="83" t="str">
        <f>IF(SUM(EsteeFTEChan!Q107,LauderFTEChan!Q96)=0,"",SUM(EsteeFTEChan!Q107,LauderFTEChan!Q96))</f>
        <v/>
      </c>
      <c r="R7" s="83" t="str">
        <f>IF(SUM(EsteeFTEChan!R107,LauderFTEChan!R96)=0,"",SUM(EsteeFTEChan!R107,LauderFTEChan!R96))</f>
        <v/>
      </c>
      <c r="S7" s="83" t="str">
        <f>IF(SUM(EsteeFTEChan!S107,LauderFTEChan!S96)=0,"",SUM(EsteeFTEChan!S107,LauderFTEChan!S96))</f>
        <v/>
      </c>
      <c r="T7" s="83" t="str">
        <f>IF(SUM(EsteeFTEChan!T107,LauderFTEChan!T96)=0,"",SUM(EsteeFTEChan!T107,LauderFTEChan!T96))</f>
        <v/>
      </c>
      <c r="U7" s="83" t="str">
        <f>IF(SUM(EsteeFTEChan!U107,LauderFTEChan!U96)=0,"",SUM(EsteeFTEChan!U107,LauderFTEChan!U96))</f>
        <v/>
      </c>
      <c r="V7" s="83" t="str">
        <f>IF(SUM(EsteeFTEChan!V107,LauderFTEChan!V96)=0,"",SUM(EsteeFTEChan!V107,LauderFTEChan!V96))</f>
        <v/>
      </c>
      <c r="W7" s="83" t="str">
        <f>IF(SUM(EsteeFTEChan!W107,LauderFTEChan!W96)=0,"",SUM(EsteeFTEChan!W107,LauderFTEChan!W96))</f>
        <v/>
      </c>
      <c r="X7" s="83" t="str">
        <f>IF(SUM(EsteeFTEChan!X107,LauderFTEChan!X96)=0,"",SUM(EsteeFTEChan!X107,LauderFTEChan!X96))</f>
        <v/>
      </c>
      <c r="Y7" s="83">
        <f>IF(SUM(EsteeFTEChan!Y107,LauderFTEChan!Y96)=0,"",SUM(EsteeFTEChan!Y107,LauderFTEChan!Y96))</f>
        <v>-0.65955955955956114</v>
      </c>
      <c r="Z7" s="83" t="str">
        <f>IF(SUM(EsteeFTEChan!Z107,LauderFTEChan!Z96)=0,"",SUM(EsteeFTEChan!Z107,LauderFTEChan!Z96))</f>
        <v/>
      </c>
      <c r="AA7" s="83" t="str">
        <f>IF(SUM(EsteeFTEChan!AA107,LauderFTEChan!AA96)=0,"",SUM(EsteeFTEChan!AA107,LauderFTEChan!AA96))</f>
        <v/>
      </c>
      <c r="AB7" s="83" t="str">
        <f>IF(SUM(EsteeFTEChan!AB107,LauderFTEChan!AB96)=0,"",SUM(EsteeFTEChan!AB107,LauderFTEChan!AB96))</f>
        <v/>
      </c>
      <c r="AC7" s="83" t="str">
        <f>IF(SUM(EsteeFTEChan!AC107,LauderFTEChan!AC96)=0,"",SUM(EsteeFTEChan!AC107,LauderFTEChan!AC96))</f>
        <v/>
      </c>
      <c r="AD7" s="83" t="str">
        <f>IF(SUM(EsteeFTEChan!AD107,LauderFTEChan!AD96)=0,"",SUM(EsteeFTEChan!AD107,LauderFTEChan!AD96))</f>
        <v/>
      </c>
      <c r="AE7" s="83" t="str">
        <f>IF(SUM(EsteeFTEChan!AE107,LauderFTEChan!AE96)=0,"",SUM(EsteeFTEChan!AE107,LauderFTEChan!AE96))</f>
        <v/>
      </c>
      <c r="AF7" s="83" t="str">
        <f>IF(SUM(EsteeFTEChan!AF107,LauderFTEChan!AF96)=0,"",SUM(EsteeFTEChan!AF107,LauderFTEChan!AF96))</f>
        <v/>
      </c>
      <c r="AG7" s="83" t="str">
        <f>IF(SUM(EsteeFTEChan!AG107,LauderFTEChan!AG96)=0,"",SUM(EsteeFTEChan!AG107,LauderFTEChan!AG96))</f>
        <v/>
      </c>
      <c r="AH7" s="83" t="str">
        <f>IF(SUM(EsteeFTEChan!AH107,LauderFTEChan!AH96)=0,"",SUM(EsteeFTEChan!AH107,LauderFTEChan!AH96))</f>
        <v/>
      </c>
      <c r="AI7" s="83" t="str">
        <f>IF(SUM(EsteeFTEChan!AI107,LauderFTEChan!AI96)=0,"",SUM(EsteeFTEChan!AI107,LauderFTEChan!AI96))</f>
        <v/>
      </c>
      <c r="AJ7" s="83" t="str">
        <f>IF(SUM(EsteeFTEChan!AJ107,LauderFTEChan!AJ96)=0,"",SUM(EsteeFTEChan!AJ107,LauderFTEChan!AJ96))</f>
        <v/>
      </c>
      <c r="AK7" s="83" t="str">
        <f>IF(SUM(EsteeFTEChan!AK107,LauderFTEChan!AK96)=0,"",SUM(EsteeFTEChan!AK107,LauderFTEChan!AK96))</f>
        <v/>
      </c>
      <c r="AL7" s="83" t="str">
        <f>IF(SUM(EsteeFTEChan!AL107,LauderFTEChan!AL96)=0,"",SUM(EsteeFTEChan!AL107,LauderFTEChan!AL96))</f>
        <v/>
      </c>
      <c r="AM7" s="83" t="str">
        <f>IF(SUM(EsteeFTEChan!AM107,LauderFTEChan!AM96)=0,"",SUM(EsteeFTEChan!AM107,LauderFTEChan!AM96))</f>
        <v/>
      </c>
      <c r="AN7" s="83" t="str">
        <f>IF(SUM(EsteeFTEChan!AN107,LauderFTEChan!AN96)=0,"",SUM(EsteeFTEChan!AN107,LauderFTEChan!AN96))</f>
        <v/>
      </c>
      <c r="AO7" s="83" t="str">
        <f>IF(SUM(EsteeFTEChan!AO107,LauderFTEChan!AO96)=0,"",SUM(EsteeFTEChan!AO107,LauderFTEChan!AO96))</f>
        <v/>
      </c>
      <c r="AP7" s="83" t="str">
        <f>IF(SUM(EsteeFTEChan!AP107,LauderFTEChan!AP96)=0,"",SUM(EsteeFTEChan!AP107,LauderFTEChan!AP96))</f>
        <v/>
      </c>
      <c r="AQ7" s="83" t="str">
        <f>IF(SUM(EsteeFTEChan!AQ107,LauderFTEChan!AQ96)=0,"",SUM(EsteeFTEChan!AQ107,LauderFTEChan!AQ96))</f>
        <v/>
      </c>
      <c r="AR7" s="83" t="str">
        <f>IF(SUM(EsteeFTEChan!AR107,LauderFTEChan!AR96)=0,"",SUM(EsteeFTEChan!AR107,LauderFTEChan!AR96))</f>
        <v/>
      </c>
      <c r="AS7" s="83" t="str">
        <f>IF(SUM(EsteeFTEChan!AS107,LauderFTEChan!AS96)=0,"",SUM(EsteeFTEChan!AS107,LauderFTEChan!AS96))</f>
        <v/>
      </c>
      <c r="AT7" s="83" t="str">
        <f>IF(SUM(EsteeFTEChan!AT107,LauderFTEChan!AT96)=0,"",SUM(EsteeFTEChan!AT107,LauderFTEChan!AT96))</f>
        <v/>
      </c>
      <c r="AU7" s="83" t="str">
        <f>IF(SUM(EsteeFTEChan!AU107,LauderFTEChan!AU96)=0,"",SUM(EsteeFTEChan!AU107,LauderFTEChan!AU96))</f>
        <v/>
      </c>
      <c r="AV7" s="83" t="str">
        <f>IF(SUM(EsteeFTEChan!AV107,LauderFTEChan!AV96)=0,"",SUM(EsteeFTEChan!AV107,LauderFTEChan!AV96))</f>
        <v/>
      </c>
      <c r="AW7" s="83" t="str">
        <f>IF(SUM(EsteeFTEChan!AW107,LauderFTEChan!AW96)=0,"",SUM(EsteeFTEChan!AW107,LauderFTEChan!AW96))</f>
        <v/>
      </c>
      <c r="AX7" s="83" t="str">
        <f>IF(SUM(EsteeFTEChan!AX107,LauderFTEChan!AX96)=0,"",SUM(EsteeFTEChan!AX107,LauderFTEChan!AX96))</f>
        <v/>
      </c>
      <c r="AY7" s="83" t="str">
        <f>IF(SUM(EsteeFTEChan!AY107,LauderFTEChan!AY96)=0,"",SUM(EsteeFTEChan!AY107,LauderFTEChan!AY96))</f>
        <v/>
      </c>
      <c r="AZ7" s="83" t="str">
        <f>IF(SUM(EsteeFTEChan!AZ107,LauderFTEChan!AZ96)=0,"",SUM(EsteeFTEChan!AZ107,LauderFTEChan!AZ96))</f>
        <v/>
      </c>
      <c r="BA7" s="83" t="str">
        <f>IF(SUM(EsteeFTEChan!BA107,LauderFTEChan!BA96)=0,"",SUM(EsteeFTEChan!BA107,LauderFTEChan!BA96))</f>
        <v/>
      </c>
      <c r="BB7" s="83" t="str">
        <f>IF(SUM(EsteeFTEChan!BB107,LauderFTEChan!BB96)=0,"",SUM(EsteeFTEChan!BB107,LauderFTEChan!BB96))</f>
        <v/>
      </c>
      <c r="BC7" s="83" t="str">
        <f>IF(SUM(EsteeFTEChan!BC107,LauderFTEChan!BC96)=0,"",SUM(EsteeFTEChan!BC107,LauderFTEChan!BC96))</f>
        <v/>
      </c>
      <c r="BD7" s="83" t="str">
        <f>IF(SUM(EsteeFTEChan!BD107,LauderFTEChan!BD96)=0,"",SUM(EsteeFTEChan!BD107,LauderFTEChan!BD96))</f>
        <v/>
      </c>
    </row>
    <row r="8" spans="1:56" x14ac:dyDescent="0.25">
      <c r="D8" s="41" t="s">
        <v>124</v>
      </c>
      <c r="E8" s="83" t="str">
        <f>IF(SUM(E3:E7)=0,"",SUM(E3:E7))</f>
        <v/>
      </c>
      <c r="F8" s="83" t="str">
        <f t="shared" ref="F8:BD8" si="1">IF(SUM(F3:F7)=0,"",SUM(F3:F7))</f>
        <v/>
      </c>
      <c r="G8" s="83" t="str">
        <f t="shared" si="1"/>
        <v/>
      </c>
      <c r="H8" s="83" t="str">
        <f t="shared" si="1"/>
        <v/>
      </c>
      <c r="I8" s="83" t="str">
        <f t="shared" si="1"/>
        <v/>
      </c>
      <c r="J8" s="83" t="str">
        <f t="shared" si="1"/>
        <v/>
      </c>
      <c r="K8" s="83" t="str">
        <f t="shared" si="1"/>
        <v/>
      </c>
      <c r="L8" s="83" t="str">
        <f t="shared" si="1"/>
        <v/>
      </c>
      <c r="M8" s="83" t="str">
        <f t="shared" si="1"/>
        <v/>
      </c>
      <c r="N8" s="83" t="str">
        <f t="shared" si="1"/>
        <v/>
      </c>
      <c r="O8" s="83" t="str">
        <f t="shared" si="1"/>
        <v/>
      </c>
      <c r="P8" s="83" t="str">
        <f t="shared" si="1"/>
        <v/>
      </c>
      <c r="Q8" s="83" t="str">
        <f t="shared" si="1"/>
        <v/>
      </c>
      <c r="R8" s="83" t="str">
        <f t="shared" si="1"/>
        <v/>
      </c>
      <c r="S8" s="83" t="str">
        <f t="shared" si="1"/>
        <v/>
      </c>
      <c r="T8" s="83" t="str">
        <f t="shared" si="1"/>
        <v/>
      </c>
      <c r="U8" s="83" t="str">
        <f t="shared" si="1"/>
        <v/>
      </c>
      <c r="V8" s="83" t="str">
        <f t="shared" si="1"/>
        <v/>
      </c>
      <c r="W8" s="83" t="str">
        <f t="shared" si="1"/>
        <v/>
      </c>
      <c r="X8" s="83" t="str">
        <f t="shared" si="1"/>
        <v/>
      </c>
      <c r="Y8" s="83">
        <f t="shared" si="1"/>
        <v>-6.7512924485841275</v>
      </c>
      <c r="Z8" s="83" t="str">
        <f t="shared" si="1"/>
        <v/>
      </c>
      <c r="AA8" s="83" t="str">
        <f t="shared" si="1"/>
        <v/>
      </c>
      <c r="AB8" s="83" t="str">
        <f t="shared" si="1"/>
        <v/>
      </c>
      <c r="AC8" s="83" t="str">
        <f t="shared" si="1"/>
        <v/>
      </c>
      <c r="AD8" s="83" t="str">
        <f t="shared" si="1"/>
        <v/>
      </c>
      <c r="AE8" s="83" t="str">
        <f t="shared" si="1"/>
        <v/>
      </c>
      <c r="AF8" s="83" t="str">
        <f t="shared" si="1"/>
        <v/>
      </c>
      <c r="AG8" s="83" t="str">
        <f t="shared" si="1"/>
        <v/>
      </c>
      <c r="AH8" s="83" t="str">
        <f t="shared" si="1"/>
        <v/>
      </c>
      <c r="AI8" s="83" t="str">
        <f t="shared" si="1"/>
        <v/>
      </c>
      <c r="AJ8" s="83" t="str">
        <f t="shared" si="1"/>
        <v/>
      </c>
      <c r="AK8" s="83" t="str">
        <f t="shared" si="1"/>
        <v/>
      </c>
      <c r="AL8" s="83" t="str">
        <f t="shared" si="1"/>
        <v/>
      </c>
      <c r="AM8" s="83" t="str">
        <f t="shared" si="1"/>
        <v/>
      </c>
      <c r="AN8" s="83" t="str">
        <f t="shared" si="1"/>
        <v/>
      </c>
      <c r="AO8" s="83" t="str">
        <f t="shared" si="1"/>
        <v/>
      </c>
      <c r="AP8" s="83" t="str">
        <f t="shared" si="1"/>
        <v/>
      </c>
      <c r="AQ8" s="83" t="str">
        <f t="shared" si="1"/>
        <v/>
      </c>
      <c r="AR8" s="83" t="str">
        <f t="shared" si="1"/>
        <v/>
      </c>
      <c r="AS8" s="83" t="str">
        <f t="shared" si="1"/>
        <v/>
      </c>
      <c r="AT8" s="83" t="str">
        <f t="shared" si="1"/>
        <v/>
      </c>
      <c r="AU8" s="83" t="str">
        <f t="shared" si="1"/>
        <v/>
      </c>
      <c r="AV8" s="83" t="str">
        <f t="shared" si="1"/>
        <v/>
      </c>
      <c r="AW8" s="83" t="str">
        <f t="shared" si="1"/>
        <v/>
      </c>
      <c r="AX8" s="83" t="str">
        <f t="shared" si="1"/>
        <v/>
      </c>
      <c r="AY8" s="83" t="str">
        <f t="shared" si="1"/>
        <v/>
      </c>
      <c r="AZ8" s="83" t="str">
        <f t="shared" si="1"/>
        <v/>
      </c>
      <c r="BA8" s="83" t="str">
        <f t="shared" si="1"/>
        <v/>
      </c>
      <c r="BB8" s="83" t="str">
        <f t="shared" si="1"/>
        <v/>
      </c>
      <c r="BC8" s="83" t="str">
        <f t="shared" si="1"/>
        <v/>
      </c>
      <c r="BD8" s="83" t="str">
        <f t="shared" si="1"/>
        <v/>
      </c>
    </row>
    <row r="11" spans="1:56" x14ac:dyDescent="0.25">
      <c r="A11" s="86">
        <f ca="1">TODAY()</f>
        <v>44790</v>
      </c>
    </row>
    <row r="12" spans="1:56" x14ac:dyDescent="0.25">
      <c r="A12" s="102">
        <f ca="1">A11+(7-WEEKDAY(A11,1))-7</f>
        <v>44786</v>
      </c>
    </row>
    <row r="13" spans="1:56" x14ac:dyDescent="0.25">
      <c r="A13">
        <f ca="1">WEEKNUM(A12)</f>
        <v>33</v>
      </c>
    </row>
  </sheetData>
  <conditionalFormatting sqref="E2">
    <cfRule type="expression" dxfId="14" priority="15">
      <formula>IF(E$3=TODAY()-WEEKDAY(TODAY())+7,TRUE,FALSE)</formula>
    </cfRule>
  </conditionalFormatting>
  <conditionalFormatting sqref="F2:K2 M2:BD2">
    <cfRule type="expression" dxfId="13" priority="14">
      <formula>IF(F$3=TODAY()-WEEKDAY(TODAY())+7,TRUE,FALSE)</formula>
    </cfRule>
  </conditionalFormatting>
  <conditionalFormatting sqref="L2">
    <cfRule type="expression" dxfId="12" priority="13">
      <formula>IF(L$3=TODAY()-WEEKDAY(TODAY())+7,TRUE,FALSE)</formula>
    </cfRule>
  </conditionalFormatting>
  <conditionalFormatting sqref="E3:BD3">
    <cfRule type="cellIs" dxfId="11" priority="11" operator="lessThan">
      <formula>0</formula>
    </cfRule>
    <cfRule type="cellIs" dxfId="10" priority="12" operator="greaterThan">
      <formula>0</formula>
    </cfRule>
  </conditionalFormatting>
  <conditionalFormatting sqref="E4:BD4">
    <cfRule type="cellIs" dxfId="9" priority="9" operator="lessThan">
      <formula>0</formula>
    </cfRule>
    <cfRule type="cellIs" dxfId="8" priority="10" operator="greaterThan">
      <formula>0</formula>
    </cfRule>
  </conditionalFormatting>
  <conditionalFormatting sqref="E5:BD5">
    <cfRule type="cellIs" dxfId="7" priority="7" operator="lessThan">
      <formula>0</formula>
    </cfRule>
    <cfRule type="cellIs" dxfId="6" priority="8" operator="greaterThan">
      <formula>0</formula>
    </cfRule>
  </conditionalFormatting>
  <conditionalFormatting sqref="E6:BD6">
    <cfRule type="cellIs" dxfId="5" priority="5" operator="lessThan">
      <formula>0</formula>
    </cfRule>
    <cfRule type="cellIs" dxfId="4" priority="6" operator="greaterThan">
      <formula>0</formula>
    </cfRule>
  </conditionalFormatting>
  <conditionalFormatting sqref="E7:BD7">
    <cfRule type="cellIs" dxfId="3" priority="3" operator="lessThan">
      <formula>0</formula>
    </cfRule>
    <cfRule type="cellIs" dxfId="2" priority="4" operator="greaterThan">
      <formula>0</formula>
    </cfRule>
  </conditionalFormatting>
  <conditionalFormatting sqref="E8:BD8">
    <cfRule type="cellIs" dxfId="1" priority="1" operator="lessThan">
      <formula>0</formula>
    </cfRule>
    <cfRule type="cellIs" dxfId="0" priority="2" operator="greater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81A5E-3894-4D93-B83D-571AAF034334}">
  <sheetPr codeName="Sheet4"/>
  <dimension ref="A1:V53"/>
  <sheetViews>
    <sheetView workbookViewId="0">
      <selection sqref="A1:V53"/>
    </sheetView>
  </sheetViews>
  <sheetFormatPr defaultRowHeight="15" x14ac:dyDescent="0.25"/>
  <cols>
    <col min="1" max="1" width="11.42578125" bestFit="1" customWidth="1"/>
    <col min="2" max="2" width="10.7109375" bestFit="1" customWidth="1"/>
    <col min="3" max="3" width="11.5703125" bestFit="1" customWidth="1"/>
    <col min="4" max="4" width="9.85546875" bestFit="1" customWidth="1"/>
    <col min="5" max="5" width="10.7109375" bestFit="1" customWidth="1"/>
    <col min="6" max="6" width="9.85546875" bestFit="1" customWidth="1"/>
    <col min="7" max="7" width="10.28515625" bestFit="1" customWidth="1"/>
    <col min="8" max="8" width="9.85546875" bestFit="1" customWidth="1"/>
    <col min="9" max="9" width="11.85546875" bestFit="1" customWidth="1"/>
    <col min="10" max="10" width="9.85546875" bestFit="1" customWidth="1"/>
    <col min="11" max="11" width="11.42578125" bestFit="1" customWidth="1"/>
    <col min="12" max="12" width="9.85546875" bestFit="1" customWidth="1"/>
    <col min="13" max="13" width="12.7109375" bestFit="1" customWidth="1"/>
    <col min="14" max="14" width="11" bestFit="1" customWidth="1"/>
    <col min="15" max="15" width="11.85546875" bestFit="1" customWidth="1"/>
    <col min="16" max="16" width="11" bestFit="1" customWidth="1"/>
    <col min="17" max="17" width="11.42578125" bestFit="1" customWidth="1"/>
    <col min="18" max="18" width="11" bestFit="1" customWidth="1"/>
    <col min="19" max="19" width="13.140625" bestFit="1" customWidth="1"/>
    <col min="20" max="20" width="11" bestFit="1" customWidth="1"/>
    <col min="21" max="21" width="12.5703125" bestFit="1" customWidth="1"/>
    <col min="22" max="22" width="11" bestFit="1" customWidth="1"/>
  </cols>
  <sheetData>
    <row r="1" spans="1:22" x14ac:dyDescent="0.25">
      <c r="A1" s="6" t="s">
        <v>58</v>
      </c>
      <c r="B1" s="6" t="s">
        <v>59</v>
      </c>
      <c r="C1" s="6" t="s">
        <v>60</v>
      </c>
      <c r="D1" s="6" t="s">
        <v>61</v>
      </c>
      <c r="E1" s="6" t="s">
        <v>62</v>
      </c>
      <c r="F1" s="6" t="s">
        <v>61</v>
      </c>
      <c r="G1" s="6" t="s">
        <v>63</v>
      </c>
      <c r="H1" s="6" t="s">
        <v>61</v>
      </c>
      <c r="I1" s="6" t="s">
        <v>64</v>
      </c>
      <c r="J1" s="6" t="s">
        <v>61</v>
      </c>
      <c r="K1" s="6" t="s">
        <v>65</v>
      </c>
      <c r="L1" s="6" t="s">
        <v>61</v>
      </c>
      <c r="M1" s="6" t="s">
        <v>66</v>
      </c>
      <c r="N1" s="6" t="s">
        <v>67</v>
      </c>
      <c r="O1" s="6" t="s">
        <v>68</v>
      </c>
      <c r="P1" s="6" t="s">
        <v>67</v>
      </c>
      <c r="Q1" s="6" t="s">
        <v>69</v>
      </c>
      <c r="R1" s="6" t="s">
        <v>67</v>
      </c>
      <c r="S1" s="6" t="s">
        <v>70</v>
      </c>
      <c r="T1" s="6" t="s">
        <v>67</v>
      </c>
      <c r="U1" s="6" t="s">
        <v>71</v>
      </c>
      <c r="V1" s="6" t="s">
        <v>67</v>
      </c>
    </row>
    <row r="2" spans="1:22" x14ac:dyDescent="0.25">
      <c r="A2" s="85" t="s">
        <v>72</v>
      </c>
      <c r="B2" s="86">
        <v>44569</v>
      </c>
      <c r="C2" s="87">
        <v>9925.377791336181</v>
      </c>
      <c r="D2" s="87">
        <v>618.84747655263891</v>
      </c>
      <c r="E2" s="87">
        <v>4417.7809964268517</v>
      </c>
      <c r="F2" s="87">
        <v>485</v>
      </c>
      <c r="G2" s="87">
        <v>15119.395200000003</v>
      </c>
      <c r="H2" s="87">
        <v>700</v>
      </c>
      <c r="I2" s="87">
        <v>3193.8079782794389</v>
      </c>
      <c r="J2" s="87">
        <v>498.9117852244176</v>
      </c>
      <c r="K2" s="87">
        <v>15853.943085527528</v>
      </c>
      <c r="L2" s="87">
        <v>285</v>
      </c>
      <c r="M2" s="87">
        <v>7310</v>
      </c>
      <c r="N2" s="87">
        <v>620</v>
      </c>
      <c r="O2" s="87">
        <v>3473.8690035731479</v>
      </c>
      <c r="P2" s="87">
        <v>485</v>
      </c>
      <c r="Q2" s="87">
        <v>11879.524800000001</v>
      </c>
      <c r="R2" s="87">
        <v>700</v>
      </c>
      <c r="S2" s="87">
        <v>4768.0372273522371</v>
      </c>
      <c r="T2" s="87">
        <v>395.25384118144297</v>
      </c>
      <c r="U2" s="87">
        <v>3480.422977352237</v>
      </c>
      <c r="V2" s="87">
        <v>374.99999999999994</v>
      </c>
    </row>
    <row r="3" spans="1:22" x14ac:dyDescent="0.25">
      <c r="A3" s="85" t="s">
        <v>73</v>
      </c>
      <c r="B3" s="86">
        <v>44576</v>
      </c>
      <c r="C3" s="87">
        <v>7616.0679186460811</v>
      </c>
      <c r="D3" s="87">
        <v>615.96680204421932</v>
      </c>
      <c r="E3" s="87">
        <v>3374.3614328070748</v>
      </c>
      <c r="F3" s="87">
        <v>485</v>
      </c>
      <c r="G3" s="87">
        <v>11547.8272</v>
      </c>
      <c r="H3" s="87">
        <v>700</v>
      </c>
      <c r="I3" s="87">
        <v>2808.3556457244654</v>
      </c>
      <c r="J3" s="87">
        <v>494.37898150803665</v>
      </c>
      <c r="K3" s="87">
        <v>13853.398279835143</v>
      </c>
      <c r="L3" s="87">
        <v>285</v>
      </c>
      <c r="M3" s="87">
        <v>5584</v>
      </c>
      <c r="N3" s="87">
        <v>620</v>
      </c>
      <c r="O3" s="87">
        <v>2653.3885671929247</v>
      </c>
      <c r="P3" s="87">
        <v>485</v>
      </c>
      <c r="Q3" s="87">
        <v>9073.2927999999993</v>
      </c>
      <c r="R3" s="87">
        <v>700</v>
      </c>
      <c r="S3" s="87">
        <v>4024.9234482040247</v>
      </c>
      <c r="T3" s="87">
        <v>393.32590910093279</v>
      </c>
      <c r="U3" s="87">
        <v>3041.451698204025</v>
      </c>
      <c r="V3" s="87">
        <v>375</v>
      </c>
    </row>
    <row r="4" spans="1:22" x14ac:dyDescent="0.25">
      <c r="A4" s="85" t="s">
        <v>74</v>
      </c>
      <c r="B4" s="86">
        <v>44583</v>
      </c>
      <c r="C4" s="87">
        <v>6112.2250000000004</v>
      </c>
      <c r="D4" s="87">
        <v>639.65953478479605</v>
      </c>
      <c r="E4" s="87">
        <v>2779.7</v>
      </c>
      <c r="F4" s="87">
        <v>485</v>
      </c>
      <c r="G4" s="87">
        <v>9509</v>
      </c>
      <c r="H4" s="87">
        <v>620</v>
      </c>
      <c r="I4" s="87">
        <v>2338</v>
      </c>
      <c r="J4" s="87">
        <v>480.78250641573993</v>
      </c>
      <c r="K4" s="87">
        <v>10150.276054876642</v>
      </c>
      <c r="L4" s="87">
        <v>285.00000000000011</v>
      </c>
      <c r="M4" s="87">
        <v>4598</v>
      </c>
      <c r="N4" s="87">
        <v>620</v>
      </c>
      <c r="O4" s="87">
        <v>2184.0499999999997</v>
      </c>
      <c r="P4" s="87">
        <v>485</v>
      </c>
      <c r="Q4" s="87">
        <v>7471</v>
      </c>
      <c r="R4" s="87">
        <v>620</v>
      </c>
      <c r="S4" s="87">
        <v>3037.6939105784122</v>
      </c>
      <c r="T4" s="87">
        <v>394.99424828107027</v>
      </c>
      <c r="U4" s="87">
        <v>2227.8751605784119</v>
      </c>
      <c r="V4" s="87">
        <v>375</v>
      </c>
    </row>
    <row r="5" spans="1:22" x14ac:dyDescent="0.25">
      <c r="A5" s="85" t="s">
        <v>75</v>
      </c>
      <c r="B5" s="86">
        <v>44590</v>
      </c>
      <c r="C5" s="87">
        <v>5795.7</v>
      </c>
      <c r="D5" s="87">
        <v>620.51451938506136</v>
      </c>
      <c r="E5" s="87">
        <v>2635.2999999999997</v>
      </c>
      <c r="F5" s="87">
        <v>470</v>
      </c>
      <c r="G5" s="87">
        <v>9016</v>
      </c>
      <c r="H5" s="87">
        <v>620</v>
      </c>
      <c r="I5" s="87">
        <v>2216.9</v>
      </c>
      <c r="J5" s="87">
        <v>480.78036898371596</v>
      </c>
      <c r="K5" s="87">
        <v>9079.9407738896352</v>
      </c>
      <c r="L5" s="87">
        <v>285.00000000000006</v>
      </c>
      <c r="M5" s="87">
        <v>4360</v>
      </c>
      <c r="N5" s="87">
        <v>600</v>
      </c>
      <c r="O5" s="87">
        <v>2071</v>
      </c>
      <c r="P5" s="87">
        <v>470</v>
      </c>
      <c r="Q5" s="87">
        <v>7084</v>
      </c>
      <c r="R5" s="87">
        <v>620</v>
      </c>
      <c r="S5" s="87">
        <v>2761.3933243606998</v>
      </c>
      <c r="T5" s="87">
        <v>395.85516467065867</v>
      </c>
      <c r="U5" s="87">
        <v>1993.5358243606995</v>
      </c>
      <c r="V5" s="87">
        <v>375.00000000000006</v>
      </c>
    </row>
    <row r="6" spans="1:22" x14ac:dyDescent="0.25">
      <c r="A6" s="85" t="s">
        <v>76</v>
      </c>
      <c r="B6" s="86">
        <v>44597</v>
      </c>
      <c r="C6" s="87">
        <v>5623.3</v>
      </c>
      <c r="D6" s="87">
        <v>620.51179912151224</v>
      </c>
      <c r="E6" s="87">
        <v>2556.4499999999998</v>
      </c>
      <c r="F6" s="87">
        <v>470</v>
      </c>
      <c r="G6" s="87">
        <v>8746</v>
      </c>
      <c r="H6" s="87">
        <v>620</v>
      </c>
      <c r="I6" s="87">
        <v>2150.6679560000002</v>
      </c>
      <c r="J6" s="87">
        <v>526.36833737248458</v>
      </c>
      <c r="K6" s="87">
        <v>8716.6773623707923</v>
      </c>
      <c r="L6" s="87">
        <v>285.00000000000006</v>
      </c>
      <c r="M6" s="87">
        <v>4229</v>
      </c>
      <c r="N6" s="87">
        <v>600</v>
      </c>
      <c r="O6" s="87">
        <v>2009.0919200000003</v>
      </c>
      <c r="P6" s="87">
        <v>470</v>
      </c>
      <c r="Q6" s="87">
        <v>6873.2092000000011</v>
      </c>
      <c r="R6" s="87">
        <v>620</v>
      </c>
      <c r="S6" s="87">
        <v>2658.4910761072133</v>
      </c>
      <c r="T6" s="87">
        <v>396.01527022306499</v>
      </c>
      <c r="U6" s="87">
        <v>1913.5722981072129</v>
      </c>
      <c r="V6" s="87">
        <v>374.99999999999994</v>
      </c>
    </row>
    <row r="7" spans="1:22" x14ac:dyDescent="0.25">
      <c r="A7" s="85" t="s">
        <v>77</v>
      </c>
      <c r="B7" s="86">
        <v>44604</v>
      </c>
      <c r="C7" s="87">
        <v>4991.3249999999998</v>
      </c>
      <c r="D7" s="87">
        <v>620.51479316614325</v>
      </c>
      <c r="E7" s="87">
        <v>2196.6280000000002</v>
      </c>
      <c r="F7" s="87">
        <v>470</v>
      </c>
      <c r="G7" s="87">
        <v>8324</v>
      </c>
      <c r="H7" s="87">
        <v>620</v>
      </c>
      <c r="I7" s="87">
        <v>1718.9950000000001</v>
      </c>
      <c r="J7" s="87">
        <v>551.73703239392773</v>
      </c>
      <c r="K7" s="87">
        <v>7844.152978314577</v>
      </c>
      <c r="L7" s="87">
        <v>285</v>
      </c>
      <c r="M7" s="87">
        <v>3755</v>
      </c>
      <c r="N7" s="87">
        <v>600</v>
      </c>
      <c r="O7" s="87">
        <v>1725.9219999999998</v>
      </c>
      <c r="P7" s="87">
        <v>470</v>
      </c>
      <c r="Q7" s="87">
        <v>6540</v>
      </c>
      <c r="R7" s="87">
        <v>620</v>
      </c>
      <c r="S7" s="87">
        <v>2404.9903060664292</v>
      </c>
      <c r="T7" s="87">
        <v>396.29911131898973</v>
      </c>
      <c r="U7" s="87">
        <v>1722.001556066429</v>
      </c>
      <c r="V7" s="87">
        <v>375</v>
      </c>
    </row>
    <row r="8" spans="1:22" x14ac:dyDescent="0.25">
      <c r="A8" s="85" t="s">
        <v>78</v>
      </c>
      <c r="B8" s="86">
        <v>44611</v>
      </c>
      <c r="C8" s="87">
        <v>4300.8</v>
      </c>
      <c r="D8" s="87">
        <v>606.15443638392856</v>
      </c>
      <c r="E8" s="87">
        <v>1892.8560000000002</v>
      </c>
      <c r="F8" s="87">
        <v>450</v>
      </c>
      <c r="G8" s="87">
        <v>7172</v>
      </c>
      <c r="H8" s="87">
        <v>620</v>
      </c>
      <c r="I8" s="87">
        <v>1481.1100000000001</v>
      </c>
      <c r="J8" s="87">
        <v>551.73552268231253</v>
      </c>
      <c r="K8" s="87">
        <v>5741.8326347497277</v>
      </c>
      <c r="L8" s="87">
        <v>284.99999999999994</v>
      </c>
      <c r="M8" s="87">
        <v>3235</v>
      </c>
      <c r="N8" s="87">
        <v>585</v>
      </c>
      <c r="O8" s="87">
        <v>1487.2439999999999</v>
      </c>
      <c r="P8" s="87">
        <v>450</v>
      </c>
      <c r="Q8" s="87">
        <v>5635</v>
      </c>
      <c r="R8" s="87">
        <v>620</v>
      </c>
      <c r="S8" s="87">
        <v>1848.9349793308979</v>
      </c>
      <c r="T8" s="87">
        <v>398.87093813108135</v>
      </c>
      <c r="U8" s="87">
        <v>1260.4574793308977</v>
      </c>
      <c r="V8" s="87">
        <v>375.00000000000006</v>
      </c>
    </row>
    <row r="9" spans="1:22" x14ac:dyDescent="0.25">
      <c r="A9" s="85" t="s">
        <v>79</v>
      </c>
      <c r="B9" s="86">
        <v>44618</v>
      </c>
      <c r="C9" s="87">
        <v>4209.66</v>
      </c>
      <c r="D9" s="87">
        <v>606.15384615384619</v>
      </c>
      <c r="E9" s="87">
        <v>1852.424</v>
      </c>
      <c r="F9" s="87">
        <v>450</v>
      </c>
      <c r="G9" s="87">
        <v>7020.1600000000008</v>
      </c>
      <c r="H9" s="87">
        <v>620</v>
      </c>
      <c r="I9" s="87">
        <v>1279.0600000000004</v>
      </c>
      <c r="J9" s="87">
        <v>543.22502462746058</v>
      </c>
      <c r="K9" s="87">
        <v>7436.3432985883128</v>
      </c>
      <c r="L9" s="87">
        <v>285</v>
      </c>
      <c r="M9" s="87">
        <v>3166.2400000000002</v>
      </c>
      <c r="N9" s="87">
        <v>585</v>
      </c>
      <c r="O9" s="87">
        <v>1455.4759999999999</v>
      </c>
      <c r="P9" s="87">
        <v>450</v>
      </c>
      <c r="Q9" s="87">
        <v>5515.84</v>
      </c>
      <c r="R9" s="87">
        <v>620</v>
      </c>
      <c r="S9" s="87">
        <v>2208.8728816480634</v>
      </c>
      <c r="T9" s="87">
        <v>394.5574009074565</v>
      </c>
      <c r="U9" s="87">
        <v>1632.8753816480632</v>
      </c>
      <c r="V9" s="87">
        <v>374.99999999999994</v>
      </c>
    </row>
    <row r="10" spans="1:22" x14ac:dyDescent="0.25">
      <c r="A10" s="85" t="s">
        <v>80</v>
      </c>
      <c r="B10" s="86">
        <v>44625</v>
      </c>
      <c r="C10" s="87">
        <v>4326.0750000000007</v>
      </c>
      <c r="D10" s="87">
        <v>606.15384615384619</v>
      </c>
      <c r="E10" s="87">
        <v>1903.4960000000001</v>
      </c>
      <c r="F10" s="87">
        <v>450</v>
      </c>
      <c r="G10" s="87">
        <v>7213.920000000001</v>
      </c>
      <c r="H10" s="87">
        <v>620</v>
      </c>
      <c r="I10" s="87">
        <v>1277.4250000000004</v>
      </c>
      <c r="J10" s="87">
        <v>541.28667045031989</v>
      </c>
      <c r="K10" s="87">
        <v>7339.5910000000013</v>
      </c>
      <c r="L10" s="87">
        <v>285</v>
      </c>
      <c r="M10" s="87">
        <v>3253.8</v>
      </c>
      <c r="N10" s="87">
        <v>585</v>
      </c>
      <c r="O10" s="87">
        <v>1495.6039999999998</v>
      </c>
      <c r="P10" s="87">
        <v>450</v>
      </c>
      <c r="Q10" s="87">
        <v>5668.08</v>
      </c>
      <c r="R10" s="87">
        <v>620</v>
      </c>
      <c r="S10" s="87">
        <v>2249.2295000000004</v>
      </c>
      <c r="T10" s="87">
        <v>394.73684210526312</v>
      </c>
      <c r="U10" s="87">
        <v>1657.3270000000002</v>
      </c>
      <c r="V10" s="87">
        <v>375</v>
      </c>
    </row>
    <row r="11" spans="1:22" x14ac:dyDescent="0.25">
      <c r="A11" s="85" t="s">
        <v>81</v>
      </c>
      <c r="B11" s="86">
        <v>44632</v>
      </c>
      <c r="C11" s="87">
        <v>5171.4000000000005</v>
      </c>
      <c r="D11" s="87">
        <v>606.15384615384619</v>
      </c>
      <c r="E11" s="87">
        <v>2057.2439999999997</v>
      </c>
      <c r="F11" s="87">
        <v>425</v>
      </c>
      <c r="G11" s="87">
        <v>8353.52</v>
      </c>
      <c r="H11" s="87">
        <v>620</v>
      </c>
      <c r="I11" s="87">
        <v>1494.4749999999999</v>
      </c>
      <c r="J11" s="87">
        <v>526.02720018735681</v>
      </c>
      <c r="K11" s="87">
        <v>8503.5014999999985</v>
      </c>
      <c r="L11" s="87">
        <v>275</v>
      </c>
      <c r="M11" s="87">
        <v>3889.6</v>
      </c>
      <c r="N11" s="87">
        <v>585</v>
      </c>
      <c r="O11" s="87">
        <v>1616.4059999999999</v>
      </c>
      <c r="P11" s="87">
        <v>425</v>
      </c>
      <c r="Q11" s="87">
        <v>6563.48</v>
      </c>
      <c r="R11" s="87">
        <v>620</v>
      </c>
      <c r="S11" s="87">
        <v>2605.9117500000002</v>
      </c>
      <c r="T11" s="87">
        <v>382.89473684210526</v>
      </c>
      <c r="U11" s="87">
        <v>1920.1455000000001</v>
      </c>
      <c r="V11" s="87">
        <v>375</v>
      </c>
    </row>
    <row r="12" spans="1:22" x14ac:dyDescent="0.25">
      <c r="A12" s="85" t="s">
        <v>82</v>
      </c>
      <c r="B12" s="86">
        <v>44639</v>
      </c>
      <c r="C12" s="87">
        <v>5765.1750000000002</v>
      </c>
      <c r="D12" s="87">
        <v>606.15384615384619</v>
      </c>
      <c r="E12" s="87">
        <v>2367.4000000000005</v>
      </c>
      <c r="F12" s="87">
        <v>425</v>
      </c>
      <c r="G12" s="87">
        <v>10003.84</v>
      </c>
      <c r="H12" s="87">
        <v>620</v>
      </c>
      <c r="I12" s="87">
        <v>1703.875</v>
      </c>
      <c r="J12" s="87">
        <v>528.50055021641845</v>
      </c>
      <c r="K12" s="87">
        <v>9903.4150000000027</v>
      </c>
      <c r="L12" s="87">
        <v>275</v>
      </c>
      <c r="M12" s="87">
        <v>4336.2</v>
      </c>
      <c r="N12" s="87">
        <v>585</v>
      </c>
      <c r="O12" s="87">
        <v>1860.1</v>
      </c>
      <c r="P12" s="87">
        <v>425</v>
      </c>
      <c r="Q12" s="87">
        <v>7860.16</v>
      </c>
      <c r="R12" s="87">
        <v>620</v>
      </c>
      <c r="S12" s="87">
        <v>3034.9175000000005</v>
      </c>
      <c r="T12" s="87">
        <v>382.89473684210526</v>
      </c>
      <c r="U12" s="87">
        <v>2236.2550000000001</v>
      </c>
      <c r="V12" s="87">
        <v>375.00000000000006</v>
      </c>
    </row>
    <row r="13" spans="1:22" x14ac:dyDescent="0.25">
      <c r="A13" s="85" t="s">
        <v>83</v>
      </c>
      <c r="B13" s="86">
        <v>44646</v>
      </c>
      <c r="C13" s="87">
        <v>5598.0342292303767</v>
      </c>
      <c r="D13" s="87">
        <v>607.45562251346189</v>
      </c>
      <c r="E13" s="87">
        <v>2368.9960000000001</v>
      </c>
      <c r="F13" s="87">
        <v>425</v>
      </c>
      <c r="G13" s="87">
        <v>9975.2800000000007</v>
      </c>
      <c r="H13" s="87">
        <v>600</v>
      </c>
      <c r="I13" s="87">
        <v>1734.5827627675785</v>
      </c>
      <c r="J13" s="87">
        <v>540.50313226214689</v>
      </c>
      <c r="K13" s="87">
        <v>9982.470942456659</v>
      </c>
      <c r="L13" s="87">
        <v>275</v>
      </c>
      <c r="M13" s="87">
        <v>4198.92</v>
      </c>
      <c r="N13" s="87">
        <v>585</v>
      </c>
      <c r="O13" s="87">
        <v>1861.3539999999998</v>
      </c>
      <c r="P13" s="87">
        <v>425</v>
      </c>
      <c r="Q13" s="87">
        <v>7837.72</v>
      </c>
      <c r="R13" s="87">
        <v>600</v>
      </c>
      <c r="S13" s="87">
        <v>3059.1443210754287</v>
      </c>
      <c r="T13" s="87">
        <v>382.8947368421052</v>
      </c>
      <c r="U13" s="87">
        <v>2254.1063418450526</v>
      </c>
      <c r="V13" s="87">
        <v>374.99999999999994</v>
      </c>
    </row>
    <row r="14" spans="1:22" x14ac:dyDescent="0.25">
      <c r="A14" s="85" t="s">
        <v>84</v>
      </c>
      <c r="B14" s="86">
        <v>44653</v>
      </c>
      <c r="C14" s="87">
        <v>4330.9312619047623</v>
      </c>
      <c r="D14" s="87">
        <v>596.60087094542348</v>
      </c>
      <c r="E14" s="87">
        <v>1901.3680000000002</v>
      </c>
      <c r="F14" s="87">
        <v>425</v>
      </c>
      <c r="G14" s="87">
        <v>8148.0000000000009</v>
      </c>
      <c r="H14" s="87">
        <v>600</v>
      </c>
      <c r="I14" s="87">
        <v>1320.5053000000003</v>
      </c>
      <c r="J14" s="87">
        <v>558.22180402131983</v>
      </c>
      <c r="K14" s="87">
        <v>7860.1586476190478</v>
      </c>
      <c r="L14" s="87">
        <v>275</v>
      </c>
      <c r="M14" s="87">
        <v>3257.32</v>
      </c>
      <c r="N14" s="87">
        <v>575</v>
      </c>
      <c r="O14" s="87">
        <v>1493.9319999999998</v>
      </c>
      <c r="P14" s="87">
        <v>425</v>
      </c>
      <c r="Q14" s="87">
        <v>6402</v>
      </c>
      <c r="R14" s="87">
        <v>600</v>
      </c>
      <c r="S14" s="87">
        <v>2408.7582952380958</v>
      </c>
      <c r="T14" s="87">
        <v>382.8947368421052</v>
      </c>
      <c r="U14" s="87">
        <v>1774.8745333333336</v>
      </c>
      <c r="V14" s="87">
        <v>375</v>
      </c>
    </row>
    <row r="15" spans="1:22" x14ac:dyDescent="0.25">
      <c r="A15" s="85" t="s">
        <v>85</v>
      </c>
      <c r="B15" s="86">
        <v>44660</v>
      </c>
      <c r="C15" s="87">
        <v>4513.0409736190477</v>
      </c>
      <c r="D15" s="87">
        <v>596.60088779327964</v>
      </c>
      <c r="E15" s="87">
        <v>1800.82</v>
      </c>
      <c r="F15" s="87">
        <v>425</v>
      </c>
      <c r="G15" s="87">
        <v>7719.04</v>
      </c>
      <c r="H15" s="87">
        <v>600</v>
      </c>
      <c r="I15" s="87">
        <v>1324.6220892000001</v>
      </c>
      <c r="J15" s="87">
        <v>554.47319851991574</v>
      </c>
      <c r="K15" s="87">
        <v>7663.6305728761899</v>
      </c>
      <c r="L15" s="87">
        <v>275</v>
      </c>
      <c r="M15" s="87">
        <v>3394.2919999999999</v>
      </c>
      <c r="N15" s="87">
        <v>575</v>
      </c>
      <c r="O15" s="87">
        <v>1414.93</v>
      </c>
      <c r="P15" s="87">
        <v>425</v>
      </c>
      <c r="Q15" s="87">
        <v>6064.96</v>
      </c>
      <c r="R15" s="87">
        <v>600</v>
      </c>
      <c r="S15" s="87">
        <v>2348.531949752381</v>
      </c>
      <c r="T15" s="87">
        <v>382.89473684210526</v>
      </c>
      <c r="U15" s="87">
        <v>1730.4972261333335</v>
      </c>
      <c r="V15" s="87">
        <v>374.99999999999994</v>
      </c>
    </row>
    <row r="16" spans="1:22" x14ac:dyDescent="0.25">
      <c r="A16" s="85" t="s">
        <v>86</v>
      </c>
      <c r="B16" s="86">
        <v>44667</v>
      </c>
      <c r="C16" s="87">
        <v>4724.0504999999994</v>
      </c>
      <c r="D16" s="87">
        <v>596.58119658119665</v>
      </c>
      <c r="E16" s="87">
        <v>1803.48</v>
      </c>
      <c r="F16" s="87">
        <v>425</v>
      </c>
      <c r="G16" s="87">
        <v>7729.1200000000008</v>
      </c>
      <c r="H16" s="87">
        <v>600</v>
      </c>
      <c r="I16" s="87">
        <v>1431.4665</v>
      </c>
      <c r="J16" s="87">
        <v>564.69909180550155</v>
      </c>
      <c r="K16" s="87">
        <v>7780.3179999999993</v>
      </c>
      <c r="L16" s="87">
        <v>275</v>
      </c>
      <c r="M16" s="87">
        <v>3553.1319999999996</v>
      </c>
      <c r="N16" s="87">
        <v>575</v>
      </c>
      <c r="O16" s="87">
        <v>1417.0199999999998</v>
      </c>
      <c r="P16" s="87">
        <v>425</v>
      </c>
      <c r="Q16" s="87">
        <v>6072.88</v>
      </c>
      <c r="R16" s="87">
        <v>600</v>
      </c>
      <c r="S16" s="87">
        <v>2384.2910000000002</v>
      </c>
      <c r="T16" s="87">
        <v>382.8947368421052</v>
      </c>
      <c r="U16" s="87">
        <v>1756.8460000000002</v>
      </c>
      <c r="V16" s="87">
        <v>374.99999999999994</v>
      </c>
    </row>
    <row r="17" spans="1:22" x14ac:dyDescent="0.25">
      <c r="A17" s="85" t="s">
        <v>87</v>
      </c>
      <c r="B17" s="86">
        <v>44674</v>
      </c>
      <c r="C17" s="87">
        <v>4543.1099999999997</v>
      </c>
      <c r="D17" s="87">
        <v>591.79487179487182</v>
      </c>
      <c r="E17" s="87">
        <v>2293.6381999999999</v>
      </c>
      <c r="F17" s="87">
        <v>425</v>
      </c>
      <c r="G17" s="87">
        <v>8547.84</v>
      </c>
      <c r="H17" s="87">
        <v>600</v>
      </c>
      <c r="I17" s="87">
        <v>1574.6100000000001</v>
      </c>
      <c r="J17" s="87">
        <v>597.19359079391086</v>
      </c>
      <c r="K17" s="87">
        <v>8408.9925750000002</v>
      </c>
      <c r="L17" s="87">
        <v>275</v>
      </c>
      <c r="M17" s="87">
        <v>3417.04</v>
      </c>
      <c r="N17" s="87">
        <v>570</v>
      </c>
      <c r="O17" s="87">
        <v>1802.1442999999999</v>
      </c>
      <c r="P17" s="87">
        <v>425</v>
      </c>
      <c r="Q17" s="87">
        <v>6716.16</v>
      </c>
      <c r="R17" s="87">
        <v>600</v>
      </c>
      <c r="S17" s="87">
        <v>2576.9493375000002</v>
      </c>
      <c r="T17" s="87">
        <v>382.8947368421052</v>
      </c>
      <c r="U17" s="87">
        <v>1898.8047750000001</v>
      </c>
      <c r="V17" s="87">
        <v>375</v>
      </c>
    </row>
    <row r="18" spans="1:22" x14ac:dyDescent="0.25">
      <c r="A18" s="85" t="s">
        <v>88</v>
      </c>
      <c r="B18" s="86">
        <v>44681</v>
      </c>
      <c r="C18" s="87">
        <v>4914</v>
      </c>
      <c r="D18" s="87">
        <v>591.79487179487182</v>
      </c>
      <c r="E18" s="87">
        <v>2016.0000000000002</v>
      </c>
      <c r="F18" s="87">
        <v>425</v>
      </c>
      <c r="G18" s="87">
        <v>8333.36</v>
      </c>
      <c r="H18" s="87">
        <v>600</v>
      </c>
      <c r="I18" s="87">
        <v>1549.14</v>
      </c>
      <c r="J18" s="87">
        <v>601.04703254709057</v>
      </c>
      <c r="K18" s="87">
        <v>8333.1099999999988</v>
      </c>
      <c r="L18" s="87">
        <v>275</v>
      </c>
      <c r="M18" s="87">
        <v>3696</v>
      </c>
      <c r="N18" s="87">
        <v>570</v>
      </c>
      <c r="O18" s="87">
        <v>1583.9999999999998</v>
      </c>
      <c r="P18" s="87">
        <v>425</v>
      </c>
      <c r="Q18" s="87">
        <v>6547.6399999999994</v>
      </c>
      <c r="R18" s="87">
        <v>600</v>
      </c>
      <c r="S18" s="87">
        <v>2553.6950000000002</v>
      </c>
      <c r="T18" s="87">
        <v>382.89473684210526</v>
      </c>
      <c r="U18" s="87">
        <v>1881.67</v>
      </c>
      <c r="V18" s="87">
        <v>375.00000000000006</v>
      </c>
    </row>
    <row r="19" spans="1:22" x14ac:dyDescent="0.25">
      <c r="A19" s="85" t="s">
        <v>89</v>
      </c>
      <c r="B19" s="86">
        <v>44688</v>
      </c>
      <c r="C19" s="87">
        <v>5474.43</v>
      </c>
      <c r="D19" s="87">
        <v>591.79487179487182</v>
      </c>
      <c r="E19" s="87">
        <v>2196.3856008499997</v>
      </c>
      <c r="F19" s="87">
        <v>425</v>
      </c>
      <c r="G19" s="87">
        <v>9636.4800000000014</v>
      </c>
      <c r="H19" s="87">
        <v>600</v>
      </c>
      <c r="I19" s="87">
        <v>1844.5200000000002</v>
      </c>
      <c r="J19" s="87">
        <v>612.06874959339007</v>
      </c>
      <c r="K19" s="87">
        <v>9451.31631475625</v>
      </c>
      <c r="L19" s="87">
        <v>275</v>
      </c>
      <c r="M19" s="87">
        <v>4117.5200000000004</v>
      </c>
      <c r="N19" s="87">
        <v>570</v>
      </c>
      <c r="O19" s="87">
        <v>1725.731543525</v>
      </c>
      <c r="P19" s="87">
        <v>425</v>
      </c>
      <c r="Q19" s="87">
        <v>7571.52</v>
      </c>
      <c r="R19" s="87">
        <v>600</v>
      </c>
      <c r="S19" s="87">
        <v>2896.3711287156257</v>
      </c>
      <c r="T19" s="87">
        <v>382.8947368421052</v>
      </c>
      <c r="U19" s="87">
        <v>2134.1682001062504</v>
      </c>
      <c r="V19" s="87">
        <v>374.99999999999994</v>
      </c>
    </row>
    <row r="20" spans="1:22" x14ac:dyDescent="0.25">
      <c r="A20" s="85" t="s">
        <v>90</v>
      </c>
      <c r="B20" s="86">
        <v>44695</v>
      </c>
      <c r="C20" s="87">
        <v>5384.3400000000011</v>
      </c>
      <c r="D20" s="87">
        <v>596.58119658119654</v>
      </c>
      <c r="E20" s="87">
        <v>1895.5160000000001</v>
      </c>
      <c r="F20" s="87">
        <v>425</v>
      </c>
      <c r="G20" s="87">
        <v>9477.44</v>
      </c>
      <c r="H20" s="87">
        <v>600</v>
      </c>
      <c r="I20" s="87">
        <v>1921</v>
      </c>
      <c r="J20" s="87">
        <v>604.03086933888585</v>
      </c>
      <c r="K20" s="87">
        <v>9148.9834999999985</v>
      </c>
      <c r="L20" s="87">
        <v>275</v>
      </c>
      <c r="M20" s="87">
        <v>4049.76</v>
      </c>
      <c r="N20" s="87">
        <v>575</v>
      </c>
      <c r="O20" s="87">
        <v>1489.3340000000001</v>
      </c>
      <c r="P20" s="87">
        <v>425</v>
      </c>
      <c r="Q20" s="87">
        <v>7446.5599999999995</v>
      </c>
      <c r="R20" s="87">
        <v>600</v>
      </c>
      <c r="S20" s="87">
        <v>2803.72075</v>
      </c>
      <c r="T20" s="87">
        <v>382.89473684210526</v>
      </c>
      <c r="U20" s="87">
        <v>2065.8995</v>
      </c>
      <c r="V20" s="87">
        <v>374.99999999999994</v>
      </c>
    </row>
    <row r="21" spans="1:22" x14ac:dyDescent="0.25">
      <c r="A21" s="85" t="s">
        <v>91</v>
      </c>
      <c r="B21" s="86">
        <v>44702</v>
      </c>
      <c r="C21" s="87">
        <v>5285.4750000000004</v>
      </c>
      <c r="D21" s="87">
        <v>596.58119658119654</v>
      </c>
      <c r="E21" s="87">
        <v>1860.9359999999999</v>
      </c>
      <c r="F21" s="87">
        <v>425</v>
      </c>
      <c r="G21" s="87">
        <v>9303.2800000000007</v>
      </c>
      <c r="H21" s="87">
        <v>600</v>
      </c>
      <c r="I21" s="87">
        <v>2215.1000000000004</v>
      </c>
      <c r="J21" s="87">
        <v>656.80649857794219</v>
      </c>
      <c r="K21" s="87">
        <v>6373.6419999999998</v>
      </c>
      <c r="L21" s="87">
        <v>240</v>
      </c>
      <c r="M21" s="87">
        <v>3975.4</v>
      </c>
      <c r="N21" s="87">
        <v>575</v>
      </c>
      <c r="O21" s="87">
        <v>1462.164</v>
      </c>
      <c r="P21" s="87">
        <v>425</v>
      </c>
      <c r="Q21" s="87">
        <v>7309.7199999999993</v>
      </c>
      <c r="R21" s="87">
        <v>600</v>
      </c>
      <c r="S21" s="87">
        <v>3331.6764999999996</v>
      </c>
      <c r="T21" s="87">
        <v>381.52173913043481</v>
      </c>
      <c r="U21" s="87">
        <v>2607.3989999999994</v>
      </c>
      <c r="V21" s="87">
        <v>375.00000000000006</v>
      </c>
    </row>
    <row r="22" spans="1:22" x14ac:dyDescent="0.25">
      <c r="A22" s="85" t="s">
        <v>92</v>
      </c>
      <c r="B22" s="86">
        <v>44709</v>
      </c>
      <c r="C22" s="87">
        <v>4764.2400000000007</v>
      </c>
      <c r="D22" s="87">
        <v>596.58119658119654</v>
      </c>
      <c r="E22" s="87">
        <v>1845.1356000000001</v>
      </c>
      <c r="F22" s="87">
        <v>425</v>
      </c>
      <c r="G22" s="87">
        <v>8386</v>
      </c>
      <c r="H22" s="87">
        <v>600</v>
      </c>
      <c r="I22" s="87">
        <v>1996.67</v>
      </c>
      <c r="J22" s="87">
        <v>656.80838596262777</v>
      </c>
      <c r="K22" s="87">
        <v>5811.0546999999997</v>
      </c>
      <c r="L22" s="87">
        <v>240</v>
      </c>
      <c r="M22" s="87">
        <v>3583.36</v>
      </c>
      <c r="N22" s="87">
        <v>575</v>
      </c>
      <c r="O22" s="87">
        <v>1449.7493999999999</v>
      </c>
      <c r="P22" s="87">
        <v>425</v>
      </c>
      <c r="Q22" s="87">
        <v>6589</v>
      </c>
      <c r="R22" s="87">
        <v>600</v>
      </c>
      <c r="S22" s="87">
        <v>3037.596775</v>
      </c>
      <c r="T22" s="87">
        <v>381.52173913043475</v>
      </c>
      <c r="U22" s="87">
        <v>2377.2496499999997</v>
      </c>
      <c r="V22" s="87">
        <v>375</v>
      </c>
    </row>
    <row r="23" spans="1:22" x14ac:dyDescent="0.25">
      <c r="A23" s="85" t="s">
        <v>93</v>
      </c>
      <c r="B23" s="86">
        <v>44716</v>
      </c>
      <c r="C23" s="87">
        <v>4438.9800000000005</v>
      </c>
      <c r="D23" s="87">
        <v>606.15384615384619</v>
      </c>
      <c r="E23" s="87">
        <v>1562.4840000000002</v>
      </c>
      <c r="F23" s="87">
        <v>425</v>
      </c>
      <c r="G23" s="87">
        <v>7813.1200000000008</v>
      </c>
      <c r="H23" s="87">
        <v>600</v>
      </c>
      <c r="I23" s="87">
        <v>1936.1299999999999</v>
      </c>
      <c r="J23" s="87">
        <v>668.30641537500071</v>
      </c>
      <c r="K23" s="87">
        <v>5352.6329999999998</v>
      </c>
      <c r="L23" s="87">
        <v>240</v>
      </c>
      <c r="M23" s="87">
        <v>3338.72</v>
      </c>
      <c r="N23" s="87">
        <v>560</v>
      </c>
      <c r="O23" s="87">
        <v>1227.6659999999999</v>
      </c>
      <c r="P23" s="87">
        <v>425</v>
      </c>
      <c r="Q23" s="87">
        <v>6138.88</v>
      </c>
      <c r="R23" s="87">
        <v>600</v>
      </c>
      <c r="S23" s="87">
        <v>2797.9672499999997</v>
      </c>
      <c r="T23" s="87">
        <v>381.52173913043475</v>
      </c>
      <c r="U23" s="87">
        <v>2189.7134999999998</v>
      </c>
      <c r="V23" s="87">
        <v>375</v>
      </c>
    </row>
    <row r="24" spans="1:22" x14ac:dyDescent="0.25">
      <c r="A24" s="85" t="s">
        <v>94</v>
      </c>
      <c r="B24" s="86">
        <v>44723</v>
      </c>
      <c r="C24" s="87">
        <v>5499.585</v>
      </c>
      <c r="D24" s="87">
        <v>606.15384615384619</v>
      </c>
      <c r="E24" s="87">
        <v>1935.9480000000001</v>
      </c>
      <c r="F24" s="87">
        <v>425</v>
      </c>
      <c r="G24" s="87">
        <v>9679.6</v>
      </c>
      <c r="H24" s="87">
        <v>600</v>
      </c>
      <c r="I24" s="87">
        <v>2398.7200000000003</v>
      </c>
      <c r="J24" s="87">
        <v>668.30156291688888</v>
      </c>
      <c r="K24" s="87">
        <v>6631.4709999999995</v>
      </c>
      <c r="L24" s="87">
        <v>240</v>
      </c>
      <c r="M24" s="87">
        <v>4136.4399999999996</v>
      </c>
      <c r="N24" s="87">
        <v>560</v>
      </c>
      <c r="O24" s="87">
        <v>1521.1020000000001</v>
      </c>
      <c r="P24" s="87">
        <v>425</v>
      </c>
      <c r="Q24" s="87">
        <v>7605.4</v>
      </c>
      <c r="R24" s="87">
        <v>600</v>
      </c>
      <c r="S24" s="87">
        <v>3466.4507500000004</v>
      </c>
      <c r="T24" s="87">
        <v>381.52173913043475</v>
      </c>
      <c r="U24" s="87">
        <v>2712.8745000000004</v>
      </c>
      <c r="V24" s="87">
        <v>374.99999999999994</v>
      </c>
    </row>
    <row r="25" spans="1:22" x14ac:dyDescent="0.25">
      <c r="A25" s="85" t="s">
        <v>95</v>
      </c>
      <c r="B25" s="86">
        <v>44730</v>
      </c>
      <c r="C25" s="87">
        <v>5189.5349999999999</v>
      </c>
      <c r="D25" s="87">
        <v>606.15384615384619</v>
      </c>
      <c r="E25" s="87">
        <v>1826.8880000000001</v>
      </c>
      <c r="F25" s="87">
        <v>425</v>
      </c>
      <c r="G25" s="87">
        <v>9133.6</v>
      </c>
      <c r="H25" s="87">
        <v>600</v>
      </c>
      <c r="I25" s="87">
        <v>2263.4700000000003</v>
      </c>
      <c r="J25" s="87">
        <v>668.29782369547627</v>
      </c>
      <c r="K25" s="87">
        <v>6257.5259999999998</v>
      </c>
      <c r="L25" s="87">
        <v>240</v>
      </c>
      <c r="M25" s="87">
        <v>3903.2400000000002</v>
      </c>
      <c r="N25" s="87">
        <v>560</v>
      </c>
      <c r="O25" s="87">
        <v>1435.412</v>
      </c>
      <c r="P25" s="87">
        <v>425</v>
      </c>
      <c r="Q25" s="87">
        <v>7176.4</v>
      </c>
      <c r="R25" s="87">
        <v>600</v>
      </c>
      <c r="S25" s="87">
        <v>3270.9795000000004</v>
      </c>
      <c r="T25" s="87">
        <v>381.52173913043475</v>
      </c>
      <c r="U25" s="87">
        <v>2559.8969999999999</v>
      </c>
      <c r="V25" s="87">
        <v>375</v>
      </c>
    </row>
    <row r="26" spans="1:22" x14ac:dyDescent="0.25">
      <c r="A26" s="85" t="s">
        <v>96</v>
      </c>
      <c r="B26" s="86">
        <v>44737</v>
      </c>
      <c r="C26" s="87">
        <v>4905.8100000000004</v>
      </c>
      <c r="D26" s="87">
        <v>591.79487179487182</v>
      </c>
      <c r="E26" s="87">
        <v>1726.8720000000001</v>
      </c>
      <c r="F26" s="87">
        <v>425</v>
      </c>
      <c r="G26" s="87">
        <v>8635.2000000000007</v>
      </c>
      <c r="H26" s="87">
        <v>600</v>
      </c>
      <c r="I26" s="87">
        <v>2139.8000000000002</v>
      </c>
      <c r="J26" s="87">
        <v>668.30743527432469</v>
      </c>
      <c r="K26" s="87">
        <v>5915.7340000000004</v>
      </c>
      <c r="L26" s="87">
        <v>240</v>
      </c>
      <c r="M26" s="87">
        <v>3689.84</v>
      </c>
      <c r="N26" s="87">
        <v>560</v>
      </c>
      <c r="O26" s="87">
        <v>1356.828</v>
      </c>
      <c r="P26" s="87">
        <v>425</v>
      </c>
      <c r="Q26" s="87">
        <v>6784.8</v>
      </c>
      <c r="R26" s="87">
        <v>600</v>
      </c>
      <c r="S26" s="87">
        <v>3092.3155000000006</v>
      </c>
      <c r="T26" s="87">
        <v>381.52173913043475</v>
      </c>
      <c r="U26" s="87">
        <v>2420.0730000000003</v>
      </c>
      <c r="V26" s="87">
        <v>374.99999999999994</v>
      </c>
    </row>
    <row r="27" spans="1:22" x14ac:dyDescent="0.25">
      <c r="A27" s="85" t="s">
        <v>97</v>
      </c>
      <c r="B27" s="86">
        <v>44744</v>
      </c>
      <c r="C27" s="87">
        <v>4228.38</v>
      </c>
      <c r="D27" s="87">
        <v>582.22222222222229</v>
      </c>
      <c r="E27" s="87">
        <v>1488.5360000000001</v>
      </c>
      <c r="F27" s="87">
        <v>425</v>
      </c>
      <c r="G27" s="87">
        <v>7442.9600000000009</v>
      </c>
      <c r="H27" s="87">
        <v>600</v>
      </c>
      <c r="I27" s="87">
        <v>1844.36</v>
      </c>
      <c r="J27" s="87">
        <v>668.30526578325259</v>
      </c>
      <c r="K27" s="87">
        <v>5098.9619999999995</v>
      </c>
      <c r="L27" s="87">
        <v>240</v>
      </c>
      <c r="M27" s="87">
        <v>3180.32</v>
      </c>
      <c r="N27" s="87">
        <v>560</v>
      </c>
      <c r="O27" s="87">
        <v>1169.5640000000001</v>
      </c>
      <c r="P27" s="87">
        <v>425</v>
      </c>
      <c r="Q27" s="87">
        <v>5848.04</v>
      </c>
      <c r="R27" s="87">
        <v>600</v>
      </c>
      <c r="S27" s="87">
        <v>2665.3665000000001</v>
      </c>
      <c r="T27" s="87">
        <v>381.52173913043481</v>
      </c>
      <c r="U27" s="87">
        <v>2085.9389999999999</v>
      </c>
      <c r="V27" s="87">
        <v>375</v>
      </c>
    </row>
    <row r="28" spans="1:22" x14ac:dyDescent="0.25">
      <c r="A28" s="85" t="s">
        <v>98</v>
      </c>
      <c r="B28" s="86">
        <v>44751</v>
      </c>
      <c r="C28" s="87">
        <v>3687.2550000000001</v>
      </c>
      <c r="D28" s="87">
        <v>582.22222222222229</v>
      </c>
      <c r="E28" s="87">
        <v>1298.08</v>
      </c>
      <c r="F28" s="87">
        <v>425</v>
      </c>
      <c r="G28" s="87">
        <v>6489.84</v>
      </c>
      <c r="H28" s="87">
        <v>600</v>
      </c>
      <c r="I28" s="87">
        <v>1608.2699999999998</v>
      </c>
      <c r="J28" s="87">
        <v>668.29865321121451</v>
      </c>
      <c r="K28" s="87">
        <v>4446.2000000000007</v>
      </c>
      <c r="L28" s="87">
        <v>240</v>
      </c>
      <c r="M28" s="87">
        <v>2773.32</v>
      </c>
      <c r="N28" s="87">
        <v>560</v>
      </c>
      <c r="O28" s="87">
        <v>1019.9199999999998</v>
      </c>
      <c r="P28" s="87">
        <v>425</v>
      </c>
      <c r="Q28" s="87">
        <v>5099.16</v>
      </c>
      <c r="R28" s="87">
        <v>600</v>
      </c>
      <c r="S28" s="87">
        <v>2324.15</v>
      </c>
      <c r="T28" s="87">
        <v>381.52173913043475</v>
      </c>
      <c r="U28" s="87">
        <v>1818.9</v>
      </c>
      <c r="V28" s="87">
        <v>375</v>
      </c>
    </row>
    <row r="29" spans="1:22" x14ac:dyDescent="0.25">
      <c r="A29" s="85" t="s">
        <v>99</v>
      </c>
      <c r="B29" s="86">
        <v>44758</v>
      </c>
      <c r="C29" s="87">
        <v>4126.59</v>
      </c>
      <c r="D29" s="87">
        <v>578.37606837606836</v>
      </c>
      <c r="E29" s="87">
        <v>1452.8920000000001</v>
      </c>
      <c r="F29" s="87">
        <v>425</v>
      </c>
      <c r="G29" s="87">
        <v>7263.2000000000007</v>
      </c>
      <c r="H29" s="87">
        <v>600</v>
      </c>
      <c r="I29" s="87">
        <v>1799.9299999999998</v>
      </c>
      <c r="J29" s="87">
        <v>668.29518370158837</v>
      </c>
      <c r="K29" s="87">
        <v>4976.0590000000002</v>
      </c>
      <c r="L29" s="87">
        <v>240</v>
      </c>
      <c r="M29" s="87">
        <v>3103.76</v>
      </c>
      <c r="N29" s="87">
        <v>560</v>
      </c>
      <c r="O29" s="87">
        <v>1141.558</v>
      </c>
      <c r="P29" s="87">
        <v>425</v>
      </c>
      <c r="Q29" s="87">
        <v>5706.7999999999993</v>
      </c>
      <c r="R29" s="87">
        <v>600</v>
      </c>
      <c r="S29" s="87">
        <v>2601.1217500000002</v>
      </c>
      <c r="T29" s="87">
        <v>381.52173913043481</v>
      </c>
      <c r="U29" s="87">
        <v>2035.6605000000002</v>
      </c>
      <c r="V29" s="87">
        <v>375</v>
      </c>
    </row>
    <row r="30" spans="1:22" x14ac:dyDescent="0.25">
      <c r="A30" s="85" t="s">
        <v>100</v>
      </c>
      <c r="B30" s="86">
        <v>44765</v>
      </c>
      <c r="C30" s="87">
        <v>3707.1450000000004</v>
      </c>
      <c r="D30" s="87">
        <v>578.37606837606836</v>
      </c>
      <c r="E30" s="87">
        <v>1304.9960000000001</v>
      </c>
      <c r="F30" s="87">
        <v>425</v>
      </c>
      <c r="G30" s="87">
        <v>6524.56</v>
      </c>
      <c r="H30" s="87">
        <v>600</v>
      </c>
      <c r="I30" s="87">
        <v>1616.9</v>
      </c>
      <c r="J30" s="87">
        <v>668.29892077432112</v>
      </c>
      <c r="K30" s="87">
        <v>4470.0369999999994</v>
      </c>
      <c r="L30" s="87">
        <v>240</v>
      </c>
      <c r="M30" s="87">
        <v>2788.28</v>
      </c>
      <c r="N30" s="87">
        <v>560</v>
      </c>
      <c r="O30" s="87">
        <v>1025.3539999999998</v>
      </c>
      <c r="P30" s="87">
        <v>425</v>
      </c>
      <c r="Q30" s="87">
        <v>5126.4399999999987</v>
      </c>
      <c r="R30" s="87">
        <v>600</v>
      </c>
      <c r="S30" s="87">
        <v>2336.6102499999997</v>
      </c>
      <c r="T30" s="87">
        <v>381.52173913043481</v>
      </c>
      <c r="U30" s="87">
        <v>1828.6514999999997</v>
      </c>
      <c r="V30" s="87">
        <v>375.00000000000006</v>
      </c>
    </row>
    <row r="31" spans="1:22" x14ac:dyDescent="0.25">
      <c r="A31" s="85" t="s">
        <v>101</v>
      </c>
      <c r="B31" s="86">
        <v>44772</v>
      </c>
      <c r="C31" s="87">
        <v>4413.2400000000007</v>
      </c>
      <c r="D31" s="87">
        <v>602.30769230769226</v>
      </c>
      <c r="E31" s="87">
        <v>1553.44</v>
      </c>
      <c r="F31" s="87">
        <v>425</v>
      </c>
      <c r="G31" s="87">
        <v>7767.2000000000007</v>
      </c>
      <c r="H31" s="87">
        <v>600</v>
      </c>
      <c r="I31" s="87">
        <v>1924.84</v>
      </c>
      <c r="J31" s="87">
        <v>668.30146921302548</v>
      </c>
      <c r="K31" s="87">
        <v>5321.3600000000006</v>
      </c>
      <c r="L31" s="87">
        <v>240</v>
      </c>
      <c r="M31" s="87">
        <v>3319.36</v>
      </c>
      <c r="N31" s="87">
        <v>585</v>
      </c>
      <c r="O31" s="87">
        <v>1220.56</v>
      </c>
      <c r="P31" s="87">
        <v>425</v>
      </c>
      <c r="Q31" s="87">
        <v>6102.8</v>
      </c>
      <c r="R31" s="87">
        <v>600</v>
      </c>
      <c r="S31" s="87">
        <v>2781.62</v>
      </c>
      <c r="T31" s="87">
        <v>381.52173913043481</v>
      </c>
      <c r="U31" s="87">
        <v>2176.92</v>
      </c>
      <c r="V31" s="87">
        <v>374.99999999999994</v>
      </c>
    </row>
    <row r="32" spans="1:22" x14ac:dyDescent="0.25">
      <c r="A32" s="85" t="s">
        <v>102</v>
      </c>
      <c r="B32" s="86">
        <v>44779</v>
      </c>
      <c r="C32" s="87">
        <v>4556.5650000000005</v>
      </c>
      <c r="D32" s="87">
        <v>602.30769230769226</v>
      </c>
      <c r="E32" s="87">
        <v>1603.98</v>
      </c>
      <c r="F32" s="87">
        <v>425</v>
      </c>
      <c r="G32" s="87">
        <v>8019.7600000000011</v>
      </c>
      <c r="H32" s="87">
        <v>600</v>
      </c>
      <c r="I32" s="87">
        <v>1987.3999999999996</v>
      </c>
      <c r="J32" s="87">
        <v>668.3013107577741</v>
      </c>
      <c r="K32" s="87">
        <v>5494.3350000000009</v>
      </c>
      <c r="L32" s="87">
        <v>240</v>
      </c>
      <c r="M32" s="87">
        <v>3427.16</v>
      </c>
      <c r="N32" s="87">
        <v>585</v>
      </c>
      <c r="O32" s="87">
        <v>1260.2699999999998</v>
      </c>
      <c r="P32" s="87">
        <v>425</v>
      </c>
      <c r="Q32" s="87">
        <v>6301.24</v>
      </c>
      <c r="R32" s="87">
        <v>600</v>
      </c>
      <c r="S32" s="87">
        <v>2872.0387500000006</v>
      </c>
      <c r="T32" s="87">
        <v>381.5217391304347</v>
      </c>
      <c r="U32" s="87">
        <v>2247.6825000000003</v>
      </c>
      <c r="V32" s="87">
        <v>374.99999999999994</v>
      </c>
    </row>
    <row r="33" spans="1:22" x14ac:dyDescent="0.25">
      <c r="A33" s="85" t="s">
        <v>103</v>
      </c>
      <c r="B33" s="86">
        <v>44786</v>
      </c>
      <c r="C33" s="87">
        <v>5124.6000000000004</v>
      </c>
      <c r="D33" s="87">
        <v>602.30769230769226</v>
      </c>
      <c r="E33" s="87">
        <v>1804.0120000000002</v>
      </c>
      <c r="F33" s="87">
        <v>425</v>
      </c>
      <c r="G33" s="87">
        <v>9020.4800000000014</v>
      </c>
      <c r="H33" s="87">
        <v>600</v>
      </c>
      <c r="I33" s="87">
        <v>2235.27</v>
      </c>
      <c r="J33" s="87">
        <v>668.30557382329653</v>
      </c>
      <c r="K33" s="87">
        <v>6179.6790000000001</v>
      </c>
      <c r="L33" s="87">
        <v>240</v>
      </c>
      <c r="M33" s="87">
        <v>3854.4</v>
      </c>
      <c r="N33" s="87">
        <v>585</v>
      </c>
      <c r="O33" s="87">
        <v>1417.4379999999999</v>
      </c>
      <c r="P33" s="87">
        <v>425</v>
      </c>
      <c r="Q33" s="87">
        <v>7087.5199999999995</v>
      </c>
      <c r="R33" s="87">
        <v>600</v>
      </c>
      <c r="S33" s="87">
        <v>3230.2867499999998</v>
      </c>
      <c r="T33" s="87">
        <v>381.52173913043481</v>
      </c>
      <c r="U33" s="87">
        <v>2528.0504999999998</v>
      </c>
      <c r="V33" s="87">
        <v>375</v>
      </c>
    </row>
    <row r="34" spans="1:22" x14ac:dyDescent="0.25">
      <c r="A34" s="85" t="s">
        <v>104</v>
      </c>
      <c r="B34" s="86">
        <v>44793</v>
      </c>
      <c r="C34" s="87">
        <v>5353.335</v>
      </c>
      <c r="D34" s="87">
        <v>578.37606837606836</v>
      </c>
      <c r="E34" s="87">
        <v>1884.3440000000001</v>
      </c>
      <c r="F34" s="87">
        <v>425</v>
      </c>
      <c r="G34" s="87">
        <v>9422</v>
      </c>
      <c r="H34" s="87">
        <v>600</v>
      </c>
      <c r="I34" s="87">
        <v>2334.8900000000003</v>
      </c>
      <c r="J34" s="87">
        <v>668.3031213461876</v>
      </c>
      <c r="K34" s="87">
        <v>6454.9980000000005</v>
      </c>
      <c r="L34" s="87">
        <v>240</v>
      </c>
      <c r="M34" s="87">
        <v>4026.44</v>
      </c>
      <c r="N34" s="87">
        <v>570</v>
      </c>
      <c r="O34" s="87">
        <v>1480.556</v>
      </c>
      <c r="P34" s="87">
        <v>425</v>
      </c>
      <c r="Q34" s="87">
        <v>7403</v>
      </c>
      <c r="R34" s="87">
        <v>600</v>
      </c>
      <c r="S34" s="87">
        <v>3374.2035000000001</v>
      </c>
      <c r="T34" s="87">
        <v>381.52173913043481</v>
      </c>
      <c r="U34" s="87">
        <v>2640.681</v>
      </c>
      <c r="V34" s="87">
        <v>375</v>
      </c>
    </row>
    <row r="35" spans="1:22" x14ac:dyDescent="0.25">
      <c r="A35" s="85" t="s">
        <v>105</v>
      </c>
      <c r="B35" s="86">
        <v>44800</v>
      </c>
      <c r="C35" s="87">
        <v>5294.2500000000009</v>
      </c>
      <c r="D35" s="87">
        <v>578.37606837606836</v>
      </c>
      <c r="E35" s="87">
        <v>1863.5960000000002</v>
      </c>
      <c r="F35" s="87">
        <v>425</v>
      </c>
      <c r="G35" s="87">
        <v>9318.9600000000009</v>
      </c>
      <c r="H35" s="87">
        <v>600</v>
      </c>
      <c r="I35" s="87">
        <v>2309.23</v>
      </c>
      <c r="J35" s="87">
        <v>668.30781256089688</v>
      </c>
      <c r="K35" s="87">
        <v>6384.1470000000018</v>
      </c>
      <c r="L35" s="87">
        <v>240</v>
      </c>
      <c r="M35" s="87">
        <v>3982</v>
      </c>
      <c r="N35" s="87">
        <v>570</v>
      </c>
      <c r="O35" s="87">
        <v>1464.2539999999999</v>
      </c>
      <c r="P35" s="87">
        <v>425</v>
      </c>
      <c r="Q35" s="87">
        <v>7322.0399999999991</v>
      </c>
      <c r="R35" s="87">
        <v>600</v>
      </c>
      <c r="S35" s="87">
        <v>3337.1677500000001</v>
      </c>
      <c r="T35" s="87">
        <v>381.52173913043481</v>
      </c>
      <c r="U35" s="87">
        <v>2611.6965</v>
      </c>
      <c r="V35" s="87">
        <v>375.00000000000006</v>
      </c>
    </row>
    <row r="36" spans="1:22" x14ac:dyDescent="0.25">
      <c r="A36" s="85" t="s">
        <v>106</v>
      </c>
      <c r="B36" s="86">
        <v>44807</v>
      </c>
      <c r="C36" s="87">
        <v>4821.7917472645277</v>
      </c>
      <c r="D36" s="87">
        <v>578.37606837606836</v>
      </c>
      <c r="E36" s="87">
        <v>1697.2971146828329</v>
      </c>
      <c r="F36" s="87">
        <v>425</v>
      </c>
      <c r="G36" s="87">
        <v>8487.3111873428952</v>
      </c>
      <c r="H36" s="87">
        <v>600</v>
      </c>
      <c r="I36" s="87">
        <v>2185.5769866183646</v>
      </c>
      <c r="J36" s="87">
        <v>612.05627209195643</v>
      </c>
      <c r="K36" s="87">
        <v>8193.0456742902552</v>
      </c>
      <c r="L36" s="87">
        <v>275</v>
      </c>
      <c r="M36" s="87">
        <v>3626.6467842673364</v>
      </c>
      <c r="N36" s="87">
        <v>560</v>
      </c>
      <c r="O36" s="87">
        <v>1333.59059010794</v>
      </c>
      <c r="P36" s="87">
        <v>425</v>
      </c>
      <c r="Q36" s="87">
        <v>6668.6016471979874</v>
      </c>
      <c r="R36" s="87">
        <v>600</v>
      </c>
      <c r="S36" s="87">
        <v>2510.7720614760465</v>
      </c>
      <c r="T36" s="87">
        <v>382.89473684210526</v>
      </c>
      <c r="U36" s="87">
        <v>1850.0425716139289</v>
      </c>
      <c r="V36" s="87">
        <v>375</v>
      </c>
    </row>
    <row r="37" spans="1:22" x14ac:dyDescent="0.25">
      <c r="A37" s="85" t="s">
        <v>107</v>
      </c>
      <c r="B37" s="86">
        <v>44814</v>
      </c>
      <c r="C37" s="87">
        <v>4265.5714005892323</v>
      </c>
      <c r="D37" s="87">
        <v>578.37606837606836</v>
      </c>
      <c r="E37" s="87">
        <v>1501.5045050008723</v>
      </c>
      <c r="F37" s="87">
        <v>425</v>
      </c>
      <c r="G37" s="87">
        <v>7508.2528998000598</v>
      </c>
      <c r="H37" s="87">
        <v>600</v>
      </c>
      <c r="I37" s="87">
        <v>1933.4585931037386</v>
      </c>
      <c r="J37" s="87">
        <v>612.05627209195643</v>
      </c>
      <c r="K37" s="87">
        <v>7247.932541217765</v>
      </c>
      <c r="L37" s="87">
        <v>275</v>
      </c>
      <c r="M37" s="87">
        <v>3208.2930192466015</v>
      </c>
      <c r="N37" s="87">
        <v>560</v>
      </c>
      <c r="O37" s="87">
        <v>1179.7535396435421</v>
      </c>
      <c r="P37" s="87">
        <v>425</v>
      </c>
      <c r="Q37" s="87">
        <v>5899.3415641286183</v>
      </c>
      <c r="R37" s="87">
        <v>600</v>
      </c>
      <c r="S37" s="87">
        <v>2221.1406174699605</v>
      </c>
      <c r="T37" s="87">
        <v>382.8947368421052</v>
      </c>
      <c r="U37" s="87">
        <v>1636.6299286620761</v>
      </c>
      <c r="V37" s="87">
        <v>375</v>
      </c>
    </row>
    <row r="38" spans="1:22" x14ac:dyDescent="0.25">
      <c r="A38" s="85" t="s">
        <v>108</v>
      </c>
      <c r="B38" s="86">
        <v>44821</v>
      </c>
      <c r="C38" s="87">
        <v>4342.7252013928355</v>
      </c>
      <c r="D38" s="87">
        <v>578.37606837606836</v>
      </c>
      <c r="E38" s="87">
        <v>1528.6630656261959</v>
      </c>
      <c r="F38" s="87">
        <v>425</v>
      </c>
      <c r="G38" s="87">
        <v>7644.0589136284143</v>
      </c>
      <c r="H38" s="87">
        <v>600</v>
      </c>
      <c r="I38" s="87">
        <v>1968.4301514590234</v>
      </c>
      <c r="J38" s="87">
        <v>612.05627209195654</v>
      </c>
      <c r="K38" s="87">
        <v>7379.0299935885823</v>
      </c>
      <c r="L38" s="87">
        <v>275</v>
      </c>
      <c r="M38" s="87">
        <v>3266.3232283980296</v>
      </c>
      <c r="N38" s="87">
        <v>560</v>
      </c>
      <c r="O38" s="87">
        <v>1201.0924087062967</v>
      </c>
      <c r="P38" s="87">
        <v>425</v>
      </c>
      <c r="Q38" s="87">
        <v>6006.0462892794676</v>
      </c>
      <c r="R38" s="87">
        <v>600</v>
      </c>
      <c r="S38" s="87">
        <v>2261.3156431965012</v>
      </c>
      <c r="T38" s="87">
        <v>382.89473684210532</v>
      </c>
      <c r="U38" s="87">
        <v>1666.232579197422</v>
      </c>
      <c r="V38" s="87">
        <v>375.00000000000006</v>
      </c>
    </row>
    <row r="39" spans="1:22" x14ac:dyDescent="0.25">
      <c r="A39" s="85" t="s">
        <v>109</v>
      </c>
      <c r="B39" s="86">
        <v>44828</v>
      </c>
      <c r="C39" s="87">
        <v>4551.230279857582</v>
      </c>
      <c r="D39" s="87">
        <v>597.52136752136755</v>
      </c>
      <c r="E39" s="87">
        <v>1602.0579956904617</v>
      </c>
      <c r="F39" s="87">
        <v>425</v>
      </c>
      <c r="G39" s="87">
        <v>8011.0692653458227</v>
      </c>
      <c r="H39" s="87">
        <v>600</v>
      </c>
      <c r="I39" s="87">
        <v>2062.9393971858085</v>
      </c>
      <c r="J39" s="87">
        <v>612.05627209195654</v>
      </c>
      <c r="K39" s="87">
        <v>7733.3156452143057</v>
      </c>
      <c r="L39" s="87">
        <v>275</v>
      </c>
      <c r="M39" s="87">
        <v>3423.1475609185236</v>
      </c>
      <c r="N39" s="87">
        <v>565</v>
      </c>
      <c r="O39" s="87">
        <v>1258.7598537567912</v>
      </c>
      <c r="P39" s="87">
        <v>425</v>
      </c>
      <c r="Q39" s="87">
        <v>6294.4115656288614</v>
      </c>
      <c r="R39" s="87">
        <v>600</v>
      </c>
      <c r="S39" s="87">
        <v>2369.8870525656744</v>
      </c>
      <c r="T39" s="87">
        <v>382.89473684210532</v>
      </c>
      <c r="U39" s="87">
        <v>1746.2325650483917</v>
      </c>
      <c r="V39" s="87">
        <v>375.00000000000006</v>
      </c>
    </row>
    <row r="40" spans="1:22" x14ac:dyDescent="0.25">
      <c r="A40" s="85" t="s">
        <v>110</v>
      </c>
      <c r="B40" s="86">
        <v>44835</v>
      </c>
      <c r="C40" s="87">
        <v>5069.8735468354944</v>
      </c>
      <c r="D40" s="87">
        <v>583.59326223754374</v>
      </c>
      <c r="E40" s="87">
        <v>1743.0240508761235</v>
      </c>
      <c r="F40" s="87">
        <v>425</v>
      </c>
      <c r="G40" s="87">
        <v>8715.9681112007729</v>
      </c>
      <c r="H40" s="87">
        <v>600</v>
      </c>
      <c r="I40" s="87">
        <v>2362.6364394775687</v>
      </c>
      <c r="J40" s="87">
        <v>617.90194673025167</v>
      </c>
      <c r="K40" s="87">
        <v>8413.7747814901995</v>
      </c>
      <c r="L40" s="87">
        <v>275</v>
      </c>
      <c r="M40" s="87">
        <v>3724.3523920040138</v>
      </c>
      <c r="N40" s="87">
        <v>565</v>
      </c>
      <c r="O40" s="87">
        <v>1369.5188971169541</v>
      </c>
      <c r="P40" s="87">
        <v>425</v>
      </c>
      <c r="Q40" s="87">
        <v>6848.2606588006074</v>
      </c>
      <c r="R40" s="87">
        <v>600</v>
      </c>
      <c r="S40" s="87">
        <v>2578.4148523921585</v>
      </c>
      <c r="T40" s="87">
        <v>382.8947368421052</v>
      </c>
      <c r="U40" s="87">
        <v>1899.8846280784326</v>
      </c>
      <c r="V40" s="87">
        <v>375</v>
      </c>
    </row>
    <row r="41" spans="1:22" x14ac:dyDescent="0.25">
      <c r="A41" s="85" t="s">
        <v>111</v>
      </c>
      <c r="B41" s="86">
        <v>44842</v>
      </c>
      <c r="C41" s="87">
        <v>4699.3669867969529</v>
      </c>
      <c r="D41" s="87">
        <v>586.22827598192566</v>
      </c>
      <c r="E41" s="87">
        <v>1622.9386653557413</v>
      </c>
      <c r="F41" s="87">
        <v>425</v>
      </c>
      <c r="G41" s="87">
        <v>8115.4827706279884</v>
      </c>
      <c r="H41" s="87">
        <v>600</v>
      </c>
      <c r="I41" s="87">
        <v>2178.6445816135329</v>
      </c>
      <c r="J41" s="87">
        <v>618.07629829582288</v>
      </c>
      <c r="K41" s="87">
        <v>7834.1090059037642</v>
      </c>
      <c r="L41" s="87">
        <v>275</v>
      </c>
      <c r="M41" s="87">
        <v>3467.763681949923</v>
      </c>
      <c r="N41" s="87">
        <v>565</v>
      </c>
      <c r="O41" s="87">
        <v>1275.1660942080823</v>
      </c>
      <c r="P41" s="87">
        <v>425</v>
      </c>
      <c r="Q41" s="87">
        <v>6376.4507483505622</v>
      </c>
      <c r="R41" s="87">
        <v>600</v>
      </c>
      <c r="S41" s="87">
        <v>2400.775340518896</v>
      </c>
      <c r="T41" s="87">
        <v>382.89473684210526</v>
      </c>
      <c r="U41" s="87">
        <v>1768.9923561718178</v>
      </c>
      <c r="V41" s="87">
        <v>375.00000000000006</v>
      </c>
    </row>
    <row r="42" spans="1:22" x14ac:dyDescent="0.25">
      <c r="A42" s="85" t="s">
        <v>112</v>
      </c>
      <c r="B42" s="86">
        <v>44849</v>
      </c>
      <c r="C42" s="87">
        <v>4899.1067585966666</v>
      </c>
      <c r="D42" s="87">
        <v>598.50481446809397</v>
      </c>
      <c r="E42" s="87">
        <v>1713.6241169369378</v>
      </c>
      <c r="F42" s="87">
        <v>425</v>
      </c>
      <c r="G42" s="87">
        <v>8568.9541405349337</v>
      </c>
      <c r="H42" s="87">
        <v>600</v>
      </c>
      <c r="I42" s="87">
        <v>2237.533158907514</v>
      </c>
      <c r="J42" s="87">
        <v>618.58402856368434</v>
      </c>
      <c r="K42" s="87">
        <v>8271.857965924366</v>
      </c>
      <c r="L42" s="87">
        <v>275</v>
      </c>
      <c r="M42" s="87">
        <v>3661.5329981831833</v>
      </c>
      <c r="N42" s="87">
        <v>565</v>
      </c>
      <c r="O42" s="87">
        <v>1346.4189490218796</v>
      </c>
      <c r="P42" s="87">
        <v>425</v>
      </c>
      <c r="Q42" s="87">
        <v>6732.7496818488771</v>
      </c>
      <c r="R42" s="87">
        <v>600</v>
      </c>
      <c r="S42" s="87">
        <v>2534.9242153639188</v>
      </c>
      <c r="T42" s="87">
        <v>382.89473684210532</v>
      </c>
      <c r="U42" s="87">
        <v>1867.8388955313087</v>
      </c>
      <c r="V42" s="87">
        <v>375</v>
      </c>
    </row>
    <row r="43" spans="1:22" x14ac:dyDescent="0.25">
      <c r="A43" s="85" t="s">
        <v>113</v>
      </c>
      <c r="B43" s="86">
        <v>44856</v>
      </c>
      <c r="C43" s="87">
        <v>5150.7545819389597</v>
      </c>
      <c r="D43" s="87">
        <v>586.84207652425494</v>
      </c>
      <c r="E43" s="87">
        <v>1766.5385393918596</v>
      </c>
      <c r="F43" s="87">
        <v>425</v>
      </c>
      <c r="G43" s="87">
        <v>8833.5519919001435</v>
      </c>
      <c r="H43" s="87">
        <v>600</v>
      </c>
      <c r="I43" s="87">
        <v>2406.995146711638</v>
      </c>
      <c r="J43" s="87">
        <v>617.80908803212867</v>
      </c>
      <c r="K43" s="87">
        <v>8527.2818844896647</v>
      </c>
      <c r="L43" s="87">
        <v>275</v>
      </c>
      <c r="M43" s="87">
        <v>3774.5962434909238</v>
      </c>
      <c r="N43" s="87">
        <v>565</v>
      </c>
      <c r="O43" s="87">
        <v>1387.9945666650324</v>
      </c>
      <c r="P43" s="87">
        <v>425</v>
      </c>
      <c r="Q43" s="87">
        <v>6940.6479936358264</v>
      </c>
      <c r="R43" s="87">
        <v>600</v>
      </c>
      <c r="S43" s="87">
        <v>2613.1992871823172</v>
      </c>
      <c r="T43" s="87">
        <v>382.8947368421052</v>
      </c>
      <c r="U43" s="87">
        <v>1925.5152642396022</v>
      </c>
      <c r="V43" s="87">
        <v>375</v>
      </c>
    </row>
    <row r="44" spans="1:22" x14ac:dyDescent="0.25">
      <c r="A44" s="85" t="s">
        <v>114</v>
      </c>
      <c r="B44" s="86">
        <v>44863</v>
      </c>
      <c r="C44" s="87">
        <v>5445.2130558674326</v>
      </c>
      <c r="D44" s="87">
        <v>588.43668165041129</v>
      </c>
      <c r="E44" s="87">
        <v>1872.6026289055658</v>
      </c>
      <c r="F44" s="87">
        <v>425</v>
      </c>
      <c r="G44" s="87">
        <v>9363.9240320795871</v>
      </c>
      <c r="H44" s="87">
        <v>600</v>
      </c>
      <c r="I44" s="87">
        <v>2536.7165714035796</v>
      </c>
      <c r="J44" s="87">
        <v>617.91296434422509</v>
      </c>
      <c r="K44" s="87">
        <v>9039.2652740037574</v>
      </c>
      <c r="L44" s="87">
        <v>275</v>
      </c>
      <c r="M44" s="87">
        <v>4001.2253856921138</v>
      </c>
      <c r="N44" s="87">
        <v>585</v>
      </c>
      <c r="O44" s="87">
        <v>1471.3306369972302</v>
      </c>
      <c r="P44" s="87">
        <v>425</v>
      </c>
      <c r="Q44" s="87">
        <v>7357.3688823482462</v>
      </c>
      <c r="R44" s="87">
        <v>600</v>
      </c>
      <c r="S44" s="87">
        <v>2770.0974226785711</v>
      </c>
      <c r="T44" s="87">
        <v>382.89473684210526</v>
      </c>
      <c r="U44" s="87">
        <v>2041.124416710526</v>
      </c>
      <c r="V44" s="87">
        <v>375</v>
      </c>
    </row>
    <row r="45" spans="1:22" x14ac:dyDescent="0.25">
      <c r="A45" s="85" t="s">
        <v>115</v>
      </c>
      <c r="B45" s="86">
        <v>44870</v>
      </c>
      <c r="C45" s="87">
        <v>6361.7433752018324</v>
      </c>
      <c r="D45" s="87">
        <v>601.18796607670049</v>
      </c>
      <c r="E45" s="87">
        <v>2166.3447237767487</v>
      </c>
      <c r="F45" s="87">
        <v>475</v>
      </c>
      <c r="G45" s="87">
        <v>10832.777391003488</v>
      </c>
      <c r="H45" s="87">
        <v>700</v>
      </c>
      <c r="I45" s="87">
        <v>2853.3180297543167</v>
      </c>
      <c r="J45" s="87">
        <v>640.32190709886697</v>
      </c>
      <c r="K45" s="87">
        <v>9445.205389457411</v>
      </c>
      <c r="L45" s="87">
        <v>275</v>
      </c>
      <c r="M45" s="87">
        <v>4628.8696646771714</v>
      </c>
      <c r="N45" s="87">
        <v>605</v>
      </c>
      <c r="O45" s="87">
        <v>1702.1279972531593</v>
      </c>
      <c r="P45" s="87">
        <v>475</v>
      </c>
      <c r="Q45" s="87">
        <v>8511.4679500741695</v>
      </c>
      <c r="R45" s="87">
        <v>700</v>
      </c>
      <c r="S45" s="87">
        <v>2867.2944932281425</v>
      </c>
      <c r="T45" s="87">
        <v>383.8235294117647</v>
      </c>
      <c r="U45" s="87">
        <v>2023.9725834551591</v>
      </c>
      <c r="V45" s="87">
        <v>375.00000000000006</v>
      </c>
    </row>
    <row r="46" spans="1:22" x14ac:dyDescent="0.25">
      <c r="A46" s="85" t="s">
        <v>116</v>
      </c>
      <c r="B46" s="86">
        <v>44877</v>
      </c>
      <c r="C46" s="87">
        <v>6748.6518480420355</v>
      </c>
      <c r="D46" s="87">
        <v>605.91666666666663</v>
      </c>
      <c r="E46" s="87">
        <v>2316.1733671460465</v>
      </c>
      <c r="F46" s="87">
        <v>475</v>
      </c>
      <c r="G46" s="87">
        <v>11581.993488793343</v>
      </c>
      <c r="H46" s="87">
        <v>700</v>
      </c>
      <c r="I46" s="87">
        <v>3308.2127191964173</v>
      </c>
      <c r="J46" s="87">
        <v>643.2889264481031</v>
      </c>
      <c r="K46" s="87">
        <v>10098.454290389313</v>
      </c>
      <c r="L46" s="87">
        <v>275</v>
      </c>
      <c r="M46" s="87">
        <v>4949.0113552308258</v>
      </c>
      <c r="N46" s="87">
        <v>605</v>
      </c>
      <c r="O46" s="87">
        <v>1819.8505027576075</v>
      </c>
      <c r="P46" s="87">
        <v>475</v>
      </c>
      <c r="Q46" s="87">
        <v>9100.1377411947688</v>
      </c>
      <c r="R46" s="87">
        <v>700</v>
      </c>
      <c r="S46" s="87">
        <v>3065.6021952967553</v>
      </c>
      <c r="T46" s="87">
        <v>383.82352941176464</v>
      </c>
      <c r="U46" s="87">
        <v>2163.9544907977097</v>
      </c>
      <c r="V46" s="87">
        <v>374.99999999999994</v>
      </c>
    </row>
    <row r="47" spans="1:22" x14ac:dyDescent="0.25">
      <c r="A47" s="85" t="s">
        <v>117</v>
      </c>
      <c r="B47" s="86">
        <v>44884</v>
      </c>
      <c r="C47" s="87">
        <v>6563.7065766037522</v>
      </c>
      <c r="D47" s="87">
        <v>610.93559586226445</v>
      </c>
      <c r="E47" s="87">
        <v>2271.358720640405</v>
      </c>
      <c r="F47" s="87">
        <v>475</v>
      </c>
      <c r="G47" s="87">
        <v>11357.898457137544</v>
      </c>
      <c r="H47" s="87">
        <v>700</v>
      </c>
      <c r="I47" s="87">
        <v>3468.9351426512417</v>
      </c>
      <c r="J47" s="87">
        <v>707.37866311208825</v>
      </c>
      <c r="K47" s="87">
        <v>9903.0636233103578</v>
      </c>
      <c r="L47" s="87">
        <v>275</v>
      </c>
      <c r="M47" s="87">
        <v>4853.2550540907441</v>
      </c>
      <c r="N47" s="87">
        <v>605</v>
      </c>
      <c r="O47" s="87">
        <v>1784.6389947888897</v>
      </c>
      <c r="P47" s="87">
        <v>475</v>
      </c>
      <c r="Q47" s="87">
        <v>8924.0630734652132</v>
      </c>
      <c r="R47" s="87">
        <v>700</v>
      </c>
      <c r="S47" s="87">
        <v>3006.2871713620725</v>
      </c>
      <c r="T47" s="87">
        <v>383.82352941176475</v>
      </c>
      <c r="U47" s="87">
        <v>2122.0850621379336</v>
      </c>
      <c r="V47" s="87">
        <v>374.99999999999994</v>
      </c>
    </row>
    <row r="48" spans="1:22" x14ac:dyDescent="0.25">
      <c r="A48" s="85" t="s">
        <v>118</v>
      </c>
      <c r="B48" s="86">
        <v>44891</v>
      </c>
      <c r="C48" s="87">
        <v>15792.243378643783</v>
      </c>
      <c r="D48" s="87">
        <v>604.64877557095519</v>
      </c>
      <c r="E48" s="87">
        <v>5408.6408868478393</v>
      </c>
      <c r="F48" s="87">
        <v>475</v>
      </c>
      <c r="G48" s="87">
        <v>27045.835352074995</v>
      </c>
      <c r="H48" s="87">
        <v>700</v>
      </c>
      <c r="I48" s="87">
        <v>7672.0578703459614</v>
      </c>
      <c r="J48" s="87">
        <v>708.74357383132644</v>
      </c>
      <c r="K48" s="87">
        <v>23581.530443148222</v>
      </c>
      <c r="L48" s="87">
        <v>275</v>
      </c>
      <c r="M48" s="87">
        <v>11556.745080079259</v>
      </c>
      <c r="N48" s="87">
        <v>605</v>
      </c>
      <c r="O48" s="87">
        <v>4249.6464110947309</v>
      </c>
      <c r="P48" s="87">
        <v>475</v>
      </c>
      <c r="Q48" s="87">
        <v>21250.299205201787</v>
      </c>
      <c r="R48" s="87">
        <v>700</v>
      </c>
      <c r="S48" s="87">
        <v>7158.6788845271376</v>
      </c>
      <c r="T48" s="87">
        <v>383.82352941176475</v>
      </c>
      <c r="U48" s="87">
        <v>5053.1850949603322</v>
      </c>
      <c r="V48" s="87">
        <v>375.00000000000006</v>
      </c>
    </row>
    <row r="49" spans="1:22" x14ac:dyDescent="0.25">
      <c r="A49" s="85" t="s">
        <v>119</v>
      </c>
      <c r="B49" s="86">
        <v>44898</v>
      </c>
      <c r="C49" s="87">
        <v>21449.067680912249</v>
      </c>
      <c r="D49" s="87">
        <v>611.88034188034203</v>
      </c>
      <c r="E49" s="87">
        <v>7550.1893477880913</v>
      </c>
      <c r="F49" s="87">
        <v>475</v>
      </c>
      <c r="G49" s="87">
        <v>37754.61936728358</v>
      </c>
      <c r="H49" s="87">
        <v>700</v>
      </c>
      <c r="I49" s="87">
        <v>9104.9288736567814</v>
      </c>
      <c r="J49" s="87">
        <v>718.04430520729875</v>
      </c>
      <c r="K49" s="87">
        <v>32918.624786006658</v>
      </c>
      <c r="L49" s="87">
        <v>275</v>
      </c>
      <c r="M49" s="87">
        <v>16132.632101882715</v>
      </c>
      <c r="N49" s="87">
        <v>595</v>
      </c>
      <c r="O49" s="87">
        <v>5932.2916304049286</v>
      </c>
      <c r="P49" s="87">
        <v>475</v>
      </c>
      <c r="Q49" s="87">
        <v>29664.34378857995</v>
      </c>
      <c r="R49" s="87">
        <v>700</v>
      </c>
      <c r="S49" s="87">
        <v>9993.1539528948761</v>
      </c>
      <c r="T49" s="87">
        <v>383.82352941176475</v>
      </c>
      <c r="U49" s="87">
        <v>7053.9910255728537</v>
      </c>
      <c r="V49" s="87">
        <v>375</v>
      </c>
    </row>
    <row r="50" spans="1:22" x14ac:dyDescent="0.25">
      <c r="A50" s="85" t="s">
        <v>120</v>
      </c>
      <c r="B50" s="86">
        <v>44905</v>
      </c>
      <c r="C50" s="87">
        <v>18621.894755276368</v>
      </c>
      <c r="D50" s="87">
        <v>597.52136752136755</v>
      </c>
      <c r="E50" s="87">
        <v>6555.0089872688932</v>
      </c>
      <c r="F50" s="87">
        <v>475</v>
      </c>
      <c r="G50" s="87">
        <v>32778.233480457347</v>
      </c>
      <c r="H50" s="87">
        <v>700</v>
      </c>
      <c r="I50" s="87">
        <v>8283.4084178347657</v>
      </c>
      <c r="J50" s="87">
        <v>717.8334582981006</v>
      </c>
      <c r="K50" s="87">
        <v>28579.664877414205</v>
      </c>
      <c r="L50" s="87">
        <v>275</v>
      </c>
      <c r="M50" s="87">
        <v>14006.211439865983</v>
      </c>
      <c r="N50" s="87">
        <v>580</v>
      </c>
      <c r="O50" s="87">
        <v>5150.3642042827014</v>
      </c>
      <c r="P50" s="87">
        <v>475</v>
      </c>
      <c r="Q50" s="87">
        <v>25754.326306073628</v>
      </c>
      <c r="R50" s="87">
        <v>700</v>
      </c>
      <c r="S50" s="87">
        <v>8675.9696949293102</v>
      </c>
      <c r="T50" s="87">
        <v>383.82352941176475</v>
      </c>
      <c r="U50" s="87">
        <v>6124.2139023030431</v>
      </c>
      <c r="V50" s="87">
        <v>374.99999999999994</v>
      </c>
    </row>
    <row r="51" spans="1:22" x14ac:dyDescent="0.25">
      <c r="A51" s="85" t="s">
        <v>121</v>
      </c>
      <c r="B51" s="86">
        <v>44912</v>
      </c>
      <c r="C51" s="87">
        <v>15481.260734101124</v>
      </c>
      <c r="D51" s="87">
        <v>597.52136752136744</v>
      </c>
      <c r="E51" s="87">
        <v>5449.4886035983209</v>
      </c>
      <c r="F51" s="87">
        <v>475</v>
      </c>
      <c r="G51" s="87">
        <v>27250.093805326745</v>
      </c>
      <c r="H51" s="87">
        <v>700</v>
      </c>
      <c r="I51" s="87">
        <v>7241.8770202680362</v>
      </c>
      <c r="J51" s="87">
        <v>714.30112182942844</v>
      </c>
      <c r="K51" s="87">
        <v>27026.606137523191</v>
      </c>
      <c r="L51" s="87">
        <v>275</v>
      </c>
      <c r="M51" s="87">
        <v>11644.025167529051</v>
      </c>
      <c r="N51" s="87">
        <v>580</v>
      </c>
      <c r="O51" s="87">
        <v>4281.7410456843954</v>
      </c>
      <c r="P51" s="87">
        <v>475</v>
      </c>
      <c r="Q51" s="87">
        <v>21410.787989899589</v>
      </c>
      <c r="R51" s="87">
        <v>700</v>
      </c>
      <c r="S51" s="87">
        <v>7212.7434256013803</v>
      </c>
      <c r="T51" s="87">
        <v>383.82352941176464</v>
      </c>
      <c r="U51" s="87">
        <v>5091.3483004245036</v>
      </c>
      <c r="V51" s="87">
        <v>374.99999999999994</v>
      </c>
    </row>
    <row r="52" spans="1:22" x14ac:dyDescent="0.25">
      <c r="A52" s="85" t="s">
        <v>122</v>
      </c>
      <c r="B52" s="86">
        <v>44919</v>
      </c>
      <c r="C52" s="87">
        <v>8724.4374157016209</v>
      </c>
      <c r="D52" s="87">
        <v>587.9487179487179</v>
      </c>
      <c r="E52" s="87">
        <v>3071.0497734171299</v>
      </c>
      <c r="F52" s="87">
        <v>475</v>
      </c>
      <c r="G52" s="87">
        <v>15356.742713653124</v>
      </c>
      <c r="H52" s="87">
        <v>700</v>
      </c>
      <c r="I52" s="87">
        <v>4282.7163498641057</v>
      </c>
      <c r="J52" s="87">
        <v>716.43181694009604</v>
      </c>
      <c r="K52" s="87">
        <v>17014.396635516321</v>
      </c>
      <c r="L52" s="87">
        <v>275</v>
      </c>
      <c r="M52" s="87">
        <v>6561.9700220661753</v>
      </c>
      <c r="N52" s="87">
        <v>570</v>
      </c>
      <c r="O52" s="87">
        <v>2412.9676791134589</v>
      </c>
      <c r="P52" s="87">
        <v>475</v>
      </c>
      <c r="Q52" s="87">
        <v>12066.012132156022</v>
      </c>
      <c r="R52" s="87">
        <v>700</v>
      </c>
      <c r="S52" s="87">
        <v>4064.7289450762064</v>
      </c>
      <c r="T52" s="87">
        <v>383.82352941176475</v>
      </c>
      <c r="U52" s="87">
        <v>2869.2204318184986</v>
      </c>
      <c r="V52" s="87">
        <v>375.00000000000006</v>
      </c>
    </row>
    <row r="53" spans="1:22" x14ac:dyDescent="0.25">
      <c r="A53" s="85" t="s">
        <v>123</v>
      </c>
      <c r="B53" s="86">
        <v>44926</v>
      </c>
      <c r="C53" s="87">
        <v>7849.8495915462645</v>
      </c>
      <c r="D53" s="87">
        <v>587.94871794871801</v>
      </c>
      <c r="E53" s="87">
        <v>2763.1900672575339</v>
      </c>
      <c r="F53" s="87">
        <v>475</v>
      </c>
      <c r="G53" s="87">
        <v>13817.294431076683</v>
      </c>
      <c r="H53" s="87">
        <v>700</v>
      </c>
      <c r="I53" s="87">
        <v>3819.1551506402793</v>
      </c>
      <c r="J53" s="87">
        <v>716.35820739898725</v>
      </c>
      <c r="K53" s="87">
        <v>13460.131596460171</v>
      </c>
      <c r="L53" s="87">
        <v>275</v>
      </c>
      <c r="M53" s="87">
        <v>5904.1603765476184</v>
      </c>
      <c r="N53" s="87">
        <v>570</v>
      </c>
      <c r="O53" s="87">
        <v>2171.0779099880624</v>
      </c>
      <c r="P53" s="87">
        <v>475</v>
      </c>
      <c r="Q53" s="87">
        <v>10856.445624417394</v>
      </c>
      <c r="R53" s="87">
        <v>700</v>
      </c>
      <c r="S53" s="87">
        <v>3657.2571191613888</v>
      </c>
      <c r="T53" s="87">
        <v>383.82352941176481</v>
      </c>
      <c r="U53" s="87">
        <v>2581.5932605845096</v>
      </c>
      <c r="V53" s="87">
        <v>375.00000000000011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Staff Planner Estee</vt:lpstr>
      <vt:lpstr>Staff Planner Lauder</vt:lpstr>
      <vt:lpstr>EsteeNew</vt:lpstr>
      <vt:lpstr>EsteeFTEChan</vt:lpstr>
      <vt:lpstr>EsteeOld</vt:lpstr>
      <vt:lpstr>LauderNew</vt:lpstr>
      <vt:lpstr>LauderFTEChan</vt:lpstr>
      <vt:lpstr>LauderOld</vt:lpstr>
      <vt:lpstr>CombinedFTEchanges</vt:lpstr>
      <vt:lpstr>Forecast</vt:lpstr>
    </vt:vector>
  </TitlesOfParts>
  <Company>OEM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Grogan</dc:creator>
  <cp:lastModifiedBy>lenovo</cp:lastModifiedBy>
  <cp:lastPrinted>2016-02-04T06:08:24Z</cp:lastPrinted>
  <dcterms:created xsi:type="dcterms:W3CDTF">2013-11-07T17:06:09Z</dcterms:created>
  <dcterms:modified xsi:type="dcterms:W3CDTF">2022-08-16T23:55:55Z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8d7312cb-7825-42bf-b515-b79450577b57</vt:lpwstr>
  </property>
</Properties>
</file>